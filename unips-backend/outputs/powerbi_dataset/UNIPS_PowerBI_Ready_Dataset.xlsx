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64b18669146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 BI Guide" sheetId="1" r:id="Rd1092d6f24d54498"/>
    <x:sheet xmlns:r="http://schemas.openxmlformats.org/officeDocument/2006/relationships" name="Noise_Data" sheetId="2" r:id="Rcc753f87ef294dc0"/>
    <x:sheet xmlns:r="http://schemas.openxmlformats.org/officeDocument/2006/relationships" name="AQI_Forecast" sheetId="3" r:id="Rc05594ea82fa415f"/>
    <x:sheet xmlns:r="http://schemas.openxmlformats.org/officeDocument/2006/relationships" name="Data_Dictionary" sheetId="4" r:id="R81edf1b76f2c4f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"/>
    <x:numFmt numFmtId="202" formatCode="0.0000"/>
    <x:numFmt numFmtId="203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D6F78"/>
      </x:patternFill>
    </x:fill>
  </x:fills>
  <x:borders count="7">
    <x:border/>
    <x:border>
      <x:right style="thin">
        <x:color rgb="FFD7E0E7"/>
      </x:right>
      <x:bottom style="thin">
        <x:color rgb="FFD7E0E7"/>
      </x:bottom>
    </x:border>
    <x:border>
      <x:left style="thin">
        <x:color rgb="FFD7E0E7"/>
      </x:left>
      <x:bottom style="thin">
        <x:color rgb="FFD7E0E7"/>
      </x:bottom>
    </x:border>
    <x:border>
      <x:right style="thin">
        <x:color rgb="FFD7E0E7"/>
      </x:right>
      <x:top style="thin">
        <x:color rgb="FFD7E0E7"/>
      </x:top>
      <x:bottom style="thin">
        <x:color rgb="FFD7E0E7"/>
      </x:bottom>
    </x:border>
    <x:border>
      <x:left style="thin">
        <x:color rgb="FFD7E0E7"/>
      </x:left>
      <x:top style="thin">
        <x:color rgb="FFD7E0E7"/>
      </x:top>
      <x:bottom style="thin">
        <x:color rgb="FFD7E0E7"/>
      </x:bottom>
    </x:border>
    <x:border>
      <x:right style="thin">
        <x:color rgb="FFD7E0E7"/>
      </x:right>
      <x:top style="thin">
        <x:color rgb="FFD7E0E7"/>
      </x:top>
    </x:border>
    <x:border>
      <x:left style="thin">
        <x:color rgb="FFD7E0E7"/>
      </x:left>
      <x:top style="thin">
        <x:color rgb="FFD7E0E7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2" xfId="0" applyNumberFormat="1" applyFont="1" applyFill="1" applyBorder="1"/>
    <x:xf numFmtId="0" fontId="2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c121cea2b4eb9" /><Relationship Type="http://schemas.openxmlformats.org/officeDocument/2006/relationships/theme" Target="/xl/theme/theme1.xml" Id="Ra71704c0c9074983" /><Relationship Type="http://schemas.openxmlformats.org/officeDocument/2006/relationships/sharedStrings" Target="/xl/sharedStrings.xml" Id="R61462ed7721246cf" /><Relationship Type="http://schemas.openxmlformats.org/officeDocument/2006/relationships/worksheet" Target="/xl/worksheets/sheet1.xml" Id="Rd1092d6f24d54498" /><Relationship Type="http://schemas.openxmlformats.org/officeDocument/2006/relationships/worksheet" Target="/xl/worksheets/sheet2.xml" Id="Rcc753f87ef294dc0" /><Relationship Type="http://schemas.openxmlformats.org/officeDocument/2006/relationships/worksheet" Target="/xl/worksheets/sheet3.xml" Id="Rc05594ea82fa415f" /><Relationship Type="http://schemas.openxmlformats.org/officeDocument/2006/relationships/worksheet" Target="/xl/worksheets/sheet4.xml" Id="R81edf1b76f2c4f20" /></Relationships>
</file>

<file path=xl/tables/table1.xml><?xml version="1.0" encoding="utf-8"?>
<x:table xmlns:x="http://schemas.openxmlformats.org/spreadsheetml/2006/main" id="1" name="NoiseDataTable" displayName="NoiseDataTable" ref="A1:Q1556" headerRowCount="1" totalsRowCount="0" totalsRowShown="0">
  <x:tableColumns count="17">
    <x:tableColumn id="1" name="Station_ID"/>
    <x:tableColumn id="2" name="Record_Date"/>
    <x:tableColumn id="3" name="Year"/>
    <x:tableColumn id="4" name="Month_Number"/>
    <x:tableColumn id="5" name="Month_Name"/>
    <x:tableColumn id="6" name="Quarter"/>
    <x:tableColumn id="7" name="Day_dB"/>
    <x:tableColumn id="8" name="Night_dB"/>
    <x:tableColumn id="9" name="Avg_Noise_dB"/>
    <x:tableColumn id="10" name="Day_Night_Gap_dB"/>
    <x:tableColumn id="11" name="Data_Type"/>
    <x:tableColumn id="12" name="Latitude"/>
    <x:tableColumn id="13" name="Longitude"/>
    <x:tableColumn id="14" name="Noise_Band"/>
    <x:tableColumn id="15" name="Noise_Risk"/>
    <x:tableColumn id="16" name="High_Noise_Flag"/>
    <x:tableColumn id="17" name="Period_Ke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QIForecastTable" displayName="AQIForecastTable" ref="A1:M41" headerRowCount="1" totalsRowCount="0" totalsRowShown="0">
  <x:tableColumns count="13">
    <x:tableColumn id="1" name="Station"/>
    <x:tableColumn id="2" name="Horizon_Months"/>
    <x:tableColumn id="3" name="Forecast_Date"/>
    <x:tableColumn id="4" name="Forecast_Year"/>
    <x:tableColumn id="5" name="Forecast_Month_Number"/>
    <x:tableColumn id="6" name="Forecast_Month_Name"/>
    <x:tableColumn id="7" name="Quarter"/>
    <x:tableColumn id="8" name="Predicted_AQI"/>
    <x:tableColumn id="9" name="AQI_Category"/>
    <x:tableColumn id="10" name="Health_Concern"/>
    <x:tableColumn id="11" name="Severity_Rank"/>
    <x:tableColumn id="12" name="Poor_Or_Worse_Flag"/>
    <x:tableColumn id="13" name="Period_Key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taDictionaryTable" displayName="DataDictionaryTable" ref="A1:D17" headerRowCount="1" totalsRowCount="0" totalsRowShown="0">
  <x:tableColumns count="4">
    <x:tableColumn id="1" name="Table"/>
    <x:tableColumn id="2" name="Column"/>
    <x:tableColumn id="3" name="Type"/>
    <x:tableColumn id="4" name="Meaning / Power BI 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3d9401f4cc44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e23c018d0347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b6ce74d83f409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2" customHeight="1">
      <x:c r="A1" s="3" t="str">
        <x:v>UNIPS Power BI Ready Dataset</x:v>
      </x:c>
      <x:c r="B1" s="3"/>
      <x:c r="C1" s="3"/>
      <x:c r="D1" s="3"/>
      <x:c r="E1" s="3"/>
      <x:c r="F1" s="3"/>
      <x:c r="G1" s="3"/>
      <x:c r="H1" s="3"/>
    </x:row>
    <x:row r="3">
      <x:c r="A3" s="7" t="str">
        <x:v>Purpose</x:v>
      </x:c>
      <x:c r="B3" s="17" t="str">
        <x:v>Clean, analysis-ready noise and AQI forecast tables for Power BI.</x:v>
      </x:c>
    </x:row>
    <x:row r="4">
      <x:c r="A4" s="9" t="str">
        <x:v>Use both tables?</x:v>
      </x:c>
      <x:c r="B4" s="18" t="str">
        <x:v>Yes. Noise_Data supports historical/GIS analysis; AQI_Forecast supports forecast visuals.</x:v>
      </x:c>
    </x:row>
    <x:row r="5">
      <x:c r="A5" s="9" t="str">
        <x:v>Noise grain</x:v>
      </x:c>
      <x:c r="B5" s="18" t="str">
        <x:v>One station-month observation.</x:v>
      </x:c>
    </x:row>
    <x:row r="6">
      <x:c r="A6" s="9" t="str">
        <x:v>AQI grain</x:v>
      </x:c>
      <x:c r="B6" s="18" t="str">
        <x:v>One station and forecast-horizon prediction.</x:v>
      </x:c>
    </x:row>
    <x:row r="7">
      <x:c r="A7" s="9" t="str">
        <x:v>Recommended map</x:v>
      </x:c>
      <x:c r="B7" s="18" t="str">
        <x:v>Latitude + Longitude from Noise_Data; use Avg_Noise_dB for color/size.</x:v>
      </x:c>
    </x:row>
    <x:row r="8">
      <x:c r="A8" s="9" t="str">
        <x:v>Recommended relationship</x:v>
      </x:c>
      <x:c r="B8" s="18" t="str">
        <x:v>Keep tables separate unless a verified station mapping is supplied; their station identifiers differ.</x:v>
      </x:c>
    </x:row>
    <x:row r="9">
      <x:c r="A9" s="11" t="str">
        <x:v>Refresh</x:v>
      </x:c>
      <x:c r="B9" s="19" t="str">
        <x:v>Replace source rows with new data while preserving column names and types.</x:v>
      </x:c>
    </x:row>
    <x:row r="10">
      <x:c r="B10" s="20"/>
    </x:row>
    <x:row r="11">
      <x:c r="A11" s="13" t="str">
        <x:v>Suggested Visual</x:v>
      </x:c>
      <x:c r="B11" s="21" t="str">
        <x:v>Fields</x:v>
      </x:c>
    </x:row>
    <x:row r="12">
      <x:c r="A12" s="15" t="str">
        <x:v>Noise map</x:v>
      </x:c>
      <x:c r="B12" s="18" t="str">
        <x:v>Station_ID, Latitude, Longitude, Avg_Noise_dB, Noise_Risk</x:v>
      </x:c>
    </x:row>
    <x:row r="13">
      <x:c r="A13" s="15" t="str">
        <x:v>Noise trend</x:v>
      </x:c>
      <x:c r="B13" s="18" t="str">
        <x:v>Record_Date, Avg_Noise_dB; legend: Station_ID</x:v>
      </x:c>
    </x:row>
    <x:row r="14">
      <x:c r="A14" s="15" t="str">
        <x:v>Day vs night</x:v>
      </x:c>
      <x:c r="B14" s="18" t="str">
        <x:v>Station_ID, Day_dB, Night_dB</x:v>
      </x:c>
    </x:row>
    <x:row r="15">
      <x:c r="A15" s="15" t="str">
        <x:v>AQI forecast line</x:v>
      </x:c>
      <x:c r="B15" s="18" t="str">
        <x:v>Forecast_Date, Predicted_AQI; legend: Station</x:v>
      </x:c>
    </x:row>
    <x:row r="16">
      <x:c r="A16" s="15" t="str">
        <x:v>AQI category bars</x:v>
      </x:c>
      <x:c r="B16" s="18" t="str">
        <x:v>AQI_Category, count of Station</x:v>
      </x:c>
    </x:row>
    <x:row r="17">
      <x:c r="A17" s="16" t="str">
        <x:v>KPI cards</x:v>
      </x:c>
      <x:c r="B17" s="19" t="str">
        <x:v>Average noise, maximum noise, average predicted AQI, high-risk record count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.880000114440918" hidden="0" customWidth="1"/>
    <x:col min="3" max="3" width="6.380000114440918" hidden="0" customWidth="1"/>
    <x:col min="4" max="4" width="15.380000114440918" hidden="0" customWidth="1"/>
    <x:col min="5" max="5" width="16" hidden="0" customWidth="1"/>
    <x:col min="6" max="6" width="16" hidden="0" customWidth="1"/>
    <x:col min="7" max="7" width="8.880000114440918" hidden="0" customWidth="1"/>
    <x:col min="8" max="8" width="10.130000114440918" hidden="0" customWidth="1"/>
    <x:col min="9" max="9" width="14" hidden="0" customWidth="1"/>
    <x:col min="10" max="10" width="17.8799991607666" hidden="0" customWidth="1"/>
    <x:col min="11" max="11" width="16" hidden="0" customWidth="1"/>
    <x:col min="12" max="12" width="9.380000114440918" hidden="0" customWidth="1"/>
    <x:col min="13" max="13" width="10.630000114440918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>
      <x:c r="A1" t="str">
        <x:v>Station_ID</x:v>
      </x:c>
      <x:c r="B1" t="str">
        <x:v>Record_Date</x:v>
      </x:c>
      <x:c r="C1" t="str">
        <x:v>Year</x:v>
      </x:c>
      <x:c r="D1" t="str">
        <x:v>Month_Number</x:v>
      </x:c>
      <x:c r="E1" t="str">
        <x:v>Month_Name</x:v>
      </x:c>
      <x:c r="F1" t="str">
        <x:v>Quarter</x:v>
      </x:c>
      <x:c r="G1" t="str">
        <x:v>Day_dB</x:v>
      </x:c>
      <x:c r="H1" t="str">
        <x:v>Night_dB</x:v>
      </x:c>
      <x:c r="I1" t="str">
        <x:v>Avg_Noise_dB</x:v>
      </x:c>
      <x:c r="J1" t="str">
        <x:v>Day_Night_Gap_dB</x:v>
      </x:c>
      <x:c r="K1" t="str">
        <x:v>Data_Type</x:v>
      </x:c>
      <x:c r="L1" t="str">
        <x:v>Latitude</x:v>
      </x:c>
      <x:c r="M1" t="str">
        <x:v>Longitude</x:v>
      </x:c>
      <x:c r="N1" t="str">
        <x:v>Noise_Band</x:v>
      </x:c>
      <x:c r="O1" t="str">
        <x:v>Noise_Risk</x:v>
      </x:c>
      <x:c r="P1" t="str">
        <x:v>High_Noise_Flag</x:v>
      </x:c>
      <x:c r="Q1" t="str">
        <x:v>Period_Key</x:v>
      </x:c>
    </x:row>
    <x:row r="2">
      <x:c r="A2" t="str">
        <x:v>HYD01</x:v>
      </x:c>
      <x:c r="B2" s="22" t="n">
        <x:f>DATE(C2,D2,1)</x:f>
        <x:v>40575</x:v>
      </x:c>
      <x:c r="C2" t="n">
        <x:v>2011</x:v>
      </x:c>
      <x:c r="D2" t="n">
        <x:v>2</x:v>
      </x:c>
      <x:c r="E2" t="str">
        <x:f>TEXT(B2,"mmm")</x:f>
        <x:v>Feb</x:v>
      </x:c>
      <x:c r="F2" t="str">
        <x:f>"Q"&amp;ROUNDUP(D2/3,0)</x:f>
        <x:v>Q1</x:v>
      </x:c>
      <x:c r="G2" s="23" t="n">
        <x:v>72</x:v>
      </x:c>
      <x:c r="H2" s="23" t="n">
        <x:v>63</x:v>
      </x:c>
      <x:c r="I2" s="23" t="n">
        <x:v>67.5</x:v>
      </x:c>
      <x:c r="J2" s="23" t="n">
        <x:f>G2-H2</x:f>
        <x:v>9</x:v>
      </x:c>
      <x:c r="K2" t="str">
        <x:v>OBSERVED</x:v>
      </x:c>
      <x:c r="L2" s="24" t="n">
        <x:v>17.385</x:v>
      </x:c>
      <x:c r="M2" s="24" t="n">
        <x:v>78.4867</x:v>
      </x:c>
      <x:c r="N2" t="str">
        <x:f>IF(I2&gt;70,"70+ dB",IF(I2&gt;55,"56-70 dB","41-55 dB"))</x:f>
        <x:v>56-70 dB</x:v>
      </x:c>
      <x:c r="O2" t="str">
        <x:f>IF(I2&gt;70,"High",IF(I2&gt;55,"Moderate","Low"))</x:f>
        <x:v>Moderate</x:v>
      </x:c>
      <x:c r="P2" t="str">
        <x:f>IF(I2&gt;=70,"Yes","No")</x:f>
        <x:v>No</x:v>
      </x:c>
      <x:c r="Q2" t="str">
        <x:f>TEXT(B2,"yyyy-mm")</x:f>
        <x:v>2011-02</x:v>
      </x:c>
    </x:row>
    <x:row r="3">
      <x:c r="A3" t="str">
        <x:v>HYD01</x:v>
      </x:c>
      <x:c r="B3" s="22" t="n">
        <x:f>DATE(C3,D3,1)</x:f>
        <x:v>40603</x:v>
      </x:c>
      <x:c r="C3" t="n">
        <x:v>2011</x:v>
      </x:c>
      <x:c r="D3" t="n">
        <x:v>3</x:v>
      </x:c>
      <x:c r="E3" t="str">
        <x:f>TEXT(B3,"mmm")</x:f>
        <x:v>Mar</x:v>
      </x:c>
      <x:c r="F3" t="str">
        <x:f>"Q"&amp;ROUNDUP(D3/3,0)</x:f>
        <x:v>Q1</x:v>
      </x:c>
      <x:c r="G3" s="23" t="n">
        <x:v>72</x:v>
      </x:c>
      <x:c r="H3" s="23" t="n">
        <x:v>62</x:v>
      </x:c>
      <x:c r="I3" s="23" t="n">
        <x:v>67</x:v>
      </x:c>
      <x:c r="J3" s="23" t="n">
        <x:f>G3-H3</x:f>
        <x:v>10</x:v>
      </x:c>
      <x:c r="K3" t="str">
        <x:v>OBSERVED</x:v>
      </x:c>
      <x:c r="L3" s="24" t="n">
        <x:v>17.385</x:v>
      </x:c>
      <x:c r="M3" s="24" t="n">
        <x:v>78.4867</x:v>
      </x:c>
      <x:c r="N3" t="str">
        <x:f>IF(I3&gt;70,"70+ dB",IF(I3&gt;55,"56-70 dB","41-55 dB"))</x:f>
        <x:v>56-70 dB</x:v>
      </x:c>
      <x:c r="O3" t="str">
        <x:f>IF(I3&gt;70,"High",IF(I3&gt;55,"Moderate","Low"))</x:f>
        <x:v>Moderate</x:v>
      </x:c>
      <x:c r="P3" t="str">
        <x:f>IF(I3&gt;=70,"Yes","No")</x:f>
        <x:v>No</x:v>
      </x:c>
      <x:c r="Q3" t="str">
        <x:f>TEXT(B3,"yyyy-mm")</x:f>
        <x:v>2011-03</x:v>
      </x:c>
    </x:row>
    <x:row r="4">
      <x:c r="A4" t="str">
        <x:v>HYD01</x:v>
      </x:c>
      <x:c r="B4" s="22" t="n">
        <x:f>DATE(C4,D4,1)</x:f>
        <x:v>40634</x:v>
      </x:c>
      <x:c r="C4" t="n">
        <x:v>2011</x:v>
      </x:c>
      <x:c r="D4" t="n">
        <x:v>4</x:v>
      </x:c>
      <x:c r="E4" t="str">
        <x:f>TEXT(B4,"mmm")</x:f>
        <x:v>Apr</x:v>
      </x:c>
      <x:c r="F4" t="str">
        <x:f>"Q"&amp;ROUNDUP(D4/3,0)</x:f>
        <x:v>Q2</x:v>
      </x:c>
      <x:c r="G4" s="23" t="n">
        <x:v>72</x:v>
      </x:c>
      <x:c r="H4" s="23" t="n">
        <x:v>63</x:v>
      </x:c>
      <x:c r="I4" s="23" t="n">
        <x:v>67.5</x:v>
      </x:c>
      <x:c r="J4" s="23" t="n">
        <x:f>G4-H4</x:f>
        <x:v>9</x:v>
      </x:c>
      <x:c r="K4" t="str">
        <x:v>OBSERVED</x:v>
      </x:c>
      <x:c r="L4" s="24" t="n">
        <x:v>17.385</x:v>
      </x:c>
      <x:c r="M4" s="24" t="n">
        <x:v>78.4867</x:v>
      </x:c>
      <x:c r="N4" t="str">
        <x:f>IF(I4&gt;70,"70+ dB",IF(I4&gt;55,"56-70 dB","41-55 dB"))</x:f>
        <x:v>56-70 dB</x:v>
      </x:c>
      <x:c r="O4" t="str">
        <x:f>IF(I4&gt;70,"High",IF(I4&gt;55,"Moderate","Low"))</x:f>
        <x:v>Moderate</x:v>
      </x:c>
      <x:c r="P4" t="str">
        <x:f>IF(I4&gt;=70,"Yes","No")</x:f>
        <x:v>No</x:v>
      </x:c>
      <x:c r="Q4" t="str">
        <x:f>TEXT(B4,"yyyy-mm")</x:f>
        <x:v>2011-04</x:v>
      </x:c>
    </x:row>
    <x:row r="5">
      <x:c r="A5" t="str">
        <x:v>HYD01</x:v>
      </x:c>
      <x:c r="B5" s="22" t="n">
        <x:f>DATE(C5,D5,1)</x:f>
        <x:v>40664</x:v>
      </x:c>
      <x:c r="C5" t="n">
        <x:v>2011</x:v>
      </x:c>
      <x:c r="D5" t="n">
        <x:v>5</x:v>
      </x:c>
      <x:c r="E5" t="str">
        <x:f>TEXT(B5,"mmm")</x:f>
        <x:v>May</x:v>
      </x:c>
      <x:c r="F5" t="str">
        <x:f>"Q"&amp;ROUNDUP(D5/3,0)</x:f>
        <x:v>Q2</x:v>
      </x:c>
      <x:c r="G5" s="23" t="n">
        <x:v>72</x:v>
      </x:c>
      <x:c r="H5" s="23" t="n">
        <x:v>64</x:v>
      </x:c>
      <x:c r="I5" s="23" t="n">
        <x:v>68</x:v>
      </x:c>
      <x:c r="J5" s="23" t="n">
        <x:f>G5-H5</x:f>
        <x:v>8</x:v>
      </x:c>
      <x:c r="K5" t="str">
        <x:v>OBSERVED</x:v>
      </x:c>
      <x:c r="L5" s="24" t="n">
        <x:v>17.385</x:v>
      </x:c>
      <x:c r="M5" s="24" t="n">
        <x:v>78.4867</x:v>
      </x:c>
      <x:c r="N5" t="str">
        <x:f>IF(I5&gt;70,"70+ dB",IF(I5&gt;55,"56-70 dB","41-55 dB"))</x:f>
        <x:v>56-70 dB</x:v>
      </x:c>
      <x:c r="O5" t="str">
        <x:f>IF(I5&gt;70,"High",IF(I5&gt;55,"Moderate","Low"))</x:f>
        <x:v>Moderate</x:v>
      </x:c>
      <x:c r="P5" t="str">
        <x:f>IF(I5&gt;=70,"Yes","No")</x:f>
        <x:v>No</x:v>
      </x:c>
      <x:c r="Q5" t="str">
        <x:f>TEXT(B5,"yyyy-mm")</x:f>
        <x:v>2011-05</x:v>
      </x:c>
    </x:row>
    <x:row r="6">
      <x:c r="A6" t="str">
        <x:v>HYD01</x:v>
      </x:c>
      <x:c r="B6" s="22" t="n">
        <x:f>DATE(C6,D6,1)</x:f>
        <x:v>40695</x:v>
      </x:c>
      <x:c r="C6" t="n">
        <x:v>2011</x:v>
      </x:c>
      <x:c r="D6" t="n">
        <x:v>6</x:v>
      </x:c>
      <x:c r="E6" t="str">
        <x:f>TEXT(B6,"mmm")</x:f>
        <x:v>Jun</x:v>
      </x:c>
      <x:c r="F6" t="str">
        <x:f>"Q"&amp;ROUNDUP(D6/3,0)</x:f>
        <x:v>Q2</x:v>
      </x:c>
      <x:c r="G6" s="23" t="n">
        <x:v>83</x:v>
      </x:c>
      <x:c r="H6" s="23" t="n">
        <x:v>75</x:v>
      </x:c>
      <x:c r="I6" s="23" t="n">
        <x:v>79</x:v>
      </x:c>
      <x:c r="J6" s="23" t="n">
        <x:f>G6-H6</x:f>
        <x:v>8</x:v>
      </x:c>
      <x:c r="K6" t="str">
        <x:v>OBSERVED</x:v>
      </x:c>
      <x:c r="L6" s="24" t="n">
        <x:v>17.385</x:v>
      </x:c>
      <x:c r="M6" s="24" t="n">
        <x:v>78.4867</x:v>
      </x:c>
      <x:c r="N6" t="str">
        <x:f>IF(I6&gt;70,"70+ dB",IF(I6&gt;55,"56-70 dB","41-55 dB"))</x:f>
        <x:v>70+ dB</x:v>
      </x:c>
      <x:c r="O6" t="str">
        <x:f>IF(I6&gt;70,"High",IF(I6&gt;55,"Moderate","Low"))</x:f>
        <x:v>High</x:v>
      </x:c>
      <x:c r="P6" t="str">
        <x:f>IF(I6&gt;=70,"Yes","No")</x:f>
        <x:v>Yes</x:v>
      </x:c>
      <x:c r="Q6" t="str">
        <x:f>TEXT(B6,"yyyy-mm")</x:f>
        <x:v>2011-06</x:v>
      </x:c>
    </x:row>
    <x:row r="7">
      <x:c r="A7" t="str">
        <x:v>HYD01</x:v>
      </x:c>
      <x:c r="B7" s="22" t="n">
        <x:f>DATE(C7,D7,1)</x:f>
        <x:v>40725</x:v>
      </x:c>
      <x:c r="C7" t="n">
        <x:v>2011</x:v>
      </x:c>
      <x:c r="D7" t="n">
        <x:v>7</x:v>
      </x:c>
      <x:c r="E7" t="str">
        <x:f>TEXT(B7,"mmm")</x:f>
        <x:v>Jul</x:v>
      </x:c>
      <x:c r="F7" t="str">
        <x:f>"Q"&amp;ROUNDUP(D7/3,0)</x:f>
        <x:v>Q3</x:v>
      </x:c>
      <x:c r="G7" s="23" t="n">
        <x:v>72</x:v>
      </x:c>
      <x:c r="H7" s="23" t="n">
        <x:v>63</x:v>
      </x:c>
      <x:c r="I7" s="23" t="n">
        <x:v>67.5</x:v>
      </x:c>
      <x:c r="J7" s="23" t="n">
        <x:f>G7-H7</x:f>
        <x:v>9</x:v>
      </x:c>
      <x:c r="K7" t="str">
        <x:v>OBSERVED</x:v>
      </x:c>
      <x:c r="L7" s="24" t="n">
        <x:v>17.385</x:v>
      </x:c>
      <x:c r="M7" s="24" t="n">
        <x:v>78.4867</x:v>
      </x:c>
      <x:c r="N7" t="str">
        <x:f>IF(I7&gt;70,"70+ dB",IF(I7&gt;55,"56-70 dB","41-55 dB"))</x:f>
        <x:v>56-70 dB</x:v>
      </x:c>
      <x:c r="O7" t="str">
        <x:f>IF(I7&gt;70,"High",IF(I7&gt;55,"Moderate","Low"))</x:f>
        <x:v>Moderate</x:v>
      </x:c>
      <x:c r="P7" t="str">
        <x:f>IF(I7&gt;=70,"Yes","No")</x:f>
        <x:v>No</x:v>
      </x:c>
      <x:c r="Q7" t="str">
        <x:f>TEXT(B7,"yyyy-mm")</x:f>
        <x:v>2011-07</x:v>
      </x:c>
    </x:row>
    <x:row r="8">
      <x:c r="A8" t="str">
        <x:v>HYD01</x:v>
      </x:c>
      <x:c r="B8" s="22" t="n">
        <x:f>DATE(C8,D8,1)</x:f>
        <x:v>40756</x:v>
      </x:c>
      <x:c r="C8" t="n">
        <x:v>2011</x:v>
      </x:c>
      <x:c r="D8" t="n">
        <x:v>8</x:v>
      </x:c>
      <x:c r="E8" t="str">
        <x:f>TEXT(B8,"mmm")</x:f>
        <x:v>Aug</x:v>
      </x:c>
      <x:c r="F8" t="str">
        <x:f>"Q"&amp;ROUNDUP(D8/3,0)</x:f>
        <x:v>Q3</x:v>
      </x:c>
      <x:c r="G8" s="23" t="n">
        <x:v>73</x:v>
      </x:c>
      <x:c r="H8" s="23" t="n">
        <x:v>65</x:v>
      </x:c>
      <x:c r="I8" s="23" t="n">
        <x:v>69</x:v>
      </x:c>
      <x:c r="J8" s="23" t="n">
        <x:f>G8-H8</x:f>
        <x:v>8</x:v>
      </x:c>
      <x:c r="K8" t="str">
        <x:v>OBSERVED</x:v>
      </x:c>
      <x:c r="L8" s="24" t="n">
        <x:v>17.385</x:v>
      </x:c>
      <x:c r="M8" s="24" t="n">
        <x:v>78.4867</x:v>
      </x:c>
      <x:c r="N8" t="str">
        <x:f>IF(I8&gt;70,"70+ dB",IF(I8&gt;55,"56-70 dB","41-55 dB"))</x:f>
        <x:v>56-70 dB</x:v>
      </x:c>
      <x:c r="O8" t="str">
        <x:f>IF(I8&gt;70,"High",IF(I8&gt;55,"Moderate","Low"))</x:f>
        <x:v>Moderate</x:v>
      </x:c>
      <x:c r="P8" t="str">
        <x:f>IF(I8&gt;=70,"Yes","No")</x:f>
        <x:v>No</x:v>
      </x:c>
      <x:c r="Q8" t="str">
        <x:f>TEXT(B8,"yyyy-mm")</x:f>
        <x:v>2011-08</x:v>
      </x:c>
    </x:row>
    <x:row r="9">
      <x:c r="A9" t="str">
        <x:v>HYD01</x:v>
      </x:c>
      <x:c r="B9" s="22" t="n">
        <x:f>DATE(C9,D9,1)</x:f>
        <x:v>40787</x:v>
      </x:c>
      <x:c r="C9" t="n">
        <x:v>2011</x:v>
      </x:c>
      <x:c r="D9" t="n">
        <x:v>9</x:v>
      </x:c>
      <x:c r="E9" t="str">
        <x:f>TEXT(B9,"mmm")</x:f>
        <x:v>Sep</x:v>
      </x:c>
      <x:c r="F9" t="str">
        <x:f>"Q"&amp;ROUNDUP(D9/3,0)</x:f>
        <x:v>Q3</x:v>
      </x:c>
      <x:c r="G9" s="23" t="n">
        <x:v>72</x:v>
      </x:c>
      <x:c r="H9" s="23" t="n">
        <x:v>64</x:v>
      </x:c>
      <x:c r="I9" s="23" t="n">
        <x:v>68</x:v>
      </x:c>
      <x:c r="J9" s="23" t="n">
        <x:f>G9-H9</x:f>
        <x:v>8</x:v>
      </x:c>
      <x:c r="K9" t="str">
        <x:v>OBSERVED</x:v>
      </x:c>
      <x:c r="L9" s="24" t="n">
        <x:v>17.385</x:v>
      </x:c>
      <x:c r="M9" s="24" t="n">
        <x:v>78.4867</x:v>
      </x:c>
      <x:c r="N9" t="str">
        <x:f>IF(I9&gt;70,"70+ dB",IF(I9&gt;55,"56-70 dB","41-55 dB"))</x:f>
        <x:v>56-70 dB</x:v>
      </x:c>
      <x:c r="O9" t="str">
        <x:f>IF(I9&gt;70,"High",IF(I9&gt;55,"Moderate","Low"))</x:f>
        <x:v>Moderate</x:v>
      </x:c>
      <x:c r="P9" t="str">
        <x:f>IF(I9&gt;=70,"Yes","No")</x:f>
        <x:v>No</x:v>
      </x:c>
      <x:c r="Q9" t="str">
        <x:f>TEXT(B9,"yyyy-mm")</x:f>
        <x:v>2011-09</x:v>
      </x:c>
    </x:row>
    <x:row r="10">
      <x:c r="A10" t="str">
        <x:v>HYD01</x:v>
      </x:c>
      <x:c r="B10" s="22" t="n">
        <x:f>DATE(C10,D10,1)</x:f>
        <x:v>40817</x:v>
      </x:c>
      <x:c r="C10" t="n">
        <x:v>2011</x:v>
      </x:c>
      <x:c r="D10" t="n">
        <x:v>10</x:v>
      </x:c>
      <x:c r="E10" t="str">
        <x:f>TEXT(B10,"mmm")</x:f>
        <x:v>Oct</x:v>
      </x:c>
      <x:c r="F10" t="str">
        <x:f>"Q"&amp;ROUNDUP(D10/3,0)</x:f>
        <x:v>Q4</x:v>
      </x:c>
      <x:c r="G10" s="23" t="n">
        <x:v>72</x:v>
      </x:c>
      <x:c r="H10" s="23" t="n">
        <x:v>63</x:v>
      </x:c>
      <x:c r="I10" s="23" t="n">
        <x:v>67.5</x:v>
      </x:c>
      <x:c r="J10" s="23" t="n">
        <x:f>G10-H10</x:f>
        <x:v>9</x:v>
      </x:c>
      <x:c r="K10" t="str">
        <x:v>OBSERVED</x:v>
      </x:c>
      <x:c r="L10" s="24" t="n">
        <x:v>17.385</x:v>
      </x:c>
      <x:c r="M10" s="24" t="n">
        <x:v>78.4867</x:v>
      </x:c>
      <x:c r="N10" t="str">
        <x:f>IF(I10&gt;70,"70+ dB",IF(I10&gt;55,"56-70 dB","41-55 dB"))</x:f>
        <x:v>56-70 dB</x:v>
      </x:c>
      <x:c r="O10" t="str">
        <x:f>IF(I10&gt;70,"High",IF(I10&gt;55,"Moderate","Low"))</x:f>
        <x:v>Moderate</x:v>
      </x:c>
      <x:c r="P10" t="str">
        <x:f>IF(I10&gt;=70,"Yes","No")</x:f>
        <x:v>No</x:v>
      </x:c>
      <x:c r="Q10" t="str">
        <x:f>TEXT(B10,"yyyy-mm")</x:f>
        <x:v>2011-10</x:v>
      </x:c>
    </x:row>
    <x:row r="11">
      <x:c r="A11" t="str">
        <x:v>HYD01</x:v>
      </x:c>
      <x:c r="B11" s="22" t="n">
        <x:f>DATE(C11,D11,1)</x:f>
        <x:v>40848</x:v>
      </x:c>
      <x:c r="C11" t="n">
        <x:v>2011</x:v>
      </x:c>
      <x:c r="D11" t="n">
        <x:v>11</x:v>
      </x:c>
      <x:c r="E11" t="str">
        <x:f>TEXT(B11,"mmm")</x:f>
        <x:v>Nov</x:v>
      </x:c>
      <x:c r="F11" t="str">
        <x:f>"Q"&amp;ROUNDUP(D11/3,0)</x:f>
        <x:v>Q4</x:v>
      </x:c>
      <x:c r="G11" s="23" t="n">
        <x:v>73</x:v>
      </x:c>
      <x:c r="H11" s="23" t="n">
        <x:v>63</x:v>
      </x:c>
      <x:c r="I11" s="23" t="n">
        <x:v>68</x:v>
      </x:c>
      <x:c r="J11" s="23" t="n">
        <x:f>G11-H11</x:f>
        <x:v>10</x:v>
      </x:c>
      <x:c r="K11" t="str">
        <x:v>OBSERVED</x:v>
      </x:c>
      <x:c r="L11" s="24" t="n">
        <x:v>17.385</x:v>
      </x:c>
      <x:c r="M11" s="24" t="n">
        <x:v>78.4867</x:v>
      </x:c>
      <x:c r="N11" t="str">
        <x:f>IF(I11&gt;70,"70+ dB",IF(I11&gt;55,"56-70 dB","41-55 dB"))</x:f>
        <x:v>56-70 dB</x:v>
      </x:c>
      <x:c r="O11" t="str">
        <x:f>IF(I11&gt;70,"High",IF(I11&gt;55,"Moderate","Low"))</x:f>
        <x:v>Moderate</x:v>
      </x:c>
      <x:c r="P11" t="str">
        <x:f>IF(I11&gt;=70,"Yes","No")</x:f>
        <x:v>No</x:v>
      </x:c>
      <x:c r="Q11" t="str">
        <x:f>TEXT(B11,"yyyy-mm")</x:f>
        <x:v>2011-11</x:v>
      </x:c>
    </x:row>
    <x:row r="12">
      <x:c r="A12" t="str">
        <x:v>HYD01</x:v>
      </x:c>
      <x:c r="B12" s="22" t="n">
        <x:f>DATE(C12,D12,1)</x:f>
        <x:v>40878</x:v>
      </x:c>
      <x:c r="C12" t="n">
        <x:v>2011</x:v>
      </x:c>
      <x:c r="D12" t="n">
        <x:v>12</x:v>
      </x:c>
      <x:c r="E12" t="str">
        <x:f>TEXT(B12,"mmm")</x:f>
        <x:v>Dec</x:v>
      </x:c>
      <x:c r="F12" t="str">
        <x:f>"Q"&amp;ROUNDUP(D12/3,0)</x:f>
        <x:v>Q4</x:v>
      </x:c>
      <x:c r="G12" s="23" t="n">
        <x:v>71</x:v>
      </x:c>
      <x:c r="H12" s="23" t="n">
        <x:v>63</x:v>
      </x:c>
      <x:c r="I12" s="23" t="n">
        <x:v>67</x:v>
      </x:c>
      <x:c r="J12" s="23" t="n">
        <x:f>G12-H12</x:f>
        <x:v>8</x:v>
      </x:c>
      <x:c r="K12" t="str">
        <x:v>OBSERVED</x:v>
      </x:c>
      <x:c r="L12" s="24" t="n">
        <x:v>17.385</x:v>
      </x:c>
      <x:c r="M12" s="24" t="n">
        <x:v>78.4867</x:v>
      </x:c>
      <x:c r="N12" t="str">
        <x:f>IF(I12&gt;70,"70+ dB",IF(I12&gt;55,"56-70 dB","41-55 dB"))</x:f>
        <x:v>56-70 dB</x:v>
      </x:c>
      <x:c r="O12" t="str">
        <x:f>IF(I12&gt;70,"High",IF(I12&gt;55,"Moderate","Low"))</x:f>
        <x:v>Moderate</x:v>
      </x:c>
      <x:c r="P12" t="str">
        <x:f>IF(I12&gt;=70,"Yes","No")</x:f>
        <x:v>No</x:v>
      </x:c>
      <x:c r="Q12" t="str">
        <x:f>TEXT(B12,"yyyy-mm")</x:f>
        <x:v>2011-12</x:v>
      </x:c>
    </x:row>
    <x:row r="13">
      <x:c r="A13" t="str">
        <x:v>HYD01</x:v>
      </x:c>
      <x:c r="B13" s="22" t="n">
        <x:f>DATE(C13,D13,1)</x:f>
        <x:v>40909</x:v>
      </x:c>
      <x:c r="C13" t="n">
        <x:v>2012</x:v>
      </x:c>
      <x:c r="D13" t="n">
        <x:v>1</x:v>
      </x:c>
      <x:c r="E13" t="str">
        <x:f>TEXT(B13,"mmm")</x:f>
        <x:v>Jan</x:v>
      </x:c>
      <x:c r="F13" t="str">
        <x:f>"Q"&amp;ROUNDUP(D13/3,0)</x:f>
        <x:v>Q1</x:v>
      </x:c>
      <x:c r="G13" s="23" t="n">
        <x:v>73</x:v>
      </x:c>
      <x:c r="H13" s="23" t="n">
        <x:v>62</x:v>
      </x:c>
      <x:c r="I13" s="23" t="n">
        <x:v>67.5</x:v>
      </x:c>
      <x:c r="J13" s="23" t="n">
        <x:f>G13-H13</x:f>
        <x:v>11</x:v>
      </x:c>
      <x:c r="K13" t="str">
        <x:v>OBSERVED</x:v>
      </x:c>
      <x:c r="L13" s="24" t="n">
        <x:v>17.385</x:v>
      </x:c>
      <x:c r="M13" s="24" t="n">
        <x:v>78.4867</x:v>
      </x:c>
      <x:c r="N13" t="str">
        <x:f>IF(I13&gt;70,"70+ dB",IF(I13&gt;55,"56-70 dB","41-55 dB"))</x:f>
        <x:v>56-70 dB</x:v>
      </x:c>
      <x:c r="O13" t="str">
        <x:f>IF(I13&gt;70,"High",IF(I13&gt;55,"Moderate","Low"))</x:f>
        <x:v>Moderate</x:v>
      </x:c>
      <x:c r="P13" t="str">
        <x:f>IF(I13&gt;=70,"Yes","No")</x:f>
        <x:v>No</x:v>
      </x:c>
      <x:c r="Q13" t="str">
        <x:f>TEXT(B13,"yyyy-mm")</x:f>
        <x:v>2012-01</x:v>
      </x:c>
    </x:row>
    <x:row r="14">
      <x:c r="A14" t="str">
        <x:v>HYD01</x:v>
      </x:c>
      <x:c r="B14" s="22" t="n">
        <x:f>DATE(C14,D14,1)</x:f>
        <x:v>40940</x:v>
      </x:c>
      <x:c r="C14" t="n">
        <x:v>2012</x:v>
      </x:c>
      <x:c r="D14" t="n">
        <x:v>2</x:v>
      </x:c>
      <x:c r="E14" t="str">
        <x:f>TEXT(B14,"mmm")</x:f>
        <x:v>Feb</x:v>
      </x:c>
      <x:c r="F14" t="str">
        <x:f>"Q"&amp;ROUNDUP(D14/3,0)</x:f>
        <x:v>Q1</x:v>
      </x:c>
      <x:c r="G14" s="23" t="n">
        <x:v>72</x:v>
      </x:c>
      <x:c r="H14" s="23" t="n">
        <x:v>63</x:v>
      </x:c>
      <x:c r="I14" s="23" t="n">
        <x:v>67.5</x:v>
      </x:c>
      <x:c r="J14" s="23" t="n">
        <x:f>G14-H14</x:f>
        <x:v>9</x:v>
      </x:c>
      <x:c r="K14" t="str">
        <x:v>OBSERVED</x:v>
      </x:c>
      <x:c r="L14" s="24" t="n">
        <x:v>17.385</x:v>
      </x:c>
      <x:c r="M14" s="24" t="n">
        <x:v>78.4867</x:v>
      </x:c>
      <x:c r="N14" t="str">
        <x:f>IF(I14&gt;70,"70+ dB",IF(I14&gt;55,"56-70 dB","41-55 dB"))</x:f>
        <x:v>56-70 dB</x:v>
      </x:c>
      <x:c r="O14" t="str">
        <x:f>IF(I14&gt;70,"High",IF(I14&gt;55,"Moderate","Low"))</x:f>
        <x:v>Moderate</x:v>
      </x:c>
      <x:c r="P14" t="str">
        <x:f>IF(I14&gt;=70,"Yes","No")</x:f>
        <x:v>No</x:v>
      </x:c>
      <x:c r="Q14" t="str">
        <x:f>TEXT(B14,"yyyy-mm")</x:f>
        <x:v>2012-02</x:v>
      </x:c>
    </x:row>
    <x:row r="15">
      <x:c r="A15" t="str">
        <x:v>HYD01</x:v>
      </x:c>
      <x:c r="B15" s="22" t="n">
        <x:f>DATE(C15,D15,1)</x:f>
        <x:v>40969</x:v>
      </x:c>
      <x:c r="C15" t="n">
        <x:v>2012</x:v>
      </x:c>
      <x:c r="D15" t="n">
        <x:v>3</x:v>
      </x:c>
      <x:c r="E15" t="str">
        <x:f>TEXT(B15,"mmm")</x:f>
        <x:v>Mar</x:v>
      </x:c>
      <x:c r="F15" t="str">
        <x:f>"Q"&amp;ROUNDUP(D15/3,0)</x:f>
        <x:v>Q1</x:v>
      </x:c>
      <x:c r="G15" s="23" t="n">
        <x:v>72</x:v>
      </x:c>
      <x:c r="H15" s="23" t="n">
        <x:v>62</x:v>
      </x:c>
      <x:c r="I15" s="23" t="n">
        <x:v>67</x:v>
      </x:c>
      <x:c r="J15" s="23" t="n">
        <x:f>G15-H15</x:f>
        <x:v>10</x:v>
      </x:c>
      <x:c r="K15" t="str">
        <x:v>OBSERVED</x:v>
      </x:c>
      <x:c r="L15" s="24" t="n">
        <x:v>17.385</x:v>
      </x:c>
      <x:c r="M15" s="24" t="n">
        <x:v>78.4867</x:v>
      </x:c>
      <x:c r="N15" t="str">
        <x:f>IF(I15&gt;70,"70+ dB",IF(I15&gt;55,"56-70 dB","41-55 dB"))</x:f>
        <x:v>56-70 dB</x:v>
      </x:c>
      <x:c r="O15" t="str">
        <x:f>IF(I15&gt;70,"High",IF(I15&gt;55,"Moderate","Low"))</x:f>
        <x:v>Moderate</x:v>
      </x:c>
      <x:c r="P15" t="str">
        <x:f>IF(I15&gt;=70,"Yes","No")</x:f>
        <x:v>No</x:v>
      </x:c>
      <x:c r="Q15" t="str">
        <x:f>TEXT(B15,"yyyy-mm")</x:f>
        <x:v>2012-03</x:v>
      </x:c>
    </x:row>
    <x:row r="16">
      <x:c r="A16" t="str">
        <x:v>HYD01</x:v>
      </x:c>
      <x:c r="B16" s="22" t="n">
        <x:f>DATE(C16,D16,1)</x:f>
        <x:v>41000</x:v>
      </x:c>
      <x:c r="C16" t="n">
        <x:v>2012</x:v>
      </x:c>
      <x:c r="D16" t="n">
        <x:v>4</x:v>
      </x:c>
      <x:c r="E16" t="str">
        <x:f>TEXT(B16,"mmm")</x:f>
        <x:v>Apr</x:v>
      </x:c>
      <x:c r="F16" t="str">
        <x:f>"Q"&amp;ROUNDUP(D16/3,0)</x:f>
        <x:v>Q2</x:v>
      </x:c>
      <x:c r="G16" s="23" t="n">
        <x:v>72</x:v>
      </x:c>
      <x:c r="H16" s="23" t="n">
        <x:v>62</x:v>
      </x:c>
      <x:c r="I16" s="23" t="n">
        <x:v>67</x:v>
      </x:c>
      <x:c r="J16" s="23" t="n">
        <x:f>G16-H16</x:f>
        <x:v>10</x:v>
      </x:c>
      <x:c r="K16" t="str">
        <x:v>OBSERVED</x:v>
      </x:c>
      <x:c r="L16" s="24" t="n">
        <x:v>17.385</x:v>
      </x:c>
      <x:c r="M16" s="24" t="n">
        <x:v>78.4867</x:v>
      </x:c>
      <x:c r="N16" t="str">
        <x:f>IF(I16&gt;70,"70+ dB",IF(I16&gt;55,"56-70 dB","41-55 dB"))</x:f>
        <x:v>56-70 dB</x:v>
      </x:c>
      <x:c r="O16" t="str">
        <x:f>IF(I16&gt;70,"High",IF(I16&gt;55,"Moderate","Low"))</x:f>
        <x:v>Moderate</x:v>
      </x:c>
      <x:c r="P16" t="str">
        <x:f>IF(I16&gt;=70,"Yes","No")</x:f>
        <x:v>No</x:v>
      </x:c>
      <x:c r="Q16" t="str">
        <x:f>TEXT(B16,"yyyy-mm")</x:f>
        <x:v>2012-04</x:v>
      </x:c>
    </x:row>
    <x:row r="17">
      <x:c r="A17" t="str">
        <x:v>HYD01</x:v>
      </x:c>
      <x:c r="B17" s="22" t="n">
        <x:f>DATE(C17,D17,1)</x:f>
        <x:v>41030</x:v>
      </x:c>
      <x:c r="C17" t="n">
        <x:v>2012</x:v>
      </x:c>
      <x:c r="D17" t="n">
        <x:v>5</x:v>
      </x:c>
      <x:c r="E17" t="str">
        <x:f>TEXT(B17,"mmm")</x:f>
        <x:v>May</x:v>
      </x:c>
      <x:c r="F17" t="str">
        <x:f>"Q"&amp;ROUNDUP(D17/3,0)</x:f>
        <x:v>Q2</x:v>
      </x:c>
      <x:c r="G17" s="23" t="n">
        <x:v>72</x:v>
      </x:c>
      <x:c r="H17" s="23" t="n">
        <x:v>63</x:v>
      </x:c>
      <x:c r="I17" s="23" t="n">
        <x:v>67.5</x:v>
      </x:c>
      <x:c r="J17" s="23" t="n">
        <x:f>G17-H17</x:f>
        <x:v>9</x:v>
      </x:c>
      <x:c r="K17" t="str">
        <x:v>OBSERVED</x:v>
      </x:c>
      <x:c r="L17" s="24" t="n">
        <x:v>17.385</x:v>
      </x:c>
      <x:c r="M17" s="24" t="n">
        <x:v>78.4867</x:v>
      </x:c>
      <x:c r="N17" t="str">
        <x:f>IF(I17&gt;70,"70+ dB",IF(I17&gt;55,"56-70 dB","41-55 dB"))</x:f>
        <x:v>56-70 dB</x:v>
      </x:c>
      <x:c r="O17" t="str">
        <x:f>IF(I17&gt;70,"High",IF(I17&gt;55,"Moderate","Low"))</x:f>
        <x:v>Moderate</x:v>
      </x:c>
      <x:c r="P17" t="str">
        <x:f>IF(I17&gt;=70,"Yes","No")</x:f>
        <x:v>No</x:v>
      </x:c>
      <x:c r="Q17" t="str">
        <x:f>TEXT(B17,"yyyy-mm")</x:f>
        <x:v>2012-05</x:v>
      </x:c>
    </x:row>
    <x:row r="18">
      <x:c r="A18" t="str">
        <x:v>HYD01</x:v>
      </x:c>
      <x:c r="B18" s="22" t="n">
        <x:f>DATE(C18,D18,1)</x:f>
        <x:v>41061</x:v>
      </x:c>
      <x:c r="C18" t="n">
        <x:v>2012</x:v>
      </x:c>
      <x:c r="D18" t="n">
        <x:v>6</x:v>
      </x:c>
      <x:c r="E18" t="str">
        <x:f>TEXT(B18,"mmm")</x:f>
        <x:v>Jun</x:v>
      </x:c>
      <x:c r="F18" t="str">
        <x:f>"Q"&amp;ROUNDUP(D18/3,0)</x:f>
        <x:v>Q2</x:v>
      </x:c>
      <x:c r="G18" s="23" t="n">
        <x:v>73</x:v>
      </x:c>
      <x:c r="H18" s="23" t="n">
        <x:v>66</x:v>
      </x:c>
      <x:c r="I18" s="23" t="n">
        <x:v>69.5</x:v>
      </x:c>
      <x:c r="J18" s="23" t="n">
        <x:f>G18-H18</x:f>
        <x:v>7</x:v>
      </x:c>
      <x:c r="K18" t="str">
        <x:v>OBSERVED</x:v>
      </x:c>
      <x:c r="L18" s="24" t="n">
        <x:v>17.385</x:v>
      </x:c>
      <x:c r="M18" s="24" t="n">
        <x:v>78.4867</x:v>
      </x:c>
      <x:c r="N18" t="str">
        <x:f>IF(I18&gt;70,"70+ dB",IF(I18&gt;55,"56-70 dB","41-55 dB"))</x:f>
        <x:v>56-70 dB</x:v>
      </x:c>
      <x:c r="O18" t="str">
        <x:f>IF(I18&gt;70,"High",IF(I18&gt;55,"Moderate","Low"))</x:f>
        <x:v>Moderate</x:v>
      </x:c>
      <x:c r="P18" t="str">
        <x:f>IF(I18&gt;=70,"Yes","No")</x:f>
        <x:v>No</x:v>
      </x:c>
      <x:c r="Q18" t="str">
        <x:f>TEXT(B18,"yyyy-mm")</x:f>
        <x:v>2012-06</x:v>
      </x:c>
    </x:row>
    <x:row r="19">
      <x:c r="A19" t="str">
        <x:v>HYD01</x:v>
      </x:c>
      <x:c r="B19" s="22" t="n">
        <x:f>DATE(C19,D19,1)</x:f>
        <x:v>41091</x:v>
      </x:c>
      <x:c r="C19" t="n">
        <x:v>2012</x:v>
      </x:c>
      <x:c r="D19" t="n">
        <x:v>7</x:v>
      </x:c>
      <x:c r="E19" t="str">
        <x:f>TEXT(B19,"mmm")</x:f>
        <x:v>Jul</x:v>
      </x:c>
      <x:c r="F19" t="str">
        <x:f>"Q"&amp;ROUNDUP(D19/3,0)</x:f>
        <x:v>Q3</x:v>
      </x:c>
      <x:c r="G19" s="23" t="n">
        <x:v>73</x:v>
      </x:c>
      <x:c r="H19" s="23" t="n">
        <x:v>65</x:v>
      </x:c>
      <x:c r="I19" s="23" t="n">
        <x:v>69</x:v>
      </x:c>
      <x:c r="J19" s="23" t="n">
        <x:f>G19-H19</x:f>
        <x:v>8</x:v>
      </x:c>
      <x:c r="K19" t="str">
        <x:v>OBSERVED</x:v>
      </x:c>
      <x:c r="L19" s="24" t="n">
        <x:v>17.385</x:v>
      </x:c>
      <x:c r="M19" s="24" t="n">
        <x:v>78.4867</x:v>
      </x:c>
      <x:c r="N19" t="str">
        <x:f>IF(I19&gt;70,"70+ dB",IF(I19&gt;55,"56-70 dB","41-55 dB"))</x:f>
        <x:v>56-70 dB</x:v>
      </x:c>
      <x:c r="O19" t="str">
        <x:f>IF(I19&gt;70,"High",IF(I19&gt;55,"Moderate","Low"))</x:f>
        <x:v>Moderate</x:v>
      </x:c>
      <x:c r="P19" t="str">
        <x:f>IF(I19&gt;=70,"Yes","No")</x:f>
        <x:v>No</x:v>
      </x:c>
      <x:c r="Q19" t="str">
        <x:f>TEXT(B19,"yyyy-mm")</x:f>
        <x:v>2012-07</x:v>
      </x:c>
    </x:row>
    <x:row r="20">
      <x:c r="A20" t="str">
        <x:v>HYD01</x:v>
      </x:c>
      <x:c r="B20" s="22" t="n">
        <x:f>DATE(C20,D20,1)</x:f>
        <x:v>41122</x:v>
      </x:c>
      <x:c r="C20" t="n">
        <x:v>2012</x:v>
      </x:c>
      <x:c r="D20" t="n">
        <x:v>8</x:v>
      </x:c>
      <x:c r="E20" t="str">
        <x:f>TEXT(B20,"mmm")</x:f>
        <x:v>Aug</x:v>
      </x:c>
      <x:c r="F20" t="str">
        <x:f>"Q"&amp;ROUNDUP(D20/3,0)</x:f>
        <x:v>Q3</x:v>
      </x:c>
      <x:c r="G20" s="23" t="n">
        <x:v>74</x:v>
      </x:c>
      <x:c r="H20" s="23" t="n">
        <x:v>67</x:v>
      </x:c>
      <x:c r="I20" s="23" t="n">
        <x:v>70.5</x:v>
      </x:c>
      <x:c r="J20" s="23" t="n">
        <x:f>G20-H20</x:f>
        <x:v>7</x:v>
      </x:c>
      <x:c r="K20" t="str">
        <x:v>OBSERVED</x:v>
      </x:c>
      <x:c r="L20" s="24" t="n">
        <x:v>17.385</x:v>
      </x:c>
      <x:c r="M20" s="24" t="n">
        <x:v>78.4867</x:v>
      </x:c>
      <x:c r="N20" t="str">
        <x:f>IF(I20&gt;70,"70+ dB",IF(I20&gt;55,"56-70 dB","41-55 dB"))</x:f>
        <x:v>70+ dB</x:v>
      </x:c>
      <x:c r="O20" t="str">
        <x:f>IF(I20&gt;70,"High",IF(I20&gt;55,"Moderate","Low"))</x:f>
        <x:v>High</x:v>
      </x:c>
      <x:c r="P20" t="str">
        <x:f>IF(I20&gt;=70,"Yes","No")</x:f>
        <x:v>Yes</x:v>
      </x:c>
      <x:c r="Q20" t="str">
        <x:f>TEXT(B20,"yyyy-mm")</x:f>
        <x:v>2012-08</x:v>
      </x:c>
    </x:row>
    <x:row r="21">
      <x:c r="A21" t="str">
        <x:v>HYD01</x:v>
      </x:c>
      <x:c r="B21" s="22" t="n">
        <x:f>DATE(C21,D21,1)</x:f>
        <x:v>41153</x:v>
      </x:c>
      <x:c r="C21" t="n">
        <x:v>2012</x:v>
      </x:c>
      <x:c r="D21" t="n">
        <x:v>9</x:v>
      </x:c>
      <x:c r="E21" t="str">
        <x:f>TEXT(B21,"mmm")</x:f>
        <x:v>Sep</x:v>
      </x:c>
      <x:c r="F21" t="str">
        <x:f>"Q"&amp;ROUNDUP(D21/3,0)</x:f>
        <x:v>Q3</x:v>
      </x:c>
      <x:c r="G21" s="23" t="n">
        <x:v>73</x:v>
      </x:c>
      <x:c r="H21" s="23" t="n">
        <x:v>64</x:v>
      </x:c>
      <x:c r="I21" s="23" t="n">
        <x:v>68.5</x:v>
      </x:c>
      <x:c r="J21" s="23" t="n">
        <x:f>G21-H21</x:f>
        <x:v>9</x:v>
      </x:c>
      <x:c r="K21" t="str">
        <x:v>OBSERVED</x:v>
      </x:c>
      <x:c r="L21" s="24" t="n">
        <x:v>17.385</x:v>
      </x:c>
      <x:c r="M21" s="24" t="n">
        <x:v>78.4867</x:v>
      </x:c>
      <x:c r="N21" t="str">
        <x:f>IF(I21&gt;70,"70+ dB",IF(I21&gt;55,"56-70 dB","41-55 dB"))</x:f>
        <x:v>56-70 dB</x:v>
      </x:c>
      <x:c r="O21" t="str">
        <x:f>IF(I21&gt;70,"High",IF(I21&gt;55,"Moderate","Low"))</x:f>
        <x:v>Moderate</x:v>
      </x:c>
      <x:c r="P21" t="str">
        <x:f>IF(I21&gt;=70,"Yes","No")</x:f>
        <x:v>No</x:v>
      </x:c>
      <x:c r="Q21" t="str">
        <x:f>TEXT(B21,"yyyy-mm")</x:f>
        <x:v>2012-09</x:v>
      </x:c>
    </x:row>
    <x:row r="22">
      <x:c r="A22" t="str">
        <x:v>HYD01</x:v>
      </x:c>
      <x:c r="B22" s="22" t="n">
        <x:f>DATE(C22,D22,1)</x:f>
        <x:v>41183</x:v>
      </x:c>
      <x:c r="C22" t="n">
        <x:v>2012</x:v>
      </x:c>
      <x:c r="D22" t="n">
        <x:v>10</x:v>
      </x:c>
      <x:c r="E22" t="str">
        <x:f>TEXT(B22,"mmm")</x:f>
        <x:v>Oct</x:v>
      </x:c>
      <x:c r="F22" t="str">
        <x:f>"Q"&amp;ROUNDUP(D22/3,0)</x:f>
        <x:v>Q4</x:v>
      </x:c>
      <x:c r="G22" s="23" t="n">
        <x:v>72</x:v>
      </x:c>
      <x:c r="H22" s="23" t="n">
        <x:v>63</x:v>
      </x:c>
      <x:c r="I22" s="23" t="n">
        <x:v>67.5</x:v>
      </x:c>
      <x:c r="J22" s="23" t="n">
        <x:f>G22-H22</x:f>
        <x:v>9</x:v>
      </x:c>
      <x:c r="K22" t="str">
        <x:v>OBSERVED</x:v>
      </x:c>
      <x:c r="L22" s="24" t="n">
        <x:v>17.385</x:v>
      </x:c>
      <x:c r="M22" s="24" t="n">
        <x:v>78.4867</x:v>
      </x:c>
      <x:c r="N22" t="str">
        <x:f>IF(I22&gt;70,"70+ dB",IF(I22&gt;55,"56-70 dB","41-55 dB"))</x:f>
        <x:v>56-70 dB</x:v>
      </x:c>
      <x:c r="O22" t="str">
        <x:f>IF(I22&gt;70,"High",IF(I22&gt;55,"Moderate","Low"))</x:f>
        <x:v>Moderate</x:v>
      </x:c>
      <x:c r="P22" t="str">
        <x:f>IF(I22&gt;=70,"Yes","No")</x:f>
        <x:v>No</x:v>
      </x:c>
      <x:c r="Q22" t="str">
        <x:f>TEXT(B22,"yyyy-mm")</x:f>
        <x:v>2012-10</x:v>
      </x:c>
    </x:row>
    <x:row r="23">
      <x:c r="A23" t="str">
        <x:v>HYD01</x:v>
      </x:c>
      <x:c r="B23" s="22" t="n">
        <x:f>DATE(C23,D23,1)</x:f>
        <x:v>41214</x:v>
      </x:c>
      <x:c r="C23" t="n">
        <x:v>2012</x:v>
      </x:c>
      <x:c r="D23" t="n">
        <x:v>11</x:v>
      </x:c>
      <x:c r="E23" t="str">
        <x:f>TEXT(B23,"mmm")</x:f>
        <x:v>Nov</x:v>
      </x:c>
      <x:c r="F23" t="str">
        <x:f>"Q"&amp;ROUNDUP(D23/3,0)</x:f>
        <x:v>Q4</x:v>
      </x:c>
      <x:c r="G23" s="23" t="n">
        <x:v>71</x:v>
      </x:c>
      <x:c r="H23" s="23" t="n">
        <x:v>61</x:v>
      </x:c>
      <x:c r="I23" s="23" t="n">
        <x:v>66</x:v>
      </x:c>
      <x:c r="J23" s="23" t="n">
        <x:f>G23-H23</x:f>
        <x:v>10</x:v>
      </x:c>
      <x:c r="K23" t="str">
        <x:v>OBSERVED</x:v>
      </x:c>
      <x:c r="L23" s="24" t="n">
        <x:v>17.385</x:v>
      </x:c>
      <x:c r="M23" s="24" t="n">
        <x:v>78.4867</x:v>
      </x:c>
      <x:c r="N23" t="str">
        <x:f>IF(I23&gt;70,"70+ dB",IF(I23&gt;55,"56-70 dB","41-55 dB"))</x:f>
        <x:v>56-70 dB</x:v>
      </x:c>
      <x:c r="O23" t="str">
        <x:f>IF(I23&gt;70,"High",IF(I23&gt;55,"Moderate","Low"))</x:f>
        <x:v>Moderate</x:v>
      </x:c>
      <x:c r="P23" t="str">
        <x:f>IF(I23&gt;=70,"Yes","No")</x:f>
        <x:v>No</x:v>
      </x:c>
      <x:c r="Q23" t="str">
        <x:f>TEXT(B23,"yyyy-mm")</x:f>
        <x:v>2012-11</x:v>
      </x:c>
    </x:row>
    <x:row r="24">
      <x:c r="A24" t="str">
        <x:v>HYD01</x:v>
      </x:c>
      <x:c r="B24" s="22" t="n">
        <x:f>DATE(C24,D24,1)</x:f>
        <x:v>41244</x:v>
      </x:c>
      <x:c r="C24" t="n">
        <x:v>2012</x:v>
      </x:c>
      <x:c r="D24" t="n">
        <x:v>12</x:v>
      </x:c>
      <x:c r="E24" t="str">
        <x:f>TEXT(B24,"mmm")</x:f>
        <x:v>Dec</x:v>
      </x:c>
      <x:c r="F24" t="str">
        <x:f>"Q"&amp;ROUNDUP(D24/3,0)</x:f>
        <x:v>Q4</x:v>
      </x:c>
      <x:c r="G24" s="23" t="n">
        <x:v>71</x:v>
      </x:c>
      <x:c r="H24" s="23" t="n">
        <x:v>61</x:v>
      </x:c>
      <x:c r="I24" s="23" t="n">
        <x:v>66</x:v>
      </x:c>
      <x:c r="J24" s="23" t="n">
        <x:f>G24-H24</x:f>
        <x:v>10</x:v>
      </x:c>
      <x:c r="K24" t="str">
        <x:v>OBSERVED</x:v>
      </x:c>
      <x:c r="L24" s="24" t="n">
        <x:v>17.385</x:v>
      </x:c>
      <x:c r="M24" s="24" t="n">
        <x:v>78.4867</x:v>
      </x:c>
      <x:c r="N24" t="str">
        <x:f>IF(I24&gt;70,"70+ dB",IF(I24&gt;55,"56-70 dB","41-55 dB"))</x:f>
        <x:v>56-70 dB</x:v>
      </x:c>
      <x:c r="O24" t="str">
        <x:f>IF(I24&gt;70,"High",IF(I24&gt;55,"Moderate","Low"))</x:f>
        <x:v>Moderate</x:v>
      </x:c>
      <x:c r="P24" t="str">
        <x:f>IF(I24&gt;=70,"Yes","No")</x:f>
        <x:v>No</x:v>
      </x:c>
      <x:c r="Q24" t="str">
        <x:f>TEXT(B24,"yyyy-mm")</x:f>
        <x:v>2012-12</x:v>
      </x:c>
    </x:row>
    <x:row r="25">
      <x:c r="A25" t="str">
        <x:v>HYD01</x:v>
      </x:c>
      <x:c r="B25" s="22" t="n">
        <x:f>DATE(C25,D25,1)</x:f>
        <x:v>41275</x:v>
      </x:c>
      <x:c r="C25" t="n">
        <x:v>2013</x:v>
      </x:c>
      <x:c r="D25" t="n">
        <x:v>1</x:v>
      </x:c>
      <x:c r="E25" t="str">
        <x:f>TEXT(B25,"mmm")</x:f>
        <x:v>Jan</x:v>
      </x:c>
      <x:c r="F25" t="str">
        <x:f>"Q"&amp;ROUNDUP(D25/3,0)</x:f>
        <x:v>Q1</x:v>
      </x:c>
      <x:c r="G25" s="23" t="n">
        <x:v>72</x:v>
      </x:c>
      <x:c r="H25" s="23" t="n">
        <x:v>61</x:v>
      </x:c>
      <x:c r="I25" s="23" t="n">
        <x:v>66.5</x:v>
      </x:c>
      <x:c r="J25" s="23" t="n">
        <x:f>G25-H25</x:f>
        <x:v>11</x:v>
      </x:c>
      <x:c r="K25" t="str">
        <x:v>OBSERVED</x:v>
      </x:c>
      <x:c r="L25" s="24" t="n">
        <x:v>17.385</x:v>
      </x:c>
      <x:c r="M25" s="24" t="n">
        <x:v>78.4867</x:v>
      </x:c>
      <x:c r="N25" t="str">
        <x:f>IF(I25&gt;70,"70+ dB",IF(I25&gt;55,"56-70 dB","41-55 dB"))</x:f>
        <x:v>56-70 dB</x:v>
      </x:c>
      <x:c r="O25" t="str">
        <x:f>IF(I25&gt;70,"High",IF(I25&gt;55,"Moderate","Low"))</x:f>
        <x:v>Moderate</x:v>
      </x:c>
      <x:c r="P25" t="str">
        <x:f>IF(I25&gt;=70,"Yes","No")</x:f>
        <x:v>No</x:v>
      </x:c>
      <x:c r="Q25" t="str">
        <x:f>TEXT(B25,"yyyy-mm")</x:f>
        <x:v>2013-01</x:v>
      </x:c>
    </x:row>
    <x:row r="26">
      <x:c r="A26" t="str">
        <x:v>HYD01</x:v>
      </x:c>
      <x:c r="B26" s="22" t="n">
        <x:f>DATE(C26,D26,1)</x:f>
        <x:v>41306</x:v>
      </x:c>
      <x:c r="C26" t="n">
        <x:v>2013</x:v>
      </x:c>
      <x:c r="D26" t="n">
        <x:v>2</x:v>
      </x:c>
      <x:c r="E26" t="str">
        <x:f>TEXT(B26,"mmm")</x:f>
        <x:v>Feb</x:v>
      </x:c>
      <x:c r="F26" t="str">
        <x:f>"Q"&amp;ROUNDUP(D26/3,0)</x:f>
        <x:v>Q1</x:v>
      </x:c>
      <x:c r="G26" s="23" t="n">
        <x:v>72</x:v>
      </x:c>
      <x:c r="H26" s="23" t="n">
        <x:v>62</x:v>
      </x:c>
      <x:c r="I26" s="23" t="n">
        <x:v>67</x:v>
      </x:c>
      <x:c r="J26" s="23" t="n">
        <x:f>G26-H26</x:f>
        <x:v>10</x:v>
      </x:c>
      <x:c r="K26" t="str">
        <x:v>OBSERVED</x:v>
      </x:c>
      <x:c r="L26" s="24" t="n">
        <x:v>17.385</x:v>
      </x:c>
      <x:c r="M26" s="24" t="n">
        <x:v>78.4867</x:v>
      </x:c>
      <x:c r="N26" t="str">
        <x:f>IF(I26&gt;70,"70+ dB",IF(I26&gt;55,"56-70 dB","41-55 dB"))</x:f>
        <x:v>56-70 dB</x:v>
      </x:c>
      <x:c r="O26" t="str">
        <x:f>IF(I26&gt;70,"High",IF(I26&gt;55,"Moderate","Low"))</x:f>
        <x:v>Moderate</x:v>
      </x:c>
      <x:c r="P26" t="str">
        <x:f>IF(I26&gt;=70,"Yes","No")</x:f>
        <x:v>No</x:v>
      </x:c>
      <x:c r="Q26" t="str">
        <x:f>TEXT(B26,"yyyy-mm")</x:f>
        <x:v>2013-02</x:v>
      </x:c>
    </x:row>
    <x:row r="27">
      <x:c r="A27" t="str">
        <x:v>HYD01</x:v>
      </x:c>
      <x:c r="B27" s="22" t="n">
        <x:f>DATE(C27,D27,1)</x:f>
        <x:v>41334</x:v>
      </x:c>
      <x:c r="C27" t="n">
        <x:v>2013</x:v>
      </x:c>
      <x:c r="D27" t="n">
        <x:v>3</x:v>
      </x:c>
      <x:c r="E27" t="str">
        <x:f>TEXT(B27,"mmm")</x:f>
        <x:v>Mar</x:v>
      </x:c>
      <x:c r="F27" t="str">
        <x:f>"Q"&amp;ROUNDUP(D27/3,0)</x:f>
        <x:v>Q1</x:v>
      </x:c>
      <x:c r="G27" s="23" t="n">
        <x:v>71</x:v>
      </x:c>
      <x:c r="H27" s="23" t="n">
        <x:v>61</x:v>
      </x:c>
      <x:c r="I27" s="23" t="n">
        <x:v>66</x:v>
      </x:c>
      <x:c r="J27" s="23" t="n">
        <x:f>G27-H27</x:f>
        <x:v>10</x:v>
      </x:c>
      <x:c r="K27" t="str">
        <x:v>OBSERVED</x:v>
      </x:c>
      <x:c r="L27" s="24" t="n">
        <x:v>17.385</x:v>
      </x:c>
      <x:c r="M27" s="24" t="n">
        <x:v>78.4867</x:v>
      </x:c>
      <x:c r="N27" t="str">
        <x:f>IF(I27&gt;70,"70+ dB",IF(I27&gt;55,"56-70 dB","41-55 dB"))</x:f>
        <x:v>56-70 dB</x:v>
      </x:c>
      <x:c r="O27" t="str">
        <x:f>IF(I27&gt;70,"High",IF(I27&gt;55,"Moderate","Low"))</x:f>
        <x:v>Moderate</x:v>
      </x:c>
      <x:c r="P27" t="str">
        <x:f>IF(I27&gt;=70,"Yes","No")</x:f>
        <x:v>No</x:v>
      </x:c>
      <x:c r="Q27" t="str">
        <x:f>TEXT(B27,"yyyy-mm")</x:f>
        <x:v>2013-03</x:v>
      </x:c>
    </x:row>
    <x:row r="28">
      <x:c r="A28" t="str">
        <x:v>HYD01</x:v>
      </x:c>
      <x:c r="B28" s="22" t="n">
        <x:f>DATE(C28,D28,1)</x:f>
        <x:v>41365</x:v>
      </x:c>
      <x:c r="C28" t="n">
        <x:v>2013</x:v>
      </x:c>
      <x:c r="D28" t="n">
        <x:v>4</x:v>
      </x:c>
      <x:c r="E28" t="str">
        <x:f>TEXT(B28,"mmm")</x:f>
        <x:v>Apr</x:v>
      </x:c>
      <x:c r="F28" t="str">
        <x:f>"Q"&amp;ROUNDUP(D28/3,0)</x:f>
        <x:v>Q2</x:v>
      </x:c>
      <x:c r="G28" s="23" t="n">
        <x:v>72</x:v>
      </x:c>
      <x:c r="H28" s="23" t="n">
        <x:v>63</x:v>
      </x:c>
      <x:c r="I28" s="23" t="n">
        <x:v>67.5</x:v>
      </x:c>
      <x:c r="J28" s="23" t="n">
        <x:f>G28-H28</x:f>
        <x:v>9</x:v>
      </x:c>
      <x:c r="K28" t="str">
        <x:v>OBSERVED</x:v>
      </x:c>
      <x:c r="L28" s="24" t="n">
        <x:v>17.385</x:v>
      </x:c>
      <x:c r="M28" s="24" t="n">
        <x:v>78.4867</x:v>
      </x:c>
      <x:c r="N28" t="str">
        <x:f>IF(I28&gt;70,"70+ dB",IF(I28&gt;55,"56-70 dB","41-55 dB"))</x:f>
        <x:v>56-70 dB</x:v>
      </x:c>
      <x:c r="O28" t="str">
        <x:f>IF(I28&gt;70,"High",IF(I28&gt;55,"Moderate","Low"))</x:f>
        <x:v>Moderate</x:v>
      </x:c>
      <x:c r="P28" t="str">
        <x:f>IF(I28&gt;=70,"Yes","No")</x:f>
        <x:v>No</x:v>
      </x:c>
      <x:c r="Q28" t="str">
        <x:f>TEXT(B28,"yyyy-mm")</x:f>
        <x:v>2013-04</x:v>
      </x:c>
    </x:row>
    <x:row r="29">
      <x:c r="A29" t="str">
        <x:v>HYD01</x:v>
      </x:c>
      <x:c r="B29" s="22" t="n">
        <x:f>DATE(C29,D29,1)</x:f>
        <x:v>41395</x:v>
      </x:c>
      <x:c r="C29" t="n">
        <x:v>2013</x:v>
      </x:c>
      <x:c r="D29" t="n">
        <x:v>5</x:v>
      </x:c>
      <x:c r="E29" t="str">
        <x:f>TEXT(B29,"mmm")</x:f>
        <x:v>May</x:v>
      </x:c>
      <x:c r="F29" t="str">
        <x:f>"Q"&amp;ROUNDUP(D29/3,0)</x:f>
        <x:v>Q2</x:v>
      </x:c>
      <x:c r="G29" s="23" t="n">
        <x:v>72</x:v>
      </x:c>
      <x:c r="H29" s="23" t="n">
        <x:v>64</x:v>
      </x:c>
      <x:c r="I29" s="23" t="n">
        <x:v>68</x:v>
      </x:c>
      <x:c r="J29" s="23" t="n">
        <x:f>G29-H29</x:f>
        <x:v>8</x:v>
      </x:c>
      <x:c r="K29" t="str">
        <x:v>OBSERVED</x:v>
      </x:c>
      <x:c r="L29" s="24" t="n">
        <x:v>17.385</x:v>
      </x:c>
      <x:c r="M29" s="24" t="n">
        <x:v>78.4867</x:v>
      </x:c>
      <x:c r="N29" t="str">
        <x:f>IF(I29&gt;70,"70+ dB",IF(I29&gt;55,"56-70 dB","41-55 dB"))</x:f>
        <x:v>56-70 dB</x:v>
      </x:c>
      <x:c r="O29" t="str">
        <x:f>IF(I29&gt;70,"High",IF(I29&gt;55,"Moderate","Low"))</x:f>
        <x:v>Moderate</x:v>
      </x:c>
      <x:c r="P29" t="str">
        <x:f>IF(I29&gt;=70,"Yes","No")</x:f>
        <x:v>No</x:v>
      </x:c>
      <x:c r="Q29" t="str">
        <x:f>TEXT(B29,"yyyy-mm")</x:f>
        <x:v>2013-05</x:v>
      </x:c>
    </x:row>
    <x:row r="30">
      <x:c r="A30" t="str">
        <x:v>HYD01</x:v>
      </x:c>
      <x:c r="B30" s="22" t="n">
        <x:f>DATE(C30,D30,1)</x:f>
        <x:v>41426</x:v>
      </x:c>
      <x:c r="C30" t="n">
        <x:v>2013</x:v>
      </x:c>
      <x:c r="D30" t="n">
        <x:v>6</x:v>
      </x:c>
      <x:c r="E30" t="str">
        <x:f>TEXT(B30,"mmm")</x:f>
        <x:v>Jun</x:v>
      </x:c>
      <x:c r="F30" t="str">
        <x:f>"Q"&amp;ROUNDUP(D30/3,0)</x:f>
        <x:v>Q2</x:v>
      </x:c>
      <x:c r="G30" s="23" t="n">
        <x:v>73</x:v>
      </x:c>
      <x:c r="H30" s="23" t="n">
        <x:v>66</x:v>
      </x:c>
      <x:c r="I30" s="23" t="n">
        <x:v>69.5</x:v>
      </x:c>
      <x:c r="J30" s="23" t="n">
        <x:f>G30-H30</x:f>
        <x:v>7</x:v>
      </x:c>
      <x:c r="K30" t="str">
        <x:v>OBSERVED</x:v>
      </x:c>
      <x:c r="L30" s="24" t="n">
        <x:v>17.385</x:v>
      </x:c>
      <x:c r="M30" s="24" t="n">
        <x:v>78.4867</x:v>
      </x:c>
      <x:c r="N30" t="str">
        <x:f>IF(I30&gt;70,"70+ dB",IF(I30&gt;55,"56-70 dB","41-55 dB"))</x:f>
        <x:v>56-70 dB</x:v>
      </x:c>
      <x:c r="O30" t="str">
        <x:f>IF(I30&gt;70,"High",IF(I30&gt;55,"Moderate","Low"))</x:f>
        <x:v>Moderate</x:v>
      </x:c>
      <x:c r="P30" t="str">
        <x:f>IF(I30&gt;=70,"Yes","No")</x:f>
        <x:v>No</x:v>
      </x:c>
      <x:c r="Q30" t="str">
        <x:f>TEXT(B30,"yyyy-mm")</x:f>
        <x:v>2013-06</x:v>
      </x:c>
    </x:row>
    <x:row r="31">
      <x:c r="A31" t="str">
        <x:v>HYD01</x:v>
      </x:c>
      <x:c r="B31" s="22" t="n">
        <x:f>DATE(C31,D31,1)</x:f>
        <x:v>41456</x:v>
      </x:c>
      <x:c r="C31" t="n">
        <x:v>2013</x:v>
      </x:c>
      <x:c r="D31" t="n">
        <x:v>7</x:v>
      </x:c>
      <x:c r="E31" t="str">
        <x:f>TEXT(B31,"mmm")</x:f>
        <x:v>Jul</x:v>
      </x:c>
      <x:c r="F31" t="str">
        <x:f>"Q"&amp;ROUNDUP(D31/3,0)</x:f>
        <x:v>Q3</x:v>
      </x:c>
      <x:c r="G31" s="23" t="n">
        <x:v>74</x:v>
      </x:c>
      <x:c r="H31" s="23" t="n">
        <x:v>67</x:v>
      </x:c>
      <x:c r="I31" s="23" t="n">
        <x:v>70.5</x:v>
      </x:c>
      <x:c r="J31" s="23" t="n">
        <x:f>G31-H31</x:f>
        <x:v>7</x:v>
      </x:c>
      <x:c r="K31" t="str">
        <x:v>OBSERVED</x:v>
      </x:c>
      <x:c r="L31" s="24" t="n">
        <x:v>17.385</x:v>
      </x:c>
      <x:c r="M31" s="24" t="n">
        <x:v>78.4867</x:v>
      </x:c>
      <x:c r="N31" t="str">
        <x:f>IF(I31&gt;70,"70+ dB",IF(I31&gt;55,"56-70 dB","41-55 dB"))</x:f>
        <x:v>70+ dB</x:v>
      </x:c>
      <x:c r="O31" t="str">
        <x:f>IF(I31&gt;70,"High",IF(I31&gt;55,"Moderate","Low"))</x:f>
        <x:v>High</x:v>
      </x:c>
      <x:c r="P31" t="str">
        <x:f>IF(I31&gt;=70,"Yes","No")</x:f>
        <x:v>Yes</x:v>
      </x:c>
      <x:c r="Q31" t="str">
        <x:f>TEXT(B31,"yyyy-mm")</x:f>
        <x:v>2013-07</x:v>
      </x:c>
    </x:row>
    <x:row r="32">
      <x:c r="A32" t="str">
        <x:v>HYD01</x:v>
      </x:c>
      <x:c r="B32" s="22" t="n">
        <x:f>DATE(C32,D32,1)</x:f>
        <x:v>41487</x:v>
      </x:c>
      <x:c r="C32" t="n">
        <x:v>2013</x:v>
      </x:c>
      <x:c r="D32" t="n">
        <x:v>8</x:v>
      </x:c>
      <x:c r="E32" t="str">
        <x:f>TEXT(B32,"mmm")</x:f>
        <x:v>Aug</x:v>
      </x:c>
      <x:c r="F32" t="str">
        <x:f>"Q"&amp;ROUNDUP(D32/3,0)</x:f>
        <x:v>Q3</x:v>
      </x:c>
      <x:c r="G32" s="23" t="n">
        <x:v>73</x:v>
      </x:c>
      <x:c r="H32" s="23" t="n">
        <x:v>66</x:v>
      </x:c>
      <x:c r="I32" s="23" t="n">
        <x:v>69.5</x:v>
      </x:c>
      <x:c r="J32" s="23" t="n">
        <x:f>G32-H32</x:f>
        <x:v>7</x:v>
      </x:c>
      <x:c r="K32" t="str">
        <x:v>OBSERVED</x:v>
      </x:c>
      <x:c r="L32" s="24" t="n">
        <x:v>17.385</x:v>
      </x:c>
      <x:c r="M32" s="24" t="n">
        <x:v>78.4867</x:v>
      </x:c>
      <x:c r="N32" t="str">
        <x:f>IF(I32&gt;70,"70+ dB",IF(I32&gt;55,"56-70 dB","41-55 dB"))</x:f>
        <x:v>56-70 dB</x:v>
      </x:c>
      <x:c r="O32" t="str">
        <x:f>IF(I32&gt;70,"High",IF(I32&gt;55,"Moderate","Low"))</x:f>
        <x:v>Moderate</x:v>
      </x:c>
      <x:c r="P32" t="str">
        <x:f>IF(I32&gt;=70,"Yes","No")</x:f>
        <x:v>No</x:v>
      </x:c>
      <x:c r="Q32" t="str">
        <x:f>TEXT(B32,"yyyy-mm")</x:f>
        <x:v>2013-08</x:v>
      </x:c>
    </x:row>
    <x:row r="33">
      <x:c r="A33" t="str">
        <x:v>HYD01</x:v>
      </x:c>
      <x:c r="B33" s="22" t="n">
        <x:f>DATE(C33,D33,1)</x:f>
        <x:v>41518</x:v>
      </x:c>
      <x:c r="C33" t="n">
        <x:v>2013</x:v>
      </x:c>
      <x:c r="D33" t="n">
        <x:v>9</x:v>
      </x:c>
      <x:c r="E33" t="str">
        <x:f>TEXT(B33,"mmm")</x:f>
        <x:v>Sep</x:v>
      </x:c>
      <x:c r="F33" t="str">
        <x:f>"Q"&amp;ROUNDUP(D33/3,0)</x:f>
        <x:v>Q3</x:v>
      </x:c>
      <x:c r="G33" s="23" t="n">
        <x:v>72</x:v>
      </x:c>
      <x:c r="H33" s="23" t="n">
        <x:v>64</x:v>
      </x:c>
      <x:c r="I33" s="23" t="n">
        <x:v>68</x:v>
      </x:c>
      <x:c r="J33" s="23" t="n">
        <x:f>G33-H33</x:f>
        <x:v>8</x:v>
      </x:c>
      <x:c r="K33" t="str">
        <x:v>OBSERVED</x:v>
      </x:c>
      <x:c r="L33" s="24" t="n">
        <x:v>17.385</x:v>
      </x:c>
      <x:c r="M33" s="24" t="n">
        <x:v>78.4867</x:v>
      </x:c>
      <x:c r="N33" t="str">
        <x:f>IF(I33&gt;70,"70+ dB",IF(I33&gt;55,"56-70 dB","41-55 dB"))</x:f>
        <x:v>56-70 dB</x:v>
      </x:c>
      <x:c r="O33" t="str">
        <x:f>IF(I33&gt;70,"High",IF(I33&gt;55,"Moderate","Low"))</x:f>
        <x:v>Moderate</x:v>
      </x:c>
      <x:c r="P33" t="str">
        <x:f>IF(I33&gt;=70,"Yes","No")</x:f>
        <x:v>No</x:v>
      </x:c>
      <x:c r="Q33" t="str">
        <x:f>TEXT(B33,"yyyy-mm")</x:f>
        <x:v>2013-09</x:v>
      </x:c>
    </x:row>
    <x:row r="34">
      <x:c r="A34" t="str">
        <x:v>HYD01</x:v>
      </x:c>
      <x:c r="B34" s="22" t="n">
        <x:f>DATE(C34,D34,1)</x:f>
        <x:v>41548</x:v>
      </x:c>
      <x:c r="C34" t="n">
        <x:v>2013</x:v>
      </x:c>
      <x:c r="D34" t="n">
        <x:v>10</x:v>
      </x:c>
      <x:c r="E34" t="str">
        <x:f>TEXT(B34,"mmm")</x:f>
        <x:v>Oct</x:v>
      </x:c>
      <x:c r="F34" t="str">
        <x:f>"Q"&amp;ROUNDUP(D34/3,0)</x:f>
        <x:v>Q4</x:v>
      </x:c>
      <x:c r="G34" s="23" t="n">
        <x:v>72</x:v>
      </x:c>
      <x:c r="H34" s="23" t="n">
        <x:v>64</x:v>
      </x:c>
      <x:c r="I34" s="23" t="n">
        <x:v>68</x:v>
      </x:c>
      <x:c r="J34" s="23" t="n">
        <x:f>G34-H34</x:f>
        <x:v>8</x:v>
      </x:c>
      <x:c r="K34" t="str">
        <x:v>OBSERVED</x:v>
      </x:c>
      <x:c r="L34" s="24" t="n">
        <x:v>17.385</x:v>
      </x:c>
      <x:c r="M34" s="24" t="n">
        <x:v>78.4867</x:v>
      </x:c>
      <x:c r="N34" t="str">
        <x:f>IF(I34&gt;70,"70+ dB",IF(I34&gt;55,"56-70 dB","41-55 dB"))</x:f>
        <x:v>56-70 dB</x:v>
      </x:c>
      <x:c r="O34" t="str">
        <x:f>IF(I34&gt;70,"High",IF(I34&gt;55,"Moderate","Low"))</x:f>
        <x:v>Moderate</x:v>
      </x:c>
      <x:c r="P34" t="str">
        <x:f>IF(I34&gt;=70,"Yes","No")</x:f>
        <x:v>No</x:v>
      </x:c>
      <x:c r="Q34" t="str">
        <x:f>TEXT(B34,"yyyy-mm")</x:f>
        <x:v>2013-10</x:v>
      </x:c>
    </x:row>
    <x:row r="35">
      <x:c r="A35" t="str">
        <x:v>HYD01</x:v>
      </x:c>
      <x:c r="B35" s="22" t="n">
        <x:f>DATE(C35,D35,1)</x:f>
        <x:v>41579</x:v>
      </x:c>
      <x:c r="C35" t="n">
        <x:v>2013</x:v>
      </x:c>
      <x:c r="D35" t="n">
        <x:v>11</x:v>
      </x:c>
      <x:c r="E35" t="str">
        <x:f>TEXT(B35,"mmm")</x:f>
        <x:v>Nov</x:v>
      </x:c>
      <x:c r="F35" t="str">
        <x:f>"Q"&amp;ROUNDUP(D35/3,0)</x:f>
        <x:v>Q4</x:v>
      </x:c>
      <x:c r="G35" s="23" t="n">
        <x:v>73</x:v>
      </x:c>
      <x:c r="H35" s="23" t="n">
        <x:v>63</x:v>
      </x:c>
      <x:c r="I35" s="23" t="n">
        <x:v>68</x:v>
      </x:c>
      <x:c r="J35" s="23" t="n">
        <x:f>G35-H35</x:f>
        <x:v>10</x:v>
      </x:c>
      <x:c r="K35" t="str">
        <x:v>OBSERVED</x:v>
      </x:c>
      <x:c r="L35" s="24" t="n">
        <x:v>17.385</x:v>
      </x:c>
      <x:c r="M35" s="24" t="n">
        <x:v>78.4867</x:v>
      </x:c>
      <x:c r="N35" t="str">
        <x:f>IF(I35&gt;70,"70+ dB",IF(I35&gt;55,"56-70 dB","41-55 dB"))</x:f>
        <x:v>56-70 dB</x:v>
      </x:c>
      <x:c r="O35" t="str">
        <x:f>IF(I35&gt;70,"High",IF(I35&gt;55,"Moderate","Low"))</x:f>
        <x:v>Moderate</x:v>
      </x:c>
      <x:c r="P35" t="str">
        <x:f>IF(I35&gt;=70,"Yes","No")</x:f>
        <x:v>No</x:v>
      </x:c>
      <x:c r="Q35" t="str">
        <x:f>TEXT(B35,"yyyy-mm")</x:f>
        <x:v>2013-11</x:v>
      </x:c>
    </x:row>
    <x:row r="36">
      <x:c r="A36" t="str">
        <x:v>HYD01</x:v>
      </x:c>
      <x:c r="B36" s="22" t="n">
        <x:f>DATE(C36,D36,1)</x:f>
        <x:v>41609</x:v>
      </x:c>
      <x:c r="C36" t="n">
        <x:v>2013</x:v>
      </x:c>
      <x:c r="D36" t="n">
        <x:v>12</x:v>
      </x:c>
      <x:c r="E36" t="str">
        <x:f>TEXT(B36,"mmm")</x:f>
        <x:v>Dec</x:v>
      </x:c>
      <x:c r="F36" t="str">
        <x:f>"Q"&amp;ROUNDUP(D36/3,0)</x:f>
        <x:v>Q4</x:v>
      </x:c>
      <x:c r="G36" s="23" t="n">
        <x:v>72</x:v>
      </x:c>
      <x:c r="H36" s="23" t="n">
        <x:v>61</x:v>
      </x:c>
      <x:c r="I36" s="23" t="n">
        <x:v>66.5</x:v>
      </x:c>
      <x:c r="J36" s="23" t="n">
        <x:f>G36-H36</x:f>
        <x:v>11</x:v>
      </x:c>
      <x:c r="K36" t="str">
        <x:v>OBSERVED</x:v>
      </x:c>
      <x:c r="L36" s="24" t="n">
        <x:v>17.385</x:v>
      </x:c>
      <x:c r="M36" s="24" t="n">
        <x:v>78.4867</x:v>
      </x:c>
      <x:c r="N36" t="str">
        <x:f>IF(I36&gt;70,"70+ dB",IF(I36&gt;55,"56-70 dB","41-55 dB"))</x:f>
        <x:v>56-70 dB</x:v>
      </x:c>
      <x:c r="O36" t="str">
        <x:f>IF(I36&gt;70,"High",IF(I36&gt;55,"Moderate","Low"))</x:f>
        <x:v>Moderate</x:v>
      </x:c>
      <x:c r="P36" t="str">
        <x:f>IF(I36&gt;=70,"Yes","No")</x:f>
        <x:v>No</x:v>
      </x:c>
      <x:c r="Q36" t="str">
        <x:f>TEXT(B36,"yyyy-mm")</x:f>
        <x:v>2013-12</x:v>
      </x:c>
    </x:row>
    <x:row r="37">
      <x:c r="A37" t="str">
        <x:v>HYD01</x:v>
      </x:c>
      <x:c r="B37" s="22" t="n">
        <x:f>DATE(C37,D37,1)</x:f>
        <x:v>41640</x:v>
      </x:c>
      <x:c r="C37" t="n">
        <x:v>2014</x:v>
      </x:c>
      <x:c r="D37" t="n">
        <x:v>1</x:v>
      </x:c>
      <x:c r="E37" t="str">
        <x:f>TEXT(B37,"mmm")</x:f>
        <x:v>Jan</x:v>
      </x:c>
      <x:c r="F37" t="str">
        <x:f>"Q"&amp;ROUNDUP(D37/3,0)</x:f>
        <x:v>Q1</x:v>
      </x:c>
      <x:c r="G37" s="23" t="n">
        <x:v>73</x:v>
      </x:c>
      <x:c r="H37" s="23" t="n">
        <x:v>63</x:v>
      </x:c>
      <x:c r="I37" s="23" t="n">
        <x:v>68</x:v>
      </x:c>
      <x:c r="J37" s="23" t="n">
        <x:f>G37-H37</x:f>
        <x:v>10</x:v>
      </x:c>
      <x:c r="K37" t="str">
        <x:v>OBSERVED</x:v>
      </x:c>
      <x:c r="L37" s="24" t="n">
        <x:v>17.385</x:v>
      </x:c>
      <x:c r="M37" s="24" t="n">
        <x:v>78.4867</x:v>
      </x:c>
      <x:c r="N37" t="str">
        <x:f>IF(I37&gt;70,"70+ dB",IF(I37&gt;55,"56-70 dB","41-55 dB"))</x:f>
        <x:v>56-70 dB</x:v>
      </x:c>
      <x:c r="O37" t="str">
        <x:f>IF(I37&gt;70,"High",IF(I37&gt;55,"Moderate","Low"))</x:f>
        <x:v>Moderate</x:v>
      </x:c>
      <x:c r="P37" t="str">
        <x:f>IF(I37&gt;=70,"Yes","No")</x:f>
        <x:v>No</x:v>
      </x:c>
      <x:c r="Q37" t="str">
        <x:f>TEXT(B37,"yyyy-mm")</x:f>
        <x:v>2014-01</x:v>
      </x:c>
    </x:row>
    <x:row r="38">
      <x:c r="A38" t="str">
        <x:v>HYD01</x:v>
      </x:c>
      <x:c r="B38" s="22" t="n">
        <x:f>DATE(C38,D38,1)</x:f>
        <x:v>41671</x:v>
      </x:c>
      <x:c r="C38" t="n">
        <x:v>2014</x:v>
      </x:c>
      <x:c r="D38" t="n">
        <x:v>2</x:v>
      </x:c>
      <x:c r="E38" t="str">
        <x:f>TEXT(B38,"mmm")</x:f>
        <x:v>Feb</x:v>
      </x:c>
      <x:c r="F38" t="str">
        <x:f>"Q"&amp;ROUNDUP(D38/3,0)</x:f>
        <x:v>Q1</x:v>
      </x:c>
      <x:c r="G38" s="23" t="n">
        <x:v>72</x:v>
      </x:c>
      <x:c r="H38" s="23" t="n">
        <x:v>63</x:v>
      </x:c>
      <x:c r="I38" s="23" t="n">
        <x:v>67.5</x:v>
      </x:c>
      <x:c r="J38" s="23" t="n">
        <x:f>G38-H38</x:f>
        <x:v>9</x:v>
      </x:c>
      <x:c r="K38" t="str">
        <x:v>OBSERVED</x:v>
      </x:c>
      <x:c r="L38" s="24" t="n">
        <x:v>17.385</x:v>
      </x:c>
      <x:c r="M38" s="24" t="n">
        <x:v>78.4867</x:v>
      </x:c>
      <x:c r="N38" t="str">
        <x:f>IF(I38&gt;70,"70+ dB",IF(I38&gt;55,"56-70 dB","41-55 dB"))</x:f>
        <x:v>56-70 dB</x:v>
      </x:c>
      <x:c r="O38" t="str">
        <x:f>IF(I38&gt;70,"High",IF(I38&gt;55,"Moderate","Low"))</x:f>
        <x:v>Moderate</x:v>
      </x:c>
      <x:c r="P38" t="str">
        <x:f>IF(I38&gt;=70,"Yes","No")</x:f>
        <x:v>No</x:v>
      </x:c>
      <x:c r="Q38" t="str">
        <x:f>TEXT(B38,"yyyy-mm")</x:f>
        <x:v>2014-02</x:v>
      </x:c>
    </x:row>
    <x:row r="39">
      <x:c r="A39" t="str">
        <x:v>HYD01</x:v>
      </x:c>
      <x:c r="B39" s="22" t="n">
        <x:f>DATE(C39,D39,1)</x:f>
        <x:v>41699</x:v>
      </x:c>
      <x:c r="C39" t="n">
        <x:v>2014</x:v>
      </x:c>
      <x:c r="D39" t="n">
        <x:v>3</x:v>
      </x:c>
      <x:c r="E39" t="str">
        <x:f>TEXT(B39,"mmm")</x:f>
        <x:v>Mar</x:v>
      </x:c>
      <x:c r="F39" t="str">
        <x:f>"Q"&amp;ROUNDUP(D39/3,0)</x:f>
        <x:v>Q1</x:v>
      </x:c>
      <x:c r="G39" s="23" t="n">
        <x:v>72</x:v>
      </x:c>
      <x:c r="H39" s="23" t="n">
        <x:v>61</x:v>
      </x:c>
      <x:c r="I39" s="23" t="n">
        <x:v>66.5</x:v>
      </x:c>
      <x:c r="J39" s="23" t="n">
        <x:f>G39-H39</x:f>
        <x:v>11</x:v>
      </x:c>
      <x:c r="K39" t="str">
        <x:v>OBSERVED</x:v>
      </x:c>
      <x:c r="L39" s="24" t="n">
        <x:v>17.385</x:v>
      </x:c>
      <x:c r="M39" s="24" t="n">
        <x:v>78.4867</x:v>
      </x:c>
      <x:c r="N39" t="str">
        <x:f>IF(I39&gt;70,"70+ dB",IF(I39&gt;55,"56-70 dB","41-55 dB"))</x:f>
        <x:v>56-70 dB</x:v>
      </x:c>
      <x:c r="O39" t="str">
        <x:f>IF(I39&gt;70,"High",IF(I39&gt;55,"Moderate","Low"))</x:f>
        <x:v>Moderate</x:v>
      </x:c>
      <x:c r="P39" t="str">
        <x:f>IF(I39&gt;=70,"Yes","No")</x:f>
        <x:v>No</x:v>
      </x:c>
      <x:c r="Q39" t="str">
        <x:f>TEXT(B39,"yyyy-mm")</x:f>
        <x:v>2014-03</x:v>
      </x:c>
    </x:row>
    <x:row r="40">
      <x:c r="A40" t="str">
        <x:v>HYD01</x:v>
      </x:c>
      <x:c r="B40" s="22" t="n">
        <x:f>DATE(C40,D40,1)</x:f>
        <x:v>41730</x:v>
      </x:c>
      <x:c r="C40" t="n">
        <x:v>2014</x:v>
      </x:c>
      <x:c r="D40" t="n">
        <x:v>4</x:v>
      </x:c>
      <x:c r="E40" t="str">
        <x:f>TEXT(B40,"mmm")</x:f>
        <x:v>Apr</x:v>
      </x:c>
      <x:c r="F40" t="str">
        <x:f>"Q"&amp;ROUNDUP(D40/3,0)</x:f>
        <x:v>Q2</x:v>
      </x:c>
      <x:c r="G40" s="23" t="n">
        <x:v>72</x:v>
      </x:c>
      <x:c r="H40" s="23" t="n">
        <x:v>62</x:v>
      </x:c>
      <x:c r="I40" s="23" t="n">
        <x:v>67</x:v>
      </x:c>
      <x:c r="J40" s="23" t="n">
        <x:f>G40-H40</x:f>
        <x:v>10</x:v>
      </x:c>
      <x:c r="K40" t="str">
        <x:v>OBSERVED</x:v>
      </x:c>
      <x:c r="L40" s="24" t="n">
        <x:v>17.385</x:v>
      </x:c>
      <x:c r="M40" s="24" t="n">
        <x:v>78.4867</x:v>
      </x:c>
      <x:c r="N40" t="str">
        <x:f>IF(I40&gt;70,"70+ dB",IF(I40&gt;55,"56-70 dB","41-55 dB"))</x:f>
        <x:v>56-70 dB</x:v>
      </x:c>
      <x:c r="O40" t="str">
        <x:f>IF(I40&gt;70,"High",IF(I40&gt;55,"Moderate","Low"))</x:f>
        <x:v>Moderate</x:v>
      </x:c>
      <x:c r="P40" t="str">
        <x:f>IF(I40&gt;=70,"Yes","No")</x:f>
        <x:v>No</x:v>
      </x:c>
      <x:c r="Q40" t="str">
        <x:f>TEXT(B40,"yyyy-mm")</x:f>
        <x:v>2014-04</x:v>
      </x:c>
    </x:row>
    <x:row r="41">
      <x:c r="A41" t="str">
        <x:v>HYD01</x:v>
      </x:c>
      <x:c r="B41" s="22" t="n">
        <x:f>DATE(C41,D41,1)</x:f>
        <x:v>41760</x:v>
      </x:c>
      <x:c r="C41" t="n">
        <x:v>2014</x:v>
      </x:c>
      <x:c r="D41" t="n">
        <x:v>5</x:v>
      </x:c>
      <x:c r="E41" t="str">
        <x:f>TEXT(B41,"mmm")</x:f>
        <x:v>May</x:v>
      </x:c>
      <x:c r="F41" t="str">
        <x:f>"Q"&amp;ROUNDUP(D41/3,0)</x:f>
        <x:v>Q2</x:v>
      </x:c>
      <x:c r="G41" s="23" t="n">
        <x:v>72</x:v>
      </x:c>
      <x:c r="H41" s="23" t="n">
        <x:v>63</x:v>
      </x:c>
      <x:c r="I41" s="23" t="n">
        <x:v>67.5</x:v>
      </x:c>
      <x:c r="J41" s="23" t="n">
        <x:f>G41-H41</x:f>
        <x:v>9</x:v>
      </x:c>
      <x:c r="K41" t="str">
        <x:v>OBSERVED</x:v>
      </x:c>
      <x:c r="L41" s="24" t="n">
        <x:v>17.385</x:v>
      </x:c>
      <x:c r="M41" s="24" t="n">
        <x:v>78.4867</x:v>
      </x:c>
      <x:c r="N41" t="str">
        <x:f>IF(I41&gt;70,"70+ dB",IF(I41&gt;55,"56-70 dB","41-55 dB"))</x:f>
        <x:v>56-70 dB</x:v>
      </x:c>
      <x:c r="O41" t="str">
        <x:f>IF(I41&gt;70,"High",IF(I41&gt;55,"Moderate","Low"))</x:f>
        <x:v>Moderate</x:v>
      </x:c>
      <x:c r="P41" t="str">
        <x:f>IF(I41&gt;=70,"Yes","No")</x:f>
        <x:v>No</x:v>
      </x:c>
      <x:c r="Q41" t="str">
        <x:f>TEXT(B41,"yyyy-mm")</x:f>
        <x:v>2014-05</x:v>
      </x:c>
    </x:row>
    <x:row r="42">
      <x:c r="A42" t="str">
        <x:v>HYD01</x:v>
      </x:c>
      <x:c r="B42" s="22" t="n">
        <x:f>DATE(C42,D42,1)</x:f>
        <x:v>41791</x:v>
      </x:c>
      <x:c r="C42" t="n">
        <x:v>2014</x:v>
      </x:c>
      <x:c r="D42" t="n">
        <x:v>6</x:v>
      </x:c>
      <x:c r="E42" t="str">
        <x:f>TEXT(B42,"mmm")</x:f>
        <x:v>Jun</x:v>
      </x:c>
      <x:c r="F42" t="str">
        <x:f>"Q"&amp;ROUNDUP(D42/3,0)</x:f>
        <x:v>Q2</x:v>
      </x:c>
      <x:c r="G42" s="23" t="n">
        <x:v>73</x:v>
      </x:c>
      <x:c r="H42" s="23" t="n">
        <x:v>67</x:v>
      </x:c>
      <x:c r="I42" s="23" t="n">
        <x:v>70</x:v>
      </x:c>
      <x:c r="J42" s="23" t="n">
        <x:f>G42-H42</x:f>
        <x:v>6</x:v>
      </x:c>
      <x:c r="K42" t="str">
        <x:v>OBSERVED</x:v>
      </x:c>
      <x:c r="L42" s="24" t="n">
        <x:v>17.385</x:v>
      </x:c>
      <x:c r="M42" s="24" t="n">
        <x:v>78.4867</x:v>
      </x:c>
      <x:c r="N42" t="str">
        <x:f>IF(I42&gt;70,"70+ dB",IF(I42&gt;55,"56-70 dB","41-55 dB"))</x:f>
        <x:v>56-70 dB</x:v>
      </x:c>
      <x:c r="O42" t="str">
        <x:f>IF(I42&gt;70,"High",IF(I42&gt;55,"Moderate","Low"))</x:f>
        <x:v>Moderate</x:v>
      </x:c>
      <x:c r="P42" t="str">
        <x:f>IF(I42&gt;=70,"Yes","No")</x:f>
        <x:v>Yes</x:v>
      </x:c>
      <x:c r="Q42" t="str">
        <x:f>TEXT(B42,"yyyy-mm")</x:f>
        <x:v>2014-06</x:v>
      </x:c>
    </x:row>
    <x:row r="43">
      <x:c r="A43" t="str">
        <x:v>HYD01</x:v>
      </x:c>
      <x:c r="B43" s="22" t="n">
        <x:f>DATE(C43,D43,1)</x:f>
        <x:v>41821</x:v>
      </x:c>
      <x:c r="C43" t="n">
        <x:v>2014</x:v>
      </x:c>
      <x:c r="D43" t="n">
        <x:v>7</x:v>
      </x:c>
      <x:c r="E43" t="str">
        <x:f>TEXT(B43,"mmm")</x:f>
        <x:v>Jul</x:v>
      </x:c>
      <x:c r="F43" t="str">
        <x:f>"Q"&amp;ROUNDUP(D43/3,0)</x:f>
        <x:v>Q3</x:v>
      </x:c>
      <x:c r="G43" s="23" t="n">
        <x:v>74</x:v>
      </x:c>
      <x:c r="H43" s="23" t="n">
        <x:v>69</x:v>
      </x:c>
      <x:c r="I43" s="23" t="n">
        <x:v>71.5</x:v>
      </x:c>
      <x:c r="J43" s="23" t="n">
        <x:f>G43-H43</x:f>
        <x:v>5</x:v>
      </x:c>
      <x:c r="K43" t="str">
        <x:v>OBSERVED</x:v>
      </x:c>
      <x:c r="L43" s="24" t="n">
        <x:v>17.385</x:v>
      </x:c>
      <x:c r="M43" s="24" t="n">
        <x:v>78.4867</x:v>
      </x:c>
      <x:c r="N43" t="str">
        <x:f>IF(I43&gt;70,"70+ dB",IF(I43&gt;55,"56-70 dB","41-55 dB"))</x:f>
        <x:v>70+ dB</x:v>
      </x:c>
      <x:c r="O43" t="str">
        <x:f>IF(I43&gt;70,"High",IF(I43&gt;55,"Moderate","Low"))</x:f>
        <x:v>High</x:v>
      </x:c>
      <x:c r="P43" t="str">
        <x:f>IF(I43&gt;=70,"Yes","No")</x:f>
        <x:v>Yes</x:v>
      </x:c>
      <x:c r="Q43" t="str">
        <x:f>TEXT(B43,"yyyy-mm")</x:f>
        <x:v>2014-07</x:v>
      </x:c>
    </x:row>
    <x:row r="44">
      <x:c r="A44" t="str">
        <x:v>HYD01</x:v>
      </x:c>
      <x:c r="B44" s="22" t="n">
        <x:f>DATE(C44,D44,1)</x:f>
        <x:v>41852</x:v>
      </x:c>
      <x:c r="C44" t="n">
        <x:v>2014</x:v>
      </x:c>
      <x:c r="D44" t="n">
        <x:v>8</x:v>
      </x:c>
      <x:c r="E44" t="str">
        <x:f>TEXT(B44,"mmm")</x:f>
        <x:v>Aug</x:v>
      </x:c>
      <x:c r="F44" t="str">
        <x:f>"Q"&amp;ROUNDUP(D44/3,0)</x:f>
        <x:v>Q3</x:v>
      </x:c>
      <x:c r="G44" s="23" t="n">
        <x:v>73</x:v>
      </x:c>
      <x:c r="H44" s="23" t="n">
        <x:v>65</x:v>
      </x:c>
      <x:c r="I44" s="23" t="n">
        <x:v>69</x:v>
      </x:c>
      <x:c r="J44" s="23" t="n">
        <x:f>G44-H44</x:f>
        <x:v>8</x:v>
      </x:c>
      <x:c r="K44" t="str">
        <x:v>OBSERVED</x:v>
      </x:c>
      <x:c r="L44" s="24" t="n">
        <x:v>17.385</x:v>
      </x:c>
      <x:c r="M44" s="24" t="n">
        <x:v>78.4867</x:v>
      </x:c>
      <x:c r="N44" t="str">
        <x:f>IF(I44&gt;70,"70+ dB",IF(I44&gt;55,"56-70 dB","41-55 dB"))</x:f>
        <x:v>56-70 dB</x:v>
      </x:c>
      <x:c r="O44" t="str">
        <x:f>IF(I44&gt;70,"High",IF(I44&gt;55,"Moderate","Low"))</x:f>
        <x:v>Moderate</x:v>
      </x:c>
      <x:c r="P44" t="str">
        <x:f>IF(I44&gt;=70,"Yes","No")</x:f>
        <x:v>No</x:v>
      </x:c>
      <x:c r="Q44" t="str">
        <x:f>TEXT(B44,"yyyy-mm")</x:f>
        <x:v>2014-08</x:v>
      </x:c>
    </x:row>
    <x:row r="45">
      <x:c r="A45" t="str">
        <x:v>HYD01</x:v>
      </x:c>
      <x:c r="B45" s="22" t="n">
        <x:f>DATE(C45,D45,1)</x:f>
        <x:v>41883</x:v>
      </x:c>
      <x:c r="C45" t="n">
        <x:v>2014</x:v>
      </x:c>
      <x:c r="D45" t="n">
        <x:v>9</x:v>
      </x:c>
      <x:c r="E45" t="str">
        <x:f>TEXT(B45,"mmm")</x:f>
        <x:v>Sep</x:v>
      </x:c>
      <x:c r="F45" t="str">
        <x:f>"Q"&amp;ROUNDUP(D45/3,0)</x:f>
        <x:v>Q3</x:v>
      </x:c>
      <x:c r="G45" s="23" t="n">
        <x:v>73</x:v>
      </x:c>
      <x:c r="H45" s="23" t="n">
        <x:v>65</x:v>
      </x:c>
      <x:c r="I45" s="23" t="n">
        <x:v>69</x:v>
      </x:c>
      <x:c r="J45" s="23" t="n">
        <x:f>G45-H45</x:f>
        <x:v>8</x:v>
      </x:c>
      <x:c r="K45" t="str">
        <x:v>OBSERVED</x:v>
      </x:c>
      <x:c r="L45" s="24" t="n">
        <x:v>17.385</x:v>
      </x:c>
      <x:c r="M45" s="24" t="n">
        <x:v>78.4867</x:v>
      </x:c>
      <x:c r="N45" t="str">
        <x:f>IF(I45&gt;70,"70+ dB",IF(I45&gt;55,"56-70 dB","41-55 dB"))</x:f>
        <x:v>56-70 dB</x:v>
      </x:c>
      <x:c r="O45" t="str">
        <x:f>IF(I45&gt;70,"High",IF(I45&gt;55,"Moderate","Low"))</x:f>
        <x:v>Moderate</x:v>
      </x:c>
      <x:c r="P45" t="str">
        <x:f>IF(I45&gt;=70,"Yes","No")</x:f>
        <x:v>No</x:v>
      </x:c>
      <x:c r="Q45" t="str">
        <x:f>TEXT(B45,"yyyy-mm")</x:f>
        <x:v>2014-09</x:v>
      </x:c>
    </x:row>
    <x:row r="46">
      <x:c r="A46" t="str">
        <x:v>HYD01</x:v>
      </x:c>
      <x:c r="B46" s="22" t="n">
        <x:f>DATE(C46,D46,1)</x:f>
        <x:v>41913</x:v>
      </x:c>
      <x:c r="C46" t="n">
        <x:v>2014</x:v>
      </x:c>
      <x:c r="D46" t="n">
        <x:v>10</x:v>
      </x:c>
      <x:c r="E46" t="str">
        <x:f>TEXT(B46,"mmm")</x:f>
        <x:v>Oct</x:v>
      </x:c>
      <x:c r="F46" t="str">
        <x:f>"Q"&amp;ROUNDUP(D46/3,0)</x:f>
        <x:v>Q4</x:v>
      </x:c>
      <x:c r="G46" s="23" t="n">
        <x:v>76</x:v>
      </x:c>
      <x:c r="H46" s="23" t="n">
        <x:v>68</x:v>
      </x:c>
      <x:c r="I46" s="23" t="n">
        <x:v>72</x:v>
      </x:c>
      <x:c r="J46" s="23" t="n">
        <x:f>G46-H46</x:f>
        <x:v>8</x:v>
      </x:c>
      <x:c r="K46" t="str">
        <x:v>OBSERVED</x:v>
      </x:c>
      <x:c r="L46" s="24" t="n">
        <x:v>17.385</x:v>
      </x:c>
      <x:c r="M46" s="24" t="n">
        <x:v>78.4867</x:v>
      </x:c>
      <x:c r="N46" t="str">
        <x:f>IF(I46&gt;70,"70+ dB",IF(I46&gt;55,"56-70 dB","41-55 dB"))</x:f>
        <x:v>70+ dB</x:v>
      </x:c>
      <x:c r="O46" t="str">
        <x:f>IF(I46&gt;70,"High",IF(I46&gt;55,"Moderate","Low"))</x:f>
        <x:v>High</x:v>
      </x:c>
      <x:c r="P46" t="str">
        <x:f>IF(I46&gt;=70,"Yes","No")</x:f>
        <x:v>Yes</x:v>
      </x:c>
      <x:c r="Q46" t="str">
        <x:f>TEXT(B46,"yyyy-mm")</x:f>
        <x:v>2014-10</x:v>
      </x:c>
    </x:row>
    <x:row r="47">
      <x:c r="A47" t="str">
        <x:v>HYD01</x:v>
      </x:c>
      <x:c r="B47" s="22" t="n">
        <x:f>DATE(C47,D47,1)</x:f>
        <x:v>41944</x:v>
      </x:c>
      <x:c r="C47" t="n">
        <x:v>2014</x:v>
      </x:c>
      <x:c r="D47" t="n">
        <x:v>11</x:v>
      </x:c>
      <x:c r="E47" t="str">
        <x:f>TEXT(B47,"mmm")</x:f>
        <x:v>Nov</x:v>
      </x:c>
      <x:c r="F47" t="str">
        <x:f>"Q"&amp;ROUNDUP(D47/3,0)</x:f>
        <x:v>Q4</x:v>
      </x:c>
      <x:c r="G47" s="23" t="n">
        <x:v>77</x:v>
      </x:c>
      <x:c r="H47" s="23" t="n">
        <x:v>66</x:v>
      </x:c>
      <x:c r="I47" s="23" t="n">
        <x:v>71.5</x:v>
      </x:c>
      <x:c r="J47" s="23" t="n">
        <x:f>G47-H47</x:f>
        <x:v>11</x:v>
      </x:c>
      <x:c r="K47" t="str">
        <x:v>OBSERVED</x:v>
      </x:c>
      <x:c r="L47" s="24" t="n">
        <x:v>17.385</x:v>
      </x:c>
      <x:c r="M47" s="24" t="n">
        <x:v>78.4867</x:v>
      </x:c>
      <x:c r="N47" t="str">
        <x:f>IF(I47&gt;70,"70+ dB",IF(I47&gt;55,"56-70 dB","41-55 dB"))</x:f>
        <x:v>70+ dB</x:v>
      </x:c>
      <x:c r="O47" t="str">
        <x:f>IF(I47&gt;70,"High",IF(I47&gt;55,"Moderate","Low"))</x:f>
        <x:v>High</x:v>
      </x:c>
      <x:c r="P47" t="str">
        <x:f>IF(I47&gt;=70,"Yes","No")</x:f>
        <x:v>Yes</x:v>
      </x:c>
      <x:c r="Q47" t="str">
        <x:f>TEXT(B47,"yyyy-mm")</x:f>
        <x:v>2014-11</x:v>
      </x:c>
    </x:row>
    <x:row r="48">
      <x:c r="A48" t="str">
        <x:v>HYD01</x:v>
      </x:c>
      <x:c r="B48" s="22" t="n">
        <x:f>DATE(C48,D48,1)</x:f>
        <x:v>41974</x:v>
      </x:c>
      <x:c r="C48" t="n">
        <x:v>2014</x:v>
      </x:c>
      <x:c r="D48" t="n">
        <x:v>12</x:v>
      </x:c>
      <x:c r="E48" t="str">
        <x:f>TEXT(B48,"mmm")</x:f>
        <x:v>Dec</x:v>
      </x:c>
      <x:c r="F48" t="str">
        <x:f>"Q"&amp;ROUNDUP(D48/3,0)</x:f>
        <x:v>Q4</x:v>
      </x:c>
      <x:c r="G48" s="23" t="n">
        <x:v>77</x:v>
      </x:c>
      <x:c r="H48" s="23" t="n">
        <x:v>66</x:v>
      </x:c>
      <x:c r="I48" s="23" t="n">
        <x:v>71.5</x:v>
      </x:c>
      <x:c r="J48" s="23" t="n">
        <x:f>G48-H48</x:f>
        <x:v>11</x:v>
      </x:c>
      <x:c r="K48" t="str">
        <x:v>OBSERVED</x:v>
      </x:c>
      <x:c r="L48" s="24" t="n">
        <x:v>17.385</x:v>
      </x:c>
      <x:c r="M48" s="24" t="n">
        <x:v>78.4867</x:v>
      </x:c>
      <x:c r="N48" t="str">
        <x:f>IF(I48&gt;70,"70+ dB",IF(I48&gt;55,"56-70 dB","41-55 dB"))</x:f>
        <x:v>70+ dB</x:v>
      </x:c>
      <x:c r="O48" t="str">
        <x:f>IF(I48&gt;70,"High",IF(I48&gt;55,"Moderate","Low"))</x:f>
        <x:v>High</x:v>
      </x:c>
      <x:c r="P48" t="str">
        <x:f>IF(I48&gt;=70,"Yes","No")</x:f>
        <x:v>Yes</x:v>
      </x:c>
      <x:c r="Q48" t="str">
        <x:f>TEXT(B48,"yyyy-mm")</x:f>
        <x:v>2014-12</x:v>
      </x:c>
    </x:row>
    <x:row r="49">
      <x:c r="A49" t="str">
        <x:v>HYD01</x:v>
      </x:c>
      <x:c r="B49" s="22" t="n">
        <x:f>DATE(C49,D49,1)</x:f>
        <x:v>42005</x:v>
      </x:c>
      <x:c r="C49" t="n">
        <x:v>2015</x:v>
      </x:c>
      <x:c r="D49" t="n">
        <x:v>1</x:v>
      </x:c>
      <x:c r="E49" t="str">
        <x:f>TEXT(B49,"mmm")</x:f>
        <x:v>Jan</x:v>
      </x:c>
      <x:c r="F49" t="str">
        <x:f>"Q"&amp;ROUNDUP(D49/3,0)</x:f>
        <x:v>Q1</x:v>
      </x:c>
      <x:c r="G49" s="23" t="n">
        <x:v>78</x:v>
      </x:c>
      <x:c r="H49" s="23" t="n">
        <x:v>69</x:v>
      </x:c>
      <x:c r="I49" s="23" t="n">
        <x:v>73.5</x:v>
      </x:c>
      <x:c r="J49" s="23" t="n">
        <x:f>G49-H49</x:f>
        <x:v>9</x:v>
      </x:c>
      <x:c r="K49" t="str">
        <x:v>OBSERVED</x:v>
      </x:c>
      <x:c r="L49" s="24" t="n">
        <x:v>17.385</x:v>
      </x:c>
      <x:c r="M49" s="24" t="n">
        <x:v>78.4867</x:v>
      </x:c>
      <x:c r="N49" t="str">
        <x:f>IF(I49&gt;70,"70+ dB",IF(I49&gt;55,"56-70 dB","41-55 dB"))</x:f>
        <x:v>70+ dB</x:v>
      </x:c>
      <x:c r="O49" t="str">
        <x:f>IF(I49&gt;70,"High",IF(I49&gt;55,"Moderate","Low"))</x:f>
        <x:v>High</x:v>
      </x:c>
      <x:c r="P49" t="str">
        <x:f>IF(I49&gt;=70,"Yes","No")</x:f>
        <x:v>Yes</x:v>
      </x:c>
      <x:c r="Q49" t="str">
        <x:f>TEXT(B49,"yyyy-mm")</x:f>
        <x:v>2015-01</x:v>
      </x:c>
    </x:row>
    <x:row r="50">
      <x:c r="A50" t="str">
        <x:v>HYD01</x:v>
      </x:c>
      <x:c r="B50" s="22" t="n">
        <x:f>DATE(C50,D50,1)</x:f>
        <x:v>42036</x:v>
      </x:c>
      <x:c r="C50" t="n">
        <x:v>2015</x:v>
      </x:c>
      <x:c r="D50" t="n">
        <x:v>2</x:v>
      </x:c>
      <x:c r="E50" t="str">
        <x:f>TEXT(B50,"mmm")</x:f>
        <x:v>Feb</x:v>
      </x:c>
      <x:c r="F50" t="str">
        <x:f>"Q"&amp;ROUNDUP(D50/3,0)</x:f>
        <x:v>Q1</x:v>
      </x:c>
      <x:c r="G50" s="23" t="n">
        <x:v>78</x:v>
      </x:c>
      <x:c r="H50" s="23" t="n">
        <x:v>68</x:v>
      </x:c>
      <x:c r="I50" s="23" t="n">
        <x:v>73</x:v>
      </x:c>
      <x:c r="J50" s="23" t="n">
        <x:f>G50-H50</x:f>
        <x:v>10</x:v>
      </x:c>
      <x:c r="K50" t="str">
        <x:v>OBSERVED</x:v>
      </x:c>
      <x:c r="L50" s="24" t="n">
        <x:v>17.385</x:v>
      </x:c>
      <x:c r="M50" s="24" t="n">
        <x:v>78.4867</x:v>
      </x:c>
      <x:c r="N50" t="str">
        <x:f>IF(I50&gt;70,"70+ dB",IF(I50&gt;55,"56-70 dB","41-55 dB"))</x:f>
        <x:v>70+ dB</x:v>
      </x:c>
      <x:c r="O50" t="str">
        <x:f>IF(I50&gt;70,"High",IF(I50&gt;55,"Moderate","Low"))</x:f>
        <x:v>High</x:v>
      </x:c>
      <x:c r="P50" t="str">
        <x:f>IF(I50&gt;=70,"Yes","No")</x:f>
        <x:v>Yes</x:v>
      </x:c>
      <x:c r="Q50" t="str">
        <x:f>TEXT(B50,"yyyy-mm")</x:f>
        <x:v>2015-02</x:v>
      </x:c>
    </x:row>
    <x:row r="51">
      <x:c r="A51" t="str">
        <x:v>HYD01</x:v>
      </x:c>
      <x:c r="B51" s="22" t="n">
        <x:f>DATE(C51,D51,1)</x:f>
        <x:v>42064</x:v>
      </x:c>
      <x:c r="C51" t="n">
        <x:v>2015</x:v>
      </x:c>
      <x:c r="D51" t="n">
        <x:v>3</x:v>
      </x:c>
      <x:c r="E51" t="str">
        <x:f>TEXT(B51,"mmm")</x:f>
        <x:v>Mar</x:v>
      </x:c>
      <x:c r="F51" t="str">
        <x:f>"Q"&amp;ROUNDUP(D51/3,0)</x:f>
        <x:v>Q1</x:v>
      </x:c>
      <x:c r="G51" s="23" t="n">
        <x:v>77</x:v>
      </x:c>
      <x:c r="H51" s="23" t="n">
        <x:v>68</x:v>
      </x:c>
      <x:c r="I51" s="23" t="n">
        <x:v>72.5</x:v>
      </x:c>
      <x:c r="J51" s="23" t="n">
        <x:f>G51-H51</x:f>
        <x:v>9</x:v>
      </x:c>
      <x:c r="K51" t="str">
        <x:v>OBSERVED</x:v>
      </x:c>
      <x:c r="L51" s="24" t="n">
        <x:v>17.385</x:v>
      </x:c>
      <x:c r="M51" s="24" t="n">
        <x:v>78.4867</x:v>
      </x:c>
      <x:c r="N51" t="str">
        <x:f>IF(I51&gt;70,"70+ dB",IF(I51&gt;55,"56-70 dB","41-55 dB"))</x:f>
        <x:v>70+ dB</x:v>
      </x:c>
      <x:c r="O51" t="str">
        <x:f>IF(I51&gt;70,"High",IF(I51&gt;55,"Moderate","Low"))</x:f>
        <x:v>High</x:v>
      </x:c>
      <x:c r="P51" t="str">
        <x:f>IF(I51&gt;=70,"Yes","No")</x:f>
        <x:v>Yes</x:v>
      </x:c>
      <x:c r="Q51" t="str">
        <x:f>TEXT(B51,"yyyy-mm")</x:f>
        <x:v>2015-03</x:v>
      </x:c>
    </x:row>
    <x:row r="52">
      <x:c r="A52" t="str">
        <x:v>HYD01</x:v>
      </x:c>
      <x:c r="B52" s="22" t="n">
        <x:f>DATE(C52,D52,1)</x:f>
        <x:v>42095</x:v>
      </x:c>
      <x:c r="C52" t="n">
        <x:v>2015</x:v>
      </x:c>
      <x:c r="D52" t="n">
        <x:v>4</x:v>
      </x:c>
      <x:c r="E52" t="str">
        <x:f>TEXT(B52,"mmm")</x:f>
        <x:v>Apr</x:v>
      </x:c>
      <x:c r="F52" t="str">
        <x:f>"Q"&amp;ROUNDUP(D52/3,0)</x:f>
        <x:v>Q2</x:v>
      </x:c>
      <x:c r="G52" s="23" t="n">
        <x:v>77</x:v>
      </x:c>
      <x:c r="H52" s="23" t="n">
        <x:v>69</x:v>
      </x:c>
      <x:c r="I52" s="23" t="n">
        <x:v>73</x:v>
      </x:c>
      <x:c r="J52" s="23" t="n">
        <x:f>G52-H52</x:f>
        <x:v>8</x:v>
      </x:c>
      <x:c r="K52" t="str">
        <x:v>OBSERVED</x:v>
      </x:c>
      <x:c r="L52" s="24" t="n">
        <x:v>17.385</x:v>
      </x:c>
      <x:c r="M52" s="24" t="n">
        <x:v>78.4867</x:v>
      </x:c>
      <x:c r="N52" t="str">
        <x:f>IF(I52&gt;70,"70+ dB",IF(I52&gt;55,"56-70 dB","41-55 dB"))</x:f>
        <x:v>70+ dB</x:v>
      </x:c>
      <x:c r="O52" t="str">
        <x:f>IF(I52&gt;70,"High",IF(I52&gt;55,"Moderate","Low"))</x:f>
        <x:v>High</x:v>
      </x:c>
      <x:c r="P52" t="str">
        <x:f>IF(I52&gt;=70,"Yes","No")</x:f>
        <x:v>Yes</x:v>
      </x:c>
      <x:c r="Q52" t="str">
        <x:f>TEXT(B52,"yyyy-mm")</x:f>
        <x:v>2015-04</x:v>
      </x:c>
    </x:row>
    <x:row r="53">
      <x:c r="A53" t="str">
        <x:v>HYD01</x:v>
      </x:c>
      <x:c r="B53" s="22" t="n">
        <x:f>DATE(C53,D53,1)</x:f>
        <x:v>42125</x:v>
      </x:c>
      <x:c r="C53" t="n">
        <x:v>2015</x:v>
      </x:c>
      <x:c r="D53" t="n">
        <x:v>5</x:v>
      </x:c>
      <x:c r="E53" t="str">
        <x:f>TEXT(B53,"mmm")</x:f>
        <x:v>May</x:v>
      </x:c>
      <x:c r="F53" t="str">
        <x:f>"Q"&amp;ROUNDUP(D53/3,0)</x:f>
        <x:v>Q2</x:v>
      </x:c>
      <x:c r="G53" s="23" t="n">
        <x:v>77</x:v>
      </x:c>
      <x:c r="H53" s="23" t="n">
        <x:v>69</x:v>
      </x:c>
      <x:c r="I53" s="23" t="n">
        <x:v>73</x:v>
      </x:c>
      <x:c r="J53" s="23" t="n">
        <x:f>G53-H53</x:f>
        <x:v>8</x:v>
      </x:c>
      <x:c r="K53" t="str">
        <x:v>OBSERVED</x:v>
      </x:c>
      <x:c r="L53" s="24" t="n">
        <x:v>17.385</x:v>
      </x:c>
      <x:c r="M53" s="24" t="n">
        <x:v>78.4867</x:v>
      </x:c>
      <x:c r="N53" t="str">
        <x:f>IF(I53&gt;70,"70+ dB",IF(I53&gt;55,"56-70 dB","41-55 dB"))</x:f>
        <x:v>70+ dB</x:v>
      </x:c>
      <x:c r="O53" t="str">
        <x:f>IF(I53&gt;70,"High",IF(I53&gt;55,"Moderate","Low"))</x:f>
        <x:v>High</x:v>
      </x:c>
      <x:c r="P53" t="str">
        <x:f>IF(I53&gt;=70,"Yes","No")</x:f>
        <x:v>Yes</x:v>
      </x:c>
      <x:c r="Q53" t="str">
        <x:f>TEXT(B53,"yyyy-mm")</x:f>
        <x:v>2015-05</x:v>
      </x:c>
    </x:row>
    <x:row r="54">
      <x:c r="A54" t="str">
        <x:v>HYD01</x:v>
      </x:c>
      <x:c r="B54" s="22" t="n">
        <x:f>DATE(C54,D54,1)</x:f>
        <x:v>42156</x:v>
      </x:c>
      <x:c r="C54" t="n">
        <x:v>2015</x:v>
      </x:c>
      <x:c r="D54" t="n">
        <x:v>6</x:v>
      </x:c>
      <x:c r="E54" t="str">
        <x:f>TEXT(B54,"mmm")</x:f>
        <x:v>Jun</x:v>
      </x:c>
      <x:c r="F54" t="str">
        <x:f>"Q"&amp;ROUNDUP(D54/3,0)</x:f>
        <x:v>Q2</x:v>
      </x:c>
      <x:c r="G54" s="23" t="n">
        <x:v>78</x:v>
      </x:c>
      <x:c r="H54" s="23" t="n">
        <x:v>71</x:v>
      </x:c>
      <x:c r="I54" s="23" t="n">
        <x:v>74.5</x:v>
      </x:c>
      <x:c r="J54" s="23" t="n">
        <x:f>G54-H54</x:f>
        <x:v>7</x:v>
      </x:c>
      <x:c r="K54" t="str">
        <x:v>OBSERVED</x:v>
      </x:c>
      <x:c r="L54" s="24" t="n">
        <x:v>17.385</x:v>
      </x:c>
      <x:c r="M54" s="24" t="n">
        <x:v>78.4867</x:v>
      </x:c>
      <x:c r="N54" t="str">
        <x:f>IF(I54&gt;70,"70+ dB",IF(I54&gt;55,"56-70 dB","41-55 dB"))</x:f>
        <x:v>70+ dB</x:v>
      </x:c>
      <x:c r="O54" t="str">
        <x:f>IF(I54&gt;70,"High",IF(I54&gt;55,"Moderate","Low"))</x:f>
        <x:v>High</x:v>
      </x:c>
      <x:c r="P54" t="str">
        <x:f>IF(I54&gt;=70,"Yes","No")</x:f>
        <x:v>Yes</x:v>
      </x:c>
      <x:c r="Q54" t="str">
        <x:f>TEXT(B54,"yyyy-mm")</x:f>
        <x:v>2015-06</x:v>
      </x:c>
    </x:row>
    <x:row r="55">
      <x:c r="A55" t="str">
        <x:v>HYD01</x:v>
      </x:c>
      <x:c r="B55" s="22" t="n">
        <x:f>DATE(C55,D55,1)</x:f>
        <x:v>42186</x:v>
      </x:c>
      <x:c r="C55" t="n">
        <x:v>2015</x:v>
      </x:c>
      <x:c r="D55" t="n">
        <x:v>7</x:v>
      </x:c>
      <x:c r="E55" t="str">
        <x:f>TEXT(B55,"mmm")</x:f>
        <x:v>Jul</x:v>
      </x:c>
      <x:c r="F55" t="str">
        <x:f>"Q"&amp;ROUNDUP(D55/3,0)</x:f>
        <x:v>Q3</x:v>
      </x:c>
      <x:c r="G55" s="23" t="n">
        <x:v>79</x:v>
      </x:c>
      <x:c r="H55" s="23" t="n">
        <x:v>74</x:v>
      </x:c>
      <x:c r="I55" s="23" t="n">
        <x:v>76.5</x:v>
      </x:c>
      <x:c r="J55" s="23" t="n">
        <x:f>G55-H55</x:f>
        <x:v>5</x:v>
      </x:c>
      <x:c r="K55" t="str">
        <x:v>OBSERVED</x:v>
      </x:c>
      <x:c r="L55" s="24" t="n">
        <x:v>17.385</x:v>
      </x:c>
      <x:c r="M55" s="24" t="n">
        <x:v>78.4867</x:v>
      </x:c>
      <x:c r="N55" t="str">
        <x:f>IF(I55&gt;70,"70+ dB",IF(I55&gt;55,"56-70 dB","41-55 dB"))</x:f>
        <x:v>70+ dB</x:v>
      </x:c>
      <x:c r="O55" t="str">
        <x:f>IF(I55&gt;70,"High",IF(I55&gt;55,"Moderate","Low"))</x:f>
        <x:v>High</x:v>
      </x:c>
      <x:c r="P55" t="str">
        <x:f>IF(I55&gt;=70,"Yes","No")</x:f>
        <x:v>Yes</x:v>
      </x:c>
      <x:c r="Q55" t="str">
        <x:f>TEXT(B55,"yyyy-mm")</x:f>
        <x:v>2015-07</x:v>
      </x:c>
    </x:row>
    <x:row r="56">
      <x:c r="A56" t="str">
        <x:v>HYD01</x:v>
      </x:c>
      <x:c r="B56" s="22" t="n">
        <x:f>DATE(C56,D56,1)</x:f>
        <x:v>42217</x:v>
      </x:c>
      <x:c r="C56" t="n">
        <x:v>2015</x:v>
      </x:c>
      <x:c r="D56" t="n">
        <x:v>8</x:v>
      </x:c>
      <x:c r="E56" t="str">
        <x:f>TEXT(B56,"mmm")</x:f>
        <x:v>Aug</x:v>
      </x:c>
      <x:c r="F56" t="str">
        <x:f>"Q"&amp;ROUNDUP(D56/3,0)</x:f>
        <x:v>Q3</x:v>
      </x:c>
      <x:c r="G56" s="23" t="n">
        <x:v>78</x:v>
      </x:c>
      <x:c r="H56" s="23" t="n">
        <x:v>70</x:v>
      </x:c>
      <x:c r="I56" s="23" t="n">
        <x:v>74</x:v>
      </x:c>
      <x:c r="J56" s="23" t="n">
        <x:f>G56-H56</x:f>
        <x:v>8</x:v>
      </x:c>
      <x:c r="K56" t="str">
        <x:v>OBSERVED</x:v>
      </x:c>
      <x:c r="L56" s="24" t="n">
        <x:v>17.385</x:v>
      </x:c>
      <x:c r="M56" s="24" t="n">
        <x:v>78.4867</x:v>
      </x:c>
      <x:c r="N56" t="str">
        <x:f>IF(I56&gt;70,"70+ dB",IF(I56&gt;55,"56-70 dB","41-55 dB"))</x:f>
        <x:v>70+ dB</x:v>
      </x:c>
      <x:c r="O56" t="str">
        <x:f>IF(I56&gt;70,"High",IF(I56&gt;55,"Moderate","Low"))</x:f>
        <x:v>High</x:v>
      </x:c>
      <x:c r="P56" t="str">
        <x:f>IF(I56&gt;=70,"Yes","No")</x:f>
        <x:v>Yes</x:v>
      </x:c>
      <x:c r="Q56" t="str">
        <x:f>TEXT(B56,"yyyy-mm")</x:f>
        <x:v>2015-08</x:v>
      </x:c>
    </x:row>
    <x:row r="57">
      <x:c r="A57" t="str">
        <x:v>HYD01</x:v>
      </x:c>
      <x:c r="B57" s="22" t="n">
        <x:f>DATE(C57,D57,1)</x:f>
        <x:v>42248</x:v>
      </x:c>
      <x:c r="C57" t="n">
        <x:v>2015</x:v>
      </x:c>
      <x:c r="D57" t="n">
        <x:v>9</x:v>
      </x:c>
      <x:c r="E57" t="str">
        <x:f>TEXT(B57,"mmm")</x:f>
        <x:v>Sep</x:v>
      </x:c>
      <x:c r="F57" t="str">
        <x:f>"Q"&amp;ROUNDUP(D57/3,0)</x:f>
        <x:v>Q3</x:v>
      </x:c>
      <x:c r="G57" s="23" t="n">
        <x:v>78</x:v>
      </x:c>
      <x:c r="H57" s="23" t="n">
        <x:v>70</x:v>
      </x:c>
      <x:c r="I57" s="23" t="n">
        <x:v>74</x:v>
      </x:c>
      <x:c r="J57" s="23" t="n">
        <x:f>G57-H57</x:f>
        <x:v>8</x:v>
      </x:c>
      <x:c r="K57" t="str">
        <x:v>OBSERVED</x:v>
      </x:c>
      <x:c r="L57" s="24" t="n">
        <x:v>17.385</x:v>
      </x:c>
      <x:c r="M57" s="24" t="n">
        <x:v>78.4867</x:v>
      </x:c>
      <x:c r="N57" t="str">
        <x:f>IF(I57&gt;70,"70+ dB",IF(I57&gt;55,"56-70 dB","41-55 dB"))</x:f>
        <x:v>70+ dB</x:v>
      </x:c>
      <x:c r="O57" t="str">
        <x:f>IF(I57&gt;70,"High",IF(I57&gt;55,"Moderate","Low"))</x:f>
        <x:v>High</x:v>
      </x:c>
      <x:c r="P57" t="str">
        <x:f>IF(I57&gt;=70,"Yes","No")</x:f>
        <x:v>Yes</x:v>
      </x:c>
      <x:c r="Q57" t="str">
        <x:f>TEXT(B57,"yyyy-mm")</x:f>
        <x:v>2015-09</x:v>
      </x:c>
    </x:row>
    <x:row r="58">
      <x:c r="A58" t="str">
        <x:v>HYD01</x:v>
      </x:c>
      <x:c r="B58" s="22" t="n">
        <x:f>DATE(C58,D58,1)</x:f>
        <x:v>42278</x:v>
      </x:c>
      <x:c r="C58" t="n">
        <x:v>2015</x:v>
      </x:c>
      <x:c r="D58" t="n">
        <x:v>10</x:v>
      </x:c>
      <x:c r="E58" t="str">
        <x:f>TEXT(B58,"mmm")</x:f>
        <x:v>Oct</x:v>
      </x:c>
      <x:c r="F58" t="str">
        <x:f>"Q"&amp;ROUNDUP(D58/3,0)</x:f>
        <x:v>Q4</x:v>
      </x:c>
      <x:c r="G58" s="23" t="n">
        <x:v>77</x:v>
      </x:c>
      <x:c r="H58" s="23" t="n">
        <x:v>68</x:v>
      </x:c>
      <x:c r="I58" s="23" t="n">
        <x:v>72.5</x:v>
      </x:c>
      <x:c r="J58" s="23" t="n">
        <x:f>G58-H58</x:f>
        <x:v>9</x:v>
      </x:c>
      <x:c r="K58" t="str">
        <x:v>OBSERVED</x:v>
      </x:c>
      <x:c r="L58" s="24" t="n">
        <x:v>17.385</x:v>
      </x:c>
      <x:c r="M58" s="24" t="n">
        <x:v>78.4867</x:v>
      </x:c>
      <x:c r="N58" t="str">
        <x:f>IF(I58&gt;70,"70+ dB",IF(I58&gt;55,"56-70 dB","41-55 dB"))</x:f>
        <x:v>70+ dB</x:v>
      </x:c>
      <x:c r="O58" t="str">
        <x:f>IF(I58&gt;70,"High",IF(I58&gt;55,"Moderate","Low"))</x:f>
        <x:v>High</x:v>
      </x:c>
      <x:c r="P58" t="str">
        <x:f>IF(I58&gt;=70,"Yes","No")</x:f>
        <x:v>Yes</x:v>
      </x:c>
      <x:c r="Q58" t="str">
        <x:f>TEXT(B58,"yyyy-mm")</x:f>
        <x:v>2015-10</x:v>
      </x:c>
    </x:row>
    <x:row r="59">
      <x:c r="A59" t="str">
        <x:v>HYD01</x:v>
      </x:c>
      <x:c r="B59" s="22" t="n">
        <x:f>DATE(C59,D59,1)</x:f>
        <x:v>42309</x:v>
      </x:c>
      <x:c r="C59" t="n">
        <x:v>2015</x:v>
      </x:c>
      <x:c r="D59" t="n">
        <x:v>11</x:v>
      </x:c>
      <x:c r="E59" t="str">
        <x:f>TEXT(B59,"mmm")</x:f>
        <x:v>Nov</x:v>
      </x:c>
      <x:c r="F59" t="str">
        <x:f>"Q"&amp;ROUNDUP(D59/3,0)</x:f>
        <x:v>Q4</x:v>
      </x:c>
      <x:c r="G59" s="23" t="n">
        <x:v>78</x:v>
      </x:c>
      <x:c r="H59" s="23" t="n">
        <x:v>68</x:v>
      </x:c>
      <x:c r="I59" s="23" t="n">
        <x:v>73</x:v>
      </x:c>
      <x:c r="J59" s="23" t="n">
        <x:f>G59-H59</x:f>
        <x:v>10</x:v>
      </x:c>
      <x:c r="K59" t="str">
        <x:v>OBSERVED</x:v>
      </x:c>
      <x:c r="L59" s="24" t="n">
        <x:v>17.385</x:v>
      </x:c>
      <x:c r="M59" s="24" t="n">
        <x:v>78.4867</x:v>
      </x:c>
      <x:c r="N59" t="str">
        <x:f>IF(I59&gt;70,"70+ dB",IF(I59&gt;55,"56-70 dB","41-55 dB"))</x:f>
        <x:v>70+ dB</x:v>
      </x:c>
      <x:c r="O59" t="str">
        <x:f>IF(I59&gt;70,"High",IF(I59&gt;55,"Moderate","Low"))</x:f>
        <x:v>High</x:v>
      </x:c>
      <x:c r="P59" t="str">
        <x:f>IF(I59&gt;=70,"Yes","No")</x:f>
        <x:v>Yes</x:v>
      </x:c>
      <x:c r="Q59" t="str">
        <x:f>TEXT(B59,"yyyy-mm")</x:f>
        <x:v>2015-11</x:v>
      </x:c>
    </x:row>
    <x:row r="60">
      <x:c r="A60" t="str">
        <x:v>HYD01</x:v>
      </x:c>
      <x:c r="B60" s="22" t="n">
        <x:f>DATE(C60,D60,1)</x:f>
        <x:v>42339</x:v>
      </x:c>
      <x:c r="C60" t="n">
        <x:v>2015</x:v>
      </x:c>
      <x:c r="D60" t="n">
        <x:v>12</x:v>
      </x:c>
      <x:c r="E60" t="str">
        <x:f>TEXT(B60,"mmm")</x:f>
        <x:v>Dec</x:v>
      </x:c>
      <x:c r="F60" t="str">
        <x:f>"Q"&amp;ROUNDUP(D60/3,0)</x:f>
        <x:v>Q4</x:v>
      </x:c>
      <x:c r="G60" s="23" t="n">
        <x:v>76</x:v>
      </x:c>
      <x:c r="H60" s="23" t="n">
        <x:v>68</x:v>
      </x:c>
      <x:c r="I60" s="23" t="n">
        <x:v>72</x:v>
      </x:c>
      <x:c r="J60" s="23" t="n">
        <x:f>G60-H60</x:f>
        <x:v>8</x:v>
      </x:c>
      <x:c r="K60" t="str">
        <x:v>OBSERVED</x:v>
      </x:c>
      <x:c r="L60" s="24" t="n">
        <x:v>17.385</x:v>
      </x:c>
      <x:c r="M60" s="24" t="n">
        <x:v>78.4867</x:v>
      </x:c>
      <x:c r="N60" t="str">
        <x:f>IF(I60&gt;70,"70+ dB",IF(I60&gt;55,"56-70 dB","41-55 dB"))</x:f>
        <x:v>70+ dB</x:v>
      </x:c>
      <x:c r="O60" t="str">
        <x:f>IF(I60&gt;70,"High",IF(I60&gt;55,"Moderate","Low"))</x:f>
        <x:v>High</x:v>
      </x:c>
      <x:c r="P60" t="str">
        <x:f>IF(I60&gt;=70,"Yes","No")</x:f>
        <x:v>Yes</x:v>
      </x:c>
      <x:c r="Q60" t="str">
        <x:f>TEXT(B60,"yyyy-mm")</x:f>
        <x:v>2015-12</x:v>
      </x:c>
    </x:row>
    <x:row r="61">
      <x:c r="A61" t="str">
        <x:v>HYD01</x:v>
      </x:c>
      <x:c r="B61" s="22" t="n">
        <x:f>DATE(C61,D61,1)</x:f>
        <x:v>42370</x:v>
      </x:c>
      <x:c r="C61" t="n">
        <x:v>2016</x:v>
      </x:c>
      <x:c r="D61" t="n">
        <x:v>1</x:v>
      </x:c>
      <x:c r="E61" t="str">
        <x:f>TEXT(B61,"mmm")</x:f>
        <x:v>Jan</x:v>
      </x:c>
      <x:c r="F61" t="str">
        <x:f>"Q"&amp;ROUNDUP(D61/3,0)</x:f>
        <x:v>Q1</x:v>
      </x:c>
      <x:c r="G61" s="23" t="n">
        <x:v>77</x:v>
      </x:c>
      <x:c r="H61" s="23" t="n">
        <x:v>68</x:v>
      </x:c>
      <x:c r="I61" s="23" t="n">
        <x:v>72.5</x:v>
      </x:c>
      <x:c r="J61" s="23" t="n">
        <x:f>G61-H61</x:f>
        <x:v>9</x:v>
      </x:c>
      <x:c r="K61" t="str">
        <x:v>OBSERVED</x:v>
      </x:c>
      <x:c r="L61" s="24" t="n">
        <x:v>17.385</x:v>
      </x:c>
      <x:c r="M61" s="24" t="n">
        <x:v>78.4867</x:v>
      </x:c>
      <x:c r="N61" t="str">
        <x:f>IF(I61&gt;70,"70+ dB",IF(I61&gt;55,"56-70 dB","41-55 dB"))</x:f>
        <x:v>70+ dB</x:v>
      </x:c>
      <x:c r="O61" t="str">
        <x:f>IF(I61&gt;70,"High",IF(I61&gt;55,"Moderate","Low"))</x:f>
        <x:v>High</x:v>
      </x:c>
      <x:c r="P61" t="str">
        <x:f>IF(I61&gt;=70,"Yes","No")</x:f>
        <x:v>Yes</x:v>
      </x:c>
      <x:c r="Q61" t="str">
        <x:f>TEXT(B61,"yyyy-mm")</x:f>
        <x:v>2016-01</x:v>
      </x:c>
    </x:row>
    <x:row r="62">
      <x:c r="A62" t="str">
        <x:v>HYD01</x:v>
      </x:c>
      <x:c r="B62" s="22" t="n">
        <x:f>DATE(C62,D62,1)</x:f>
        <x:v>42401</x:v>
      </x:c>
      <x:c r="C62" t="n">
        <x:v>2016</x:v>
      </x:c>
      <x:c r="D62" t="n">
        <x:v>2</x:v>
      </x:c>
      <x:c r="E62" t="str">
        <x:f>TEXT(B62,"mmm")</x:f>
        <x:v>Feb</x:v>
      </x:c>
      <x:c r="F62" t="str">
        <x:f>"Q"&amp;ROUNDUP(D62/3,0)</x:f>
        <x:v>Q1</x:v>
      </x:c>
      <x:c r="G62" s="23" t="n">
        <x:v>77</x:v>
      </x:c>
      <x:c r="H62" s="23" t="n">
        <x:v>69</x:v>
      </x:c>
      <x:c r="I62" s="23" t="n">
        <x:v>73</x:v>
      </x:c>
      <x:c r="J62" s="23" t="n">
        <x:f>G62-H62</x:f>
        <x:v>8</x:v>
      </x:c>
      <x:c r="K62" t="str">
        <x:v>OBSERVED</x:v>
      </x:c>
      <x:c r="L62" s="24" t="n">
        <x:v>17.385</x:v>
      </x:c>
      <x:c r="M62" s="24" t="n">
        <x:v>78.4867</x:v>
      </x:c>
      <x:c r="N62" t="str">
        <x:f>IF(I62&gt;70,"70+ dB",IF(I62&gt;55,"56-70 dB","41-55 dB"))</x:f>
        <x:v>70+ dB</x:v>
      </x:c>
      <x:c r="O62" t="str">
        <x:f>IF(I62&gt;70,"High",IF(I62&gt;55,"Moderate","Low"))</x:f>
        <x:v>High</x:v>
      </x:c>
      <x:c r="P62" t="str">
        <x:f>IF(I62&gt;=70,"Yes","No")</x:f>
        <x:v>Yes</x:v>
      </x:c>
      <x:c r="Q62" t="str">
        <x:f>TEXT(B62,"yyyy-mm")</x:f>
        <x:v>2016-02</x:v>
      </x:c>
    </x:row>
    <x:row r="63">
      <x:c r="A63" t="str">
        <x:v>HYD01</x:v>
      </x:c>
      <x:c r="B63" s="22" t="n">
        <x:f>DATE(C63,D63,1)</x:f>
        <x:v>42430</x:v>
      </x:c>
      <x:c r="C63" t="n">
        <x:v>2016</x:v>
      </x:c>
      <x:c r="D63" t="n">
        <x:v>3</x:v>
      </x:c>
      <x:c r="E63" t="str">
        <x:f>TEXT(B63,"mmm")</x:f>
        <x:v>Mar</x:v>
      </x:c>
      <x:c r="F63" t="str">
        <x:f>"Q"&amp;ROUNDUP(D63/3,0)</x:f>
        <x:v>Q1</x:v>
      </x:c>
      <x:c r="G63" s="23" t="n">
        <x:v>77</x:v>
      </x:c>
      <x:c r="H63" s="23" t="n">
        <x:v>67</x:v>
      </x:c>
      <x:c r="I63" s="23" t="n">
        <x:v>72</x:v>
      </x:c>
      <x:c r="J63" s="23" t="n">
        <x:f>G63-H63</x:f>
        <x:v>10</x:v>
      </x:c>
      <x:c r="K63" t="str">
        <x:v>OBSERVED</x:v>
      </x:c>
      <x:c r="L63" s="24" t="n">
        <x:v>17.385</x:v>
      </x:c>
      <x:c r="M63" s="24" t="n">
        <x:v>78.4867</x:v>
      </x:c>
      <x:c r="N63" t="str">
        <x:f>IF(I63&gt;70,"70+ dB",IF(I63&gt;55,"56-70 dB","41-55 dB"))</x:f>
        <x:v>70+ dB</x:v>
      </x:c>
      <x:c r="O63" t="str">
        <x:f>IF(I63&gt;70,"High",IF(I63&gt;55,"Moderate","Low"))</x:f>
        <x:v>High</x:v>
      </x:c>
      <x:c r="P63" t="str">
        <x:f>IF(I63&gt;=70,"Yes","No")</x:f>
        <x:v>Yes</x:v>
      </x:c>
      <x:c r="Q63" t="str">
        <x:f>TEXT(B63,"yyyy-mm")</x:f>
        <x:v>2016-03</x:v>
      </x:c>
    </x:row>
    <x:row r="64">
      <x:c r="A64" t="str">
        <x:v>HYD01</x:v>
      </x:c>
      <x:c r="B64" s="22" t="n">
        <x:f>DATE(C64,D64,1)</x:f>
        <x:v>42461</x:v>
      </x:c>
      <x:c r="C64" t="n">
        <x:v>2016</x:v>
      </x:c>
      <x:c r="D64" t="n">
        <x:v>4</x:v>
      </x:c>
      <x:c r="E64" t="str">
        <x:f>TEXT(B64,"mmm")</x:f>
        <x:v>Apr</x:v>
      </x:c>
      <x:c r="F64" t="str">
        <x:f>"Q"&amp;ROUNDUP(D64/3,0)</x:f>
        <x:v>Q2</x:v>
      </x:c>
      <x:c r="G64" s="23" t="n">
        <x:v>77</x:v>
      </x:c>
      <x:c r="H64" s="23" t="n">
        <x:v>68</x:v>
      </x:c>
      <x:c r="I64" s="23" t="n">
        <x:v>72.5</x:v>
      </x:c>
      <x:c r="J64" s="23" t="n">
        <x:f>G64-H64</x:f>
        <x:v>9</x:v>
      </x:c>
      <x:c r="K64" t="str">
        <x:v>OBSERVED</x:v>
      </x:c>
      <x:c r="L64" s="24" t="n">
        <x:v>17.385</x:v>
      </x:c>
      <x:c r="M64" s="24" t="n">
        <x:v>78.4867</x:v>
      </x:c>
      <x:c r="N64" t="str">
        <x:f>IF(I64&gt;70,"70+ dB",IF(I64&gt;55,"56-70 dB","41-55 dB"))</x:f>
        <x:v>70+ dB</x:v>
      </x:c>
      <x:c r="O64" t="str">
        <x:f>IF(I64&gt;70,"High",IF(I64&gt;55,"Moderate","Low"))</x:f>
        <x:v>High</x:v>
      </x:c>
      <x:c r="P64" t="str">
        <x:f>IF(I64&gt;=70,"Yes","No")</x:f>
        <x:v>Yes</x:v>
      </x:c>
      <x:c r="Q64" t="str">
        <x:f>TEXT(B64,"yyyy-mm")</x:f>
        <x:v>2016-04</x:v>
      </x:c>
    </x:row>
    <x:row r="65">
      <x:c r="A65" t="str">
        <x:v>HYD01</x:v>
      </x:c>
      <x:c r="B65" s="22" t="n">
        <x:f>DATE(C65,D65,1)</x:f>
        <x:v>42491</x:v>
      </x:c>
      <x:c r="C65" t="n">
        <x:v>2016</x:v>
      </x:c>
      <x:c r="D65" t="n">
        <x:v>5</x:v>
      </x:c>
      <x:c r="E65" t="str">
        <x:f>TEXT(B65,"mmm")</x:f>
        <x:v>May</x:v>
      </x:c>
      <x:c r="F65" t="str">
        <x:f>"Q"&amp;ROUNDUP(D65/3,0)</x:f>
        <x:v>Q2</x:v>
      </x:c>
      <x:c r="G65" s="23" t="n">
        <x:v>77</x:v>
      </x:c>
      <x:c r="H65" s="23" t="n">
        <x:v>70</x:v>
      </x:c>
      <x:c r="I65" s="23" t="n">
        <x:v>73.5</x:v>
      </x:c>
      <x:c r="J65" s="23" t="n">
        <x:f>G65-H65</x:f>
        <x:v>7</x:v>
      </x:c>
      <x:c r="K65" t="str">
        <x:v>OBSERVED</x:v>
      </x:c>
      <x:c r="L65" s="24" t="n">
        <x:v>17.385</x:v>
      </x:c>
      <x:c r="M65" s="24" t="n">
        <x:v>78.4867</x:v>
      </x:c>
      <x:c r="N65" t="str">
        <x:f>IF(I65&gt;70,"70+ dB",IF(I65&gt;55,"56-70 dB","41-55 dB"))</x:f>
        <x:v>70+ dB</x:v>
      </x:c>
      <x:c r="O65" t="str">
        <x:f>IF(I65&gt;70,"High",IF(I65&gt;55,"Moderate","Low"))</x:f>
        <x:v>High</x:v>
      </x:c>
      <x:c r="P65" t="str">
        <x:f>IF(I65&gt;=70,"Yes","No")</x:f>
        <x:v>Yes</x:v>
      </x:c>
      <x:c r="Q65" t="str">
        <x:f>TEXT(B65,"yyyy-mm")</x:f>
        <x:v>2016-05</x:v>
      </x:c>
    </x:row>
    <x:row r="66">
      <x:c r="A66" t="str">
        <x:v>HYD01</x:v>
      </x:c>
      <x:c r="B66" s="22" t="n">
        <x:f>DATE(C66,D66,1)</x:f>
        <x:v>42522</x:v>
      </x:c>
      <x:c r="C66" t="n">
        <x:v>2016</x:v>
      </x:c>
      <x:c r="D66" t="n">
        <x:v>6</x:v>
      </x:c>
      <x:c r="E66" t="str">
        <x:f>TEXT(B66,"mmm")</x:f>
        <x:v>Jun</x:v>
      </x:c>
      <x:c r="F66" t="str">
        <x:f>"Q"&amp;ROUNDUP(D66/3,0)</x:f>
        <x:v>Q2</x:v>
      </x:c>
      <x:c r="G66" s="23" t="n">
        <x:v>78</x:v>
      </x:c>
      <x:c r="H66" s="23" t="n">
        <x:v>72</x:v>
      </x:c>
      <x:c r="I66" s="23" t="n">
        <x:v>75</x:v>
      </x:c>
      <x:c r="J66" s="23" t="n">
        <x:f>G66-H66</x:f>
        <x:v>6</x:v>
      </x:c>
      <x:c r="K66" t="str">
        <x:v>OBSERVED</x:v>
      </x:c>
      <x:c r="L66" s="24" t="n">
        <x:v>17.385</x:v>
      </x:c>
      <x:c r="M66" s="24" t="n">
        <x:v>78.4867</x:v>
      </x:c>
      <x:c r="N66" t="str">
        <x:f>IF(I66&gt;70,"70+ dB",IF(I66&gt;55,"56-70 dB","41-55 dB"))</x:f>
        <x:v>70+ dB</x:v>
      </x:c>
      <x:c r="O66" t="str">
        <x:f>IF(I66&gt;70,"High",IF(I66&gt;55,"Moderate","Low"))</x:f>
        <x:v>High</x:v>
      </x:c>
      <x:c r="P66" t="str">
        <x:f>IF(I66&gt;=70,"Yes","No")</x:f>
        <x:v>Yes</x:v>
      </x:c>
      <x:c r="Q66" t="str">
        <x:f>TEXT(B66,"yyyy-mm")</x:f>
        <x:v>2016-06</x:v>
      </x:c>
    </x:row>
    <x:row r="67">
      <x:c r="A67" t="str">
        <x:v>HYD01</x:v>
      </x:c>
      <x:c r="B67" s="22" t="n">
        <x:f>DATE(C67,D67,1)</x:f>
        <x:v>42552</x:v>
      </x:c>
      <x:c r="C67" t="n">
        <x:v>2016</x:v>
      </x:c>
      <x:c r="D67" t="n">
        <x:v>7</x:v>
      </x:c>
      <x:c r="E67" t="str">
        <x:f>TEXT(B67,"mmm")</x:f>
        <x:v>Jul</x:v>
      </x:c>
      <x:c r="F67" t="str">
        <x:f>"Q"&amp;ROUNDUP(D67/3,0)</x:f>
        <x:v>Q3</x:v>
      </x:c>
      <x:c r="G67" s="23" t="n">
        <x:v>79</x:v>
      </x:c>
      <x:c r="H67" s="23" t="n">
        <x:v>73</x:v>
      </x:c>
      <x:c r="I67" s="23" t="n">
        <x:v>76</x:v>
      </x:c>
      <x:c r="J67" s="23" t="n">
        <x:f>G67-H67</x:f>
        <x:v>6</x:v>
      </x:c>
      <x:c r="K67" t="str">
        <x:v>OBSERVED</x:v>
      </x:c>
      <x:c r="L67" s="24" t="n">
        <x:v>17.385</x:v>
      </x:c>
      <x:c r="M67" s="24" t="n">
        <x:v>78.4867</x:v>
      </x:c>
      <x:c r="N67" t="str">
        <x:f>IF(I67&gt;70,"70+ dB",IF(I67&gt;55,"56-70 dB","41-55 dB"))</x:f>
        <x:v>70+ dB</x:v>
      </x:c>
      <x:c r="O67" t="str">
        <x:f>IF(I67&gt;70,"High",IF(I67&gt;55,"Moderate","Low"))</x:f>
        <x:v>High</x:v>
      </x:c>
      <x:c r="P67" t="str">
        <x:f>IF(I67&gt;=70,"Yes","No")</x:f>
        <x:v>Yes</x:v>
      </x:c>
      <x:c r="Q67" t="str">
        <x:f>TEXT(B67,"yyyy-mm")</x:f>
        <x:v>2016-07</x:v>
      </x:c>
    </x:row>
    <x:row r="68">
      <x:c r="A68" t="str">
        <x:v>HYD01</x:v>
      </x:c>
      <x:c r="B68" s="22" t="n">
        <x:f>DATE(C68,D68,1)</x:f>
        <x:v>42583</x:v>
      </x:c>
      <x:c r="C68" t="n">
        <x:v>2016</x:v>
      </x:c>
      <x:c r="D68" t="n">
        <x:v>8</x:v>
      </x:c>
      <x:c r="E68" t="str">
        <x:f>TEXT(B68,"mmm")</x:f>
        <x:v>Aug</x:v>
      </x:c>
      <x:c r="F68" t="str">
        <x:f>"Q"&amp;ROUNDUP(D68/3,0)</x:f>
        <x:v>Q3</x:v>
      </x:c>
      <x:c r="G68" s="23" t="n">
        <x:v>79</x:v>
      </x:c>
      <x:c r="H68" s="23" t="n">
        <x:v>71</x:v>
      </x:c>
      <x:c r="I68" s="23" t="n">
        <x:v>75</x:v>
      </x:c>
      <x:c r="J68" s="23" t="n">
        <x:f>G68-H68</x:f>
        <x:v>8</x:v>
      </x:c>
      <x:c r="K68" t="str">
        <x:v>OBSERVED</x:v>
      </x:c>
      <x:c r="L68" s="24" t="n">
        <x:v>17.385</x:v>
      </x:c>
      <x:c r="M68" s="24" t="n">
        <x:v>78.4867</x:v>
      </x:c>
      <x:c r="N68" t="str">
        <x:f>IF(I68&gt;70,"70+ dB",IF(I68&gt;55,"56-70 dB","41-55 dB"))</x:f>
        <x:v>70+ dB</x:v>
      </x:c>
      <x:c r="O68" t="str">
        <x:f>IF(I68&gt;70,"High",IF(I68&gt;55,"Moderate","Low"))</x:f>
        <x:v>High</x:v>
      </x:c>
      <x:c r="P68" t="str">
        <x:f>IF(I68&gt;=70,"Yes","No")</x:f>
        <x:v>Yes</x:v>
      </x:c>
      <x:c r="Q68" t="str">
        <x:f>TEXT(B68,"yyyy-mm")</x:f>
        <x:v>2016-08</x:v>
      </x:c>
    </x:row>
    <x:row r="69">
      <x:c r="A69" t="str">
        <x:v>HYD01</x:v>
      </x:c>
      <x:c r="B69" s="22" t="n">
        <x:f>DATE(C69,D69,1)</x:f>
        <x:v>42614</x:v>
      </x:c>
      <x:c r="C69" t="n">
        <x:v>2016</x:v>
      </x:c>
      <x:c r="D69" t="n">
        <x:v>9</x:v>
      </x:c>
      <x:c r="E69" t="str">
        <x:f>TEXT(B69,"mmm")</x:f>
        <x:v>Sep</x:v>
      </x:c>
      <x:c r="F69" t="str">
        <x:f>"Q"&amp;ROUNDUP(D69/3,0)</x:f>
        <x:v>Q3</x:v>
      </x:c>
      <x:c r="G69" s="23" t="n">
        <x:v>78</x:v>
      </x:c>
      <x:c r="H69" s="23" t="n">
        <x:v>71</x:v>
      </x:c>
      <x:c r="I69" s="23" t="n">
        <x:v>74.5</x:v>
      </x:c>
      <x:c r="J69" s="23" t="n">
        <x:f>G69-H69</x:f>
        <x:v>7</x:v>
      </x:c>
      <x:c r="K69" t="str">
        <x:v>OBSERVED</x:v>
      </x:c>
      <x:c r="L69" s="24" t="n">
        <x:v>17.385</x:v>
      </x:c>
      <x:c r="M69" s="24" t="n">
        <x:v>78.4867</x:v>
      </x:c>
      <x:c r="N69" t="str">
        <x:f>IF(I69&gt;70,"70+ dB",IF(I69&gt;55,"56-70 dB","41-55 dB"))</x:f>
        <x:v>70+ dB</x:v>
      </x:c>
      <x:c r="O69" t="str">
        <x:f>IF(I69&gt;70,"High",IF(I69&gt;55,"Moderate","Low"))</x:f>
        <x:v>High</x:v>
      </x:c>
      <x:c r="P69" t="str">
        <x:f>IF(I69&gt;=70,"Yes","No")</x:f>
        <x:v>Yes</x:v>
      </x:c>
      <x:c r="Q69" t="str">
        <x:f>TEXT(B69,"yyyy-mm")</x:f>
        <x:v>2016-09</x:v>
      </x:c>
    </x:row>
    <x:row r="70">
      <x:c r="A70" t="str">
        <x:v>HYD01</x:v>
      </x:c>
      <x:c r="B70" s="22" t="n">
        <x:f>DATE(C70,D70,1)</x:f>
        <x:v>42644</x:v>
      </x:c>
      <x:c r="C70" t="n">
        <x:v>2016</x:v>
      </x:c>
      <x:c r="D70" t="n">
        <x:v>10</x:v>
      </x:c>
      <x:c r="E70" t="str">
        <x:f>TEXT(B70,"mmm")</x:f>
        <x:v>Oct</x:v>
      </x:c>
      <x:c r="F70" t="str">
        <x:f>"Q"&amp;ROUNDUP(D70/3,0)</x:f>
        <x:v>Q4</x:v>
      </x:c>
      <x:c r="G70" s="23" t="n">
        <x:v>76</x:v>
      </x:c>
      <x:c r="H70" s="23" t="n">
        <x:v>67</x:v>
      </x:c>
      <x:c r="I70" s="23" t="n">
        <x:v>71.5</x:v>
      </x:c>
      <x:c r="J70" s="23" t="n">
        <x:f>G70-H70</x:f>
        <x:v>9</x:v>
      </x:c>
      <x:c r="K70" t="str">
        <x:v>OBSERVED</x:v>
      </x:c>
      <x:c r="L70" s="24" t="n">
        <x:v>17.385</x:v>
      </x:c>
      <x:c r="M70" s="24" t="n">
        <x:v>78.4867</x:v>
      </x:c>
      <x:c r="N70" t="str">
        <x:f>IF(I70&gt;70,"70+ dB",IF(I70&gt;55,"56-70 dB","41-55 dB"))</x:f>
        <x:v>70+ dB</x:v>
      </x:c>
      <x:c r="O70" t="str">
        <x:f>IF(I70&gt;70,"High",IF(I70&gt;55,"Moderate","Low"))</x:f>
        <x:v>High</x:v>
      </x:c>
      <x:c r="P70" t="str">
        <x:f>IF(I70&gt;=70,"Yes","No")</x:f>
        <x:v>Yes</x:v>
      </x:c>
      <x:c r="Q70" t="str">
        <x:f>TEXT(B70,"yyyy-mm")</x:f>
        <x:v>2016-10</x:v>
      </x:c>
    </x:row>
    <x:row r="71">
      <x:c r="A71" t="str">
        <x:v>HYD01</x:v>
      </x:c>
      <x:c r="B71" s="22" t="n">
        <x:f>DATE(C71,D71,1)</x:f>
        <x:v>42675</x:v>
      </x:c>
      <x:c r="C71" t="n">
        <x:v>2016</x:v>
      </x:c>
      <x:c r="D71" t="n">
        <x:v>11</x:v>
      </x:c>
      <x:c r="E71" t="str">
        <x:f>TEXT(B71,"mmm")</x:f>
        <x:v>Nov</x:v>
      </x:c>
      <x:c r="F71" t="str">
        <x:f>"Q"&amp;ROUNDUP(D71/3,0)</x:f>
        <x:v>Q4</x:v>
      </x:c>
      <x:c r="G71" s="23" t="n">
        <x:v>73</x:v>
      </x:c>
      <x:c r="H71" s="23" t="n">
        <x:v>65</x:v>
      </x:c>
      <x:c r="I71" s="23" t="n">
        <x:v>69</x:v>
      </x:c>
      <x:c r="J71" s="23" t="n">
        <x:f>G71-H71</x:f>
        <x:v>8</x:v>
      </x:c>
      <x:c r="K71" t="str">
        <x:v>OBSERVED</x:v>
      </x:c>
      <x:c r="L71" s="24" t="n">
        <x:v>17.385</x:v>
      </x:c>
      <x:c r="M71" s="24" t="n">
        <x:v>78.4867</x:v>
      </x:c>
      <x:c r="N71" t="str">
        <x:f>IF(I71&gt;70,"70+ dB",IF(I71&gt;55,"56-70 dB","41-55 dB"))</x:f>
        <x:v>56-70 dB</x:v>
      </x:c>
      <x:c r="O71" t="str">
        <x:f>IF(I71&gt;70,"High",IF(I71&gt;55,"Moderate","Low"))</x:f>
        <x:v>Moderate</x:v>
      </x:c>
      <x:c r="P71" t="str">
        <x:f>IF(I71&gt;=70,"Yes","No")</x:f>
        <x:v>No</x:v>
      </x:c>
      <x:c r="Q71" t="str">
        <x:f>TEXT(B71,"yyyy-mm")</x:f>
        <x:v>2016-11</x:v>
      </x:c>
    </x:row>
    <x:row r="72">
      <x:c r="A72" t="str">
        <x:v>HYD01</x:v>
      </x:c>
      <x:c r="B72" s="22" t="n">
        <x:f>DATE(C72,D72,1)</x:f>
        <x:v>42705</x:v>
      </x:c>
      <x:c r="C72" t="n">
        <x:v>2016</x:v>
      </x:c>
      <x:c r="D72" t="n">
        <x:v>12</x:v>
      </x:c>
      <x:c r="E72" t="str">
        <x:f>TEXT(B72,"mmm")</x:f>
        <x:v>Dec</x:v>
      </x:c>
      <x:c r="F72" t="str">
        <x:f>"Q"&amp;ROUNDUP(D72/3,0)</x:f>
        <x:v>Q4</x:v>
      </x:c>
      <x:c r="G72" s="23" t="n">
        <x:v>73</x:v>
      </x:c>
      <x:c r="H72" s="23" t="n">
        <x:v>65</x:v>
      </x:c>
      <x:c r="I72" s="23" t="n">
        <x:v>69</x:v>
      </x:c>
      <x:c r="J72" s="23" t="n">
        <x:f>G72-H72</x:f>
        <x:v>8</x:v>
      </x:c>
      <x:c r="K72" t="str">
        <x:v>OBSERVED</x:v>
      </x:c>
      <x:c r="L72" s="24" t="n">
        <x:v>17.385</x:v>
      </x:c>
      <x:c r="M72" s="24" t="n">
        <x:v>78.4867</x:v>
      </x:c>
      <x:c r="N72" t="str">
        <x:f>IF(I72&gt;70,"70+ dB",IF(I72&gt;55,"56-70 dB","41-55 dB"))</x:f>
        <x:v>56-70 dB</x:v>
      </x:c>
      <x:c r="O72" t="str">
        <x:f>IF(I72&gt;70,"High",IF(I72&gt;55,"Moderate","Low"))</x:f>
        <x:v>Moderate</x:v>
      </x:c>
      <x:c r="P72" t="str">
        <x:f>IF(I72&gt;=70,"Yes","No")</x:f>
        <x:v>No</x:v>
      </x:c>
      <x:c r="Q72" t="str">
        <x:f>TEXT(B72,"yyyy-mm")</x:f>
        <x:v>2016-12</x:v>
      </x:c>
    </x:row>
    <x:row r="73">
      <x:c r="A73" t="str">
        <x:v>HYD01</x:v>
      </x:c>
      <x:c r="B73" s="22" t="n">
        <x:f>DATE(C73,D73,1)</x:f>
        <x:v>42736</x:v>
      </x:c>
      <x:c r="C73" t="n">
        <x:v>2017</x:v>
      </x:c>
      <x:c r="D73" t="n">
        <x:v>1</x:v>
      </x:c>
      <x:c r="E73" t="str">
        <x:f>TEXT(B73,"mmm")</x:f>
        <x:v>Jan</x:v>
      </x:c>
      <x:c r="F73" t="str">
        <x:f>"Q"&amp;ROUNDUP(D73/3,0)</x:f>
        <x:v>Q1</x:v>
      </x:c>
      <x:c r="G73" s="23" t="n">
        <x:v>74</x:v>
      </x:c>
      <x:c r="H73" s="23" t="n">
        <x:v>65</x:v>
      </x:c>
      <x:c r="I73" s="23" t="n">
        <x:v>69.5</x:v>
      </x:c>
      <x:c r="J73" s="23" t="n">
        <x:f>G73-H73</x:f>
        <x:v>9</x:v>
      </x:c>
      <x:c r="K73" t="str">
        <x:v>OBSERVED</x:v>
      </x:c>
      <x:c r="L73" s="24" t="n">
        <x:v>17.385</x:v>
      </x:c>
      <x:c r="M73" s="24" t="n">
        <x:v>78.4867</x:v>
      </x:c>
      <x:c r="N73" t="str">
        <x:f>IF(I73&gt;70,"70+ dB",IF(I73&gt;55,"56-70 dB","41-55 dB"))</x:f>
        <x:v>56-70 dB</x:v>
      </x:c>
      <x:c r="O73" t="str">
        <x:f>IF(I73&gt;70,"High",IF(I73&gt;55,"Moderate","Low"))</x:f>
        <x:v>Moderate</x:v>
      </x:c>
      <x:c r="P73" t="str">
        <x:f>IF(I73&gt;=70,"Yes","No")</x:f>
        <x:v>No</x:v>
      </x:c>
      <x:c r="Q73" t="str">
        <x:f>TEXT(B73,"yyyy-mm")</x:f>
        <x:v>2017-01</x:v>
      </x:c>
    </x:row>
    <x:row r="74">
      <x:c r="A74" t="str">
        <x:v>HYD01</x:v>
      </x:c>
      <x:c r="B74" s="22" t="n">
        <x:f>DATE(C74,D74,1)</x:f>
        <x:v>42767</x:v>
      </x:c>
      <x:c r="C74" t="n">
        <x:v>2017</x:v>
      </x:c>
      <x:c r="D74" t="n">
        <x:v>2</x:v>
      </x:c>
      <x:c r="E74" t="str">
        <x:f>TEXT(B74,"mmm")</x:f>
        <x:v>Feb</x:v>
      </x:c>
      <x:c r="F74" t="str">
        <x:f>"Q"&amp;ROUNDUP(D74/3,0)</x:f>
        <x:v>Q1</x:v>
      </x:c>
      <x:c r="G74" s="23" t="n">
        <x:v>73</x:v>
      </x:c>
      <x:c r="H74" s="23" t="n">
        <x:v>66</x:v>
      </x:c>
      <x:c r="I74" s="23" t="n">
        <x:v>69.5</x:v>
      </x:c>
      <x:c r="J74" s="23" t="n">
        <x:f>G74-H74</x:f>
        <x:v>7</x:v>
      </x:c>
      <x:c r="K74" t="str">
        <x:v>OBSERVED</x:v>
      </x:c>
      <x:c r="L74" s="24" t="n">
        <x:v>17.385</x:v>
      </x:c>
      <x:c r="M74" s="24" t="n">
        <x:v>78.4867</x:v>
      </x:c>
      <x:c r="N74" t="str">
        <x:f>IF(I74&gt;70,"70+ dB",IF(I74&gt;55,"56-70 dB","41-55 dB"))</x:f>
        <x:v>56-70 dB</x:v>
      </x:c>
      <x:c r="O74" t="str">
        <x:f>IF(I74&gt;70,"High",IF(I74&gt;55,"Moderate","Low"))</x:f>
        <x:v>Moderate</x:v>
      </x:c>
      <x:c r="P74" t="str">
        <x:f>IF(I74&gt;=70,"Yes","No")</x:f>
        <x:v>No</x:v>
      </x:c>
      <x:c r="Q74" t="str">
        <x:f>TEXT(B74,"yyyy-mm")</x:f>
        <x:v>2017-02</x:v>
      </x:c>
    </x:row>
    <x:row r="75">
      <x:c r="A75" t="str">
        <x:v>HYD01</x:v>
      </x:c>
      <x:c r="B75" s="22" t="n">
        <x:f>DATE(C75,D75,1)</x:f>
        <x:v>42795</x:v>
      </x:c>
      <x:c r="C75" t="n">
        <x:v>2017</x:v>
      </x:c>
      <x:c r="D75" t="n">
        <x:v>3</x:v>
      </x:c>
      <x:c r="E75" t="str">
        <x:f>TEXT(B75,"mmm")</x:f>
        <x:v>Mar</x:v>
      </x:c>
      <x:c r="F75" t="str">
        <x:f>"Q"&amp;ROUNDUP(D75/3,0)</x:f>
        <x:v>Q1</x:v>
      </x:c>
      <x:c r="G75" s="23" t="n">
        <x:v>74</x:v>
      </x:c>
      <x:c r="H75" s="23" t="n">
        <x:v>66</x:v>
      </x:c>
      <x:c r="I75" s="23" t="n">
        <x:v>70</x:v>
      </x:c>
      <x:c r="J75" s="23" t="n">
        <x:f>G75-H75</x:f>
        <x:v>8</x:v>
      </x:c>
      <x:c r="K75" t="str">
        <x:v>OBSERVED</x:v>
      </x:c>
      <x:c r="L75" s="24" t="n">
        <x:v>17.385</x:v>
      </x:c>
      <x:c r="M75" s="24" t="n">
        <x:v>78.4867</x:v>
      </x:c>
      <x:c r="N75" t="str">
        <x:f>IF(I75&gt;70,"70+ dB",IF(I75&gt;55,"56-70 dB","41-55 dB"))</x:f>
        <x:v>56-70 dB</x:v>
      </x:c>
      <x:c r="O75" t="str">
        <x:f>IF(I75&gt;70,"High",IF(I75&gt;55,"Moderate","Low"))</x:f>
        <x:v>Moderate</x:v>
      </x:c>
      <x:c r="P75" t="str">
        <x:f>IF(I75&gt;=70,"Yes","No")</x:f>
        <x:v>Yes</x:v>
      </x:c>
      <x:c r="Q75" t="str">
        <x:f>TEXT(B75,"yyyy-mm")</x:f>
        <x:v>2017-03</x:v>
      </x:c>
    </x:row>
    <x:row r="76">
      <x:c r="A76" t="str">
        <x:v>HYD01</x:v>
      </x:c>
      <x:c r="B76" s="22" t="n">
        <x:f>DATE(C76,D76,1)</x:f>
        <x:v>42826</x:v>
      </x:c>
      <x:c r="C76" t="n">
        <x:v>2017</x:v>
      </x:c>
      <x:c r="D76" t="n">
        <x:v>4</x:v>
      </x:c>
      <x:c r="E76" t="str">
        <x:f>TEXT(B76,"mmm")</x:f>
        <x:v>Apr</x:v>
      </x:c>
      <x:c r="F76" t="str">
        <x:f>"Q"&amp;ROUNDUP(D76/3,0)</x:f>
        <x:v>Q2</x:v>
      </x:c>
      <x:c r="G76" s="23" t="n">
        <x:v>73</x:v>
      </x:c>
      <x:c r="H76" s="23" t="n">
        <x:v>65</x:v>
      </x:c>
      <x:c r="I76" s="23" t="n">
        <x:v>69</x:v>
      </x:c>
      <x:c r="J76" s="23" t="n">
        <x:f>G76-H76</x:f>
        <x:v>8</x:v>
      </x:c>
      <x:c r="K76" t="str">
        <x:v>OBSERVED</x:v>
      </x:c>
      <x:c r="L76" s="24" t="n">
        <x:v>17.385</x:v>
      </x:c>
      <x:c r="M76" s="24" t="n">
        <x:v>78.4867</x:v>
      </x:c>
      <x:c r="N76" t="str">
        <x:f>IF(I76&gt;70,"70+ dB",IF(I76&gt;55,"56-70 dB","41-55 dB"))</x:f>
        <x:v>56-70 dB</x:v>
      </x:c>
      <x:c r="O76" t="str">
        <x:f>IF(I76&gt;70,"High",IF(I76&gt;55,"Moderate","Low"))</x:f>
        <x:v>Moderate</x:v>
      </x:c>
      <x:c r="P76" t="str">
        <x:f>IF(I76&gt;=70,"Yes","No")</x:f>
        <x:v>No</x:v>
      </x:c>
      <x:c r="Q76" t="str">
        <x:f>TEXT(B76,"yyyy-mm")</x:f>
        <x:v>2017-04</x:v>
      </x:c>
    </x:row>
    <x:row r="77">
      <x:c r="A77" t="str">
        <x:v>HYD01</x:v>
      </x:c>
      <x:c r="B77" s="22" t="n">
        <x:f>DATE(C77,D77,1)</x:f>
        <x:v>42856</x:v>
      </x:c>
      <x:c r="C77" t="n">
        <x:v>2017</x:v>
      </x:c>
      <x:c r="D77" t="n">
        <x:v>5</x:v>
      </x:c>
      <x:c r="E77" t="str">
        <x:f>TEXT(B77,"mmm")</x:f>
        <x:v>May</x:v>
      </x:c>
      <x:c r="F77" t="str">
        <x:f>"Q"&amp;ROUNDUP(D77/3,0)</x:f>
        <x:v>Q2</x:v>
      </x:c>
      <x:c r="G77" s="23" t="n">
        <x:v>73</x:v>
      </x:c>
      <x:c r="H77" s="23" t="n">
        <x:v>65</x:v>
      </x:c>
      <x:c r="I77" s="23" t="n">
        <x:v>69</x:v>
      </x:c>
      <x:c r="J77" s="23" t="n">
        <x:f>G77-H77</x:f>
        <x:v>8</x:v>
      </x:c>
      <x:c r="K77" t="str">
        <x:v>OBSERVED</x:v>
      </x:c>
      <x:c r="L77" s="24" t="n">
        <x:v>17.385</x:v>
      </x:c>
      <x:c r="M77" s="24" t="n">
        <x:v>78.4867</x:v>
      </x:c>
      <x:c r="N77" t="str">
        <x:f>IF(I77&gt;70,"70+ dB",IF(I77&gt;55,"56-70 dB","41-55 dB"))</x:f>
        <x:v>56-70 dB</x:v>
      </x:c>
      <x:c r="O77" t="str">
        <x:f>IF(I77&gt;70,"High",IF(I77&gt;55,"Moderate","Low"))</x:f>
        <x:v>Moderate</x:v>
      </x:c>
      <x:c r="P77" t="str">
        <x:f>IF(I77&gt;=70,"Yes","No")</x:f>
        <x:v>No</x:v>
      </x:c>
      <x:c r="Q77" t="str">
        <x:f>TEXT(B77,"yyyy-mm")</x:f>
        <x:v>2017-05</x:v>
      </x:c>
    </x:row>
    <x:row r="78">
      <x:c r="A78" t="str">
        <x:v>HYD01</x:v>
      </x:c>
      <x:c r="B78" s="22" t="n">
        <x:f>DATE(C78,D78,1)</x:f>
        <x:v>42887</x:v>
      </x:c>
      <x:c r="C78" t="n">
        <x:v>2017</x:v>
      </x:c>
      <x:c r="D78" t="n">
        <x:v>6</x:v>
      </x:c>
      <x:c r="E78" t="str">
        <x:f>TEXT(B78,"mmm")</x:f>
        <x:v>Jun</x:v>
      </x:c>
      <x:c r="F78" t="str">
        <x:f>"Q"&amp;ROUNDUP(D78/3,0)</x:f>
        <x:v>Q2</x:v>
      </x:c>
      <x:c r="G78" s="23" t="n">
        <x:v>75</x:v>
      </x:c>
      <x:c r="H78" s="23" t="n">
        <x:v>70</x:v>
      </x:c>
      <x:c r="I78" s="23" t="n">
        <x:v>72.5</x:v>
      </x:c>
      <x:c r="J78" s="23" t="n">
        <x:f>G78-H78</x:f>
        <x:v>5</x:v>
      </x:c>
      <x:c r="K78" t="str">
        <x:v>OBSERVED</x:v>
      </x:c>
      <x:c r="L78" s="24" t="n">
        <x:v>17.385</x:v>
      </x:c>
      <x:c r="M78" s="24" t="n">
        <x:v>78.4867</x:v>
      </x:c>
      <x:c r="N78" t="str">
        <x:f>IF(I78&gt;70,"70+ dB",IF(I78&gt;55,"56-70 dB","41-55 dB"))</x:f>
        <x:v>70+ dB</x:v>
      </x:c>
      <x:c r="O78" t="str">
        <x:f>IF(I78&gt;70,"High",IF(I78&gt;55,"Moderate","Low"))</x:f>
        <x:v>High</x:v>
      </x:c>
      <x:c r="P78" t="str">
        <x:f>IF(I78&gt;=70,"Yes","No")</x:f>
        <x:v>Yes</x:v>
      </x:c>
      <x:c r="Q78" t="str">
        <x:f>TEXT(B78,"yyyy-mm")</x:f>
        <x:v>2017-06</x:v>
      </x:c>
    </x:row>
    <x:row r="79">
      <x:c r="A79" t="str">
        <x:v>HYD01</x:v>
      </x:c>
      <x:c r="B79" s="22" t="n">
        <x:f>DATE(C79,D79,1)</x:f>
        <x:v>42917</x:v>
      </x:c>
      <x:c r="C79" t="n">
        <x:v>2017</x:v>
      </x:c>
      <x:c r="D79" t="n">
        <x:v>7</x:v>
      </x:c>
      <x:c r="E79" t="str">
        <x:f>TEXT(B79,"mmm")</x:f>
        <x:v>Jul</x:v>
      </x:c>
      <x:c r="F79" t="str">
        <x:f>"Q"&amp;ROUNDUP(D79/3,0)</x:f>
        <x:v>Q3</x:v>
      </x:c>
      <x:c r="G79" s="23" t="n">
        <x:v>75</x:v>
      </x:c>
      <x:c r="H79" s="23" t="n">
        <x:v>68</x:v>
      </x:c>
      <x:c r="I79" s="23" t="n">
        <x:v>71.5</x:v>
      </x:c>
      <x:c r="J79" s="23" t="n">
        <x:f>G79-H79</x:f>
        <x:v>7</x:v>
      </x:c>
      <x:c r="K79" t="str">
        <x:v>OBSERVED</x:v>
      </x:c>
      <x:c r="L79" s="24" t="n">
        <x:v>17.385</x:v>
      </x:c>
      <x:c r="M79" s="24" t="n">
        <x:v>78.4867</x:v>
      </x:c>
      <x:c r="N79" t="str">
        <x:f>IF(I79&gt;70,"70+ dB",IF(I79&gt;55,"56-70 dB","41-55 dB"))</x:f>
        <x:v>70+ dB</x:v>
      </x:c>
      <x:c r="O79" t="str">
        <x:f>IF(I79&gt;70,"High",IF(I79&gt;55,"Moderate","Low"))</x:f>
        <x:v>High</x:v>
      </x:c>
      <x:c r="P79" t="str">
        <x:f>IF(I79&gt;=70,"Yes","No")</x:f>
        <x:v>Yes</x:v>
      </x:c>
      <x:c r="Q79" t="str">
        <x:f>TEXT(B79,"yyyy-mm")</x:f>
        <x:v>2017-07</x:v>
      </x:c>
    </x:row>
    <x:row r="80">
      <x:c r="A80" t="str">
        <x:v>HYD01</x:v>
      </x:c>
      <x:c r="B80" s="22" t="n">
        <x:f>DATE(C80,D80,1)</x:f>
        <x:v>42948</x:v>
      </x:c>
      <x:c r="C80" t="n">
        <x:v>2017</x:v>
      </x:c>
      <x:c r="D80" t="n">
        <x:v>8</x:v>
      </x:c>
      <x:c r="E80" t="str">
        <x:f>TEXT(B80,"mmm")</x:f>
        <x:v>Aug</x:v>
      </x:c>
      <x:c r="F80" t="str">
        <x:f>"Q"&amp;ROUNDUP(D80/3,0)</x:f>
        <x:v>Q3</x:v>
      </x:c>
      <x:c r="G80" s="23" t="n">
        <x:v>75</x:v>
      </x:c>
      <x:c r="H80" s="23" t="n">
        <x:v>67</x:v>
      </x:c>
      <x:c r="I80" s="23" t="n">
        <x:v>71</x:v>
      </x:c>
      <x:c r="J80" s="23" t="n">
        <x:f>G80-H80</x:f>
        <x:v>8</x:v>
      </x:c>
      <x:c r="K80" t="str">
        <x:v>OBSERVED</x:v>
      </x:c>
      <x:c r="L80" s="24" t="n">
        <x:v>17.385</x:v>
      </x:c>
      <x:c r="M80" s="24" t="n">
        <x:v>78.4867</x:v>
      </x:c>
      <x:c r="N80" t="str">
        <x:f>IF(I80&gt;70,"70+ dB",IF(I80&gt;55,"56-70 dB","41-55 dB"))</x:f>
        <x:v>70+ dB</x:v>
      </x:c>
      <x:c r="O80" t="str">
        <x:f>IF(I80&gt;70,"High",IF(I80&gt;55,"Moderate","Low"))</x:f>
        <x:v>High</x:v>
      </x:c>
      <x:c r="P80" t="str">
        <x:f>IF(I80&gt;=70,"Yes","No")</x:f>
        <x:v>Yes</x:v>
      </x:c>
      <x:c r="Q80" t="str">
        <x:f>TEXT(B80,"yyyy-mm")</x:f>
        <x:v>2017-08</x:v>
      </x:c>
    </x:row>
    <x:row r="81">
      <x:c r="A81" t="str">
        <x:v>HYD01</x:v>
      </x:c>
      <x:c r="B81" s="22" t="n">
        <x:f>DATE(C81,D81,1)</x:f>
        <x:v>42979</x:v>
      </x:c>
      <x:c r="C81" t="n">
        <x:v>2017</x:v>
      </x:c>
      <x:c r="D81" t="n">
        <x:v>9</x:v>
      </x:c>
      <x:c r="E81" t="str">
        <x:f>TEXT(B81,"mmm")</x:f>
        <x:v>Sep</x:v>
      </x:c>
      <x:c r="F81" t="str">
        <x:f>"Q"&amp;ROUNDUP(D81/3,0)</x:f>
        <x:v>Q3</x:v>
      </x:c>
      <x:c r="G81" s="23" t="n">
        <x:v>74</x:v>
      </x:c>
      <x:c r="H81" s="23" t="n">
        <x:v>67</x:v>
      </x:c>
      <x:c r="I81" s="23" t="n">
        <x:v>70.5</x:v>
      </x:c>
      <x:c r="J81" s="23" t="n">
        <x:f>G81-H81</x:f>
        <x:v>7</x:v>
      </x:c>
      <x:c r="K81" t="str">
        <x:v>OBSERVED</x:v>
      </x:c>
      <x:c r="L81" s="24" t="n">
        <x:v>17.385</x:v>
      </x:c>
      <x:c r="M81" s="24" t="n">
        <x:v>78.4867</x:v>
      </x:c>
      <x:c r="N81" t="str">
        <x:f>IF(I81&gt;70,"70+ dB",IF(I81&gt;55,"56-70 dB","41-55 dB"))</x:f>
        <x:v>70+ dB</x:v>
      </x:c>
      <x:c r="O81" t="str">
        <x:f>IF(I81&gt;70,"High",IF(I81&gt;55,"Moderate","Low"))</x:f>
        <x:v>High</x:v>
      </x:c>
      <x:c r="P81" t="str">
        <x:f>IF(I81&gt;=70,"Yes","No")</x:f>
        <x:v>Yes</x:v>
      </x:c>
      <x:c r="Q81" t="str">
        <x:f>TEXT(B81,"yyyy-mm")</x:f>
        <x:v>2017-09</x:v>
      </x:c>
    </x:row>
    <x:row r="82">
      <x:c r="A82" t="str">
        <x:v>HYD01</x:v>
      </x:c>
      <x:c r="B82" s="22" t="n">
        <x:f>DATE(C82,D82,1)</x:f>
        <x:v>43009</x:v>
      </x:c>
      <x:c r="C82" t="n">
        <x:v>2017</x:v>
      </x:c>
      <x:c r="D82" t="n">
        <x:v>10</x:v>
      </x:c>
      <x:c r="E82" t="str">
        <x:f>TEXT(B82,"mmm")</x:f>
        <x:v>Oct</x:v>
      </x:c>
      <x:c r="F82" t="str">
        <x:f>"Q"&amp;ROUNDUP(D82/3,0)</x:f>
        <x:v>Q4</x:v>
      </x:c>
      <x:c r="G82" s="23" t="n">
        <x:v>74</x:v>
      </x:c>
      <x:c r="H82" s="23" t="n">
        <x:v>66</x:v>
      </x:c>
      <x:c r="I82" s="23" t="n">
        <x:v>70</x:v>
      </x:c>
      <x:c r="J82" s="23" t="n">
        <x:f>G82-H82</x:f>
        <x:v>8</x:v>
      </x:c>
      <x:c r="K82" t="str">
        <x:v>OBSERVED</x:v>
      </x:c>
      <x:c r="L82" s="24" t="n">
        <x:v>17.385</x:v>
      </x:c>
      <x:c r="M82" s="24" t="n">
        <x:v>78.4867</x:v>
      </x:c>
      <x:c r="N82" t="str">
        <x:f>IF(I82&gt;70,"70+ dB",IF(I82&gt;55,"56-70 dB","41-55 dB"))</x:f>
        <x:v>56-70 dB</x:v>
      </x:c>
      <x:c r="O82" t="str">
        <x:f>IF(I82&gt;70,"High",IF(I82&gt;55,"Moderate","Low"))</x:f>
        <x:v>Moderate</x:v>
      </x:c>
      <x:c r="P82" t="str">
        <x:f>IF(I82&gt;=70,"Yes","No")</x:f>
        <x:v>Yes</x:v>
      </x:c>
      <x:c r="Q82" t="str">
        <x:f>TEXT(B82,"yyyy-mm")</x:f>
        <x:v>2017-10</x:v>
      </x:c>
    </x:row>
    <x:row r="83">
      <x:c r="A83" t="str">
        <x:v>HYD01</x:v>
      </x:c>
      <x:c r="B83" s="22" t="n">
        <x:f>DATE(C83,D83,1)</x:f>
        <x:v>43040</x:v>
      </x:c>
      <x:c r="C83" t="n">
        <x:v>2017</x:v>
      </x:c>
      <x:c r="D83" t="n">
        <x:v>11</x:v>
      </x:c>
      <x:c r="E83" t="str">
        <x:f>TEXT(B83,"mmm")</x:f>
        <x:v>Nov</x:v>
      </x:c>
      <x:c r="F83" t="str">
        <x:f>"Q"&amp;ROUNDUP(D83/3,0)</x:f>
        <x:v>Q4</x:v>
      </x:c>
      <x:c r="G83" s="23" t="n">
        <x:v>74</x:v>
      </x:c>
      <x:c r="H83" s="23" t="n">
        <x:v>65</x:v>
      </x:c>
      <x:c r="I83" s="23" t="n">
        <x:v>69.5</x:v>
      </x:c>
      <x:c r="J83" s="23" t="n">
        <x:f>G83-H83</x:f>
        <x:v>9</x:v>
      </x:c>
      <x:c r="K83" t="str">
        <x:v>OBSERVED</x:v>
      </x:c>
      <x:c r="L83" s="24" t="n">
        <x:v>17.385</x:v>
      </x:c>
      <x:c r="M83" s="24" t="n">
        <x:v>78.4867</x:v>
      </x:c>
      <x:c r="N83" t="str">
        <x:f>IF(I83&gt;70,"70+ dB",IF(I83&gt;55,"56-70 dB","41-55 dB"))</x:f>
        <x:v>56-70 dB</x:v>
      </x:c>
      <x:c r="O83" t="str">
        <x:f>IF(I83&gt;70,"High",IF(I83&gt;55,"Moderate","Low"))</x:f>
        <x:v>Moderate</x:v>
      </x:c>
      <x:c r="P83" t="str">
        <x:f>IF(I83&gt;=70,"Yes","No")</x:f>
        <x:v>No</x:v>
      </x:c>
      <x:c r="Q83" t="str">
        <x:f>TEXT(B83,"yyyy-mm")</x:f>
        <x:v>2017-11</x:v>
      </x:c>
    </x:row>
    <x:row r="84">
      <x:c r="A84" t="str">
        <x:v>HYD01</x:v>
      </x:c>
      <x:c r="B84" s="22" t="n">
        <x:f>DATE(C84,D84,1)</x:f>
        <x:v>43070</x:v>
      </x:c>
      <x:c r="C84" t="n">
        <x:v>2017</x:v>
      </x:c>
      <x:c r="D84" t="n">
        <x:v>12</x:v>
      </x:c>
      <x:c r="E84" t="str">
        <x:f>TEXT(B84,"mmm")</x:f>
        <x:v>Dec</x:v>
      </x:c>
      <x:c r="F84" t="str">
        <x:f>"Q"&amp;ROUNDUP(D84/3,0)</x:f>
        <x:v>Q4</x:v>
      </x:c>
      <x:c r="G84" s="23" t="n">
        <x:v>75</x:v>
      </x:c>
      <x:c r="H84" s="23" t="n">
        <x:v>66</x:v>
      </x:c>
      <x:c r="I84" s="23" t="n">
        <x:v>70.5</x:v>
      </x:c>
      <x:c r="J84" s="23" t="n">
        <x:f>G84-H84</x:f>
        <x:v>9</x:v>
      </x:c>
      <x:c r="K84" t="str">
        <x:v>OBSERVED</x:v>
      </x:c>
      <x:c r="L84" s="24" t="n">
        <x:v>17.385</x:v>
      </x:c>
      <x:c r="M84" s="24" t="n">
        <x:v>78.4867</x:v>
      </x:c>
      <x:c r="N84" t="str">
        <x:f>IF(I84&gt;70,"70+ dB",IF(I84&gt;55,"56-70 dB","41-55 dB"))</x:f>
        <x:v>70+ dB</x:v>
      </x:c>
      <x:c r="O84" t="str">
        <x:f>IF(I84&gt;70,"High",IF(I84&gt;55,"Moderate","Low"))</x:f>
        <x:v>High</x:v>
      </x:c>
      <x:c r="P84" t="str">
        <x:f>IF(I84&gt;=70,"Yes","No")</x:f>
        <x:v>Yes</x:v>
      </x:c>
      <x:c r="Q84" t="str">
        <x:f>TEXT(B84,"yyyy-mm")</x:f>
        <x:v>2017-12</x:v>
      </x:c>
    </x:row>
    <x:row r="85">
      <x:c r="A85" t="str">
        <x:v>HYD01</x:v>
      </x:c>
      <x:c r="B85" s="22" t="n">
        <x:f>DATE(C85,D85,1)</x:f>
        <x:v>43101</x:v>
      </x:c>
      <x:c r="C85" t="n">
        <x:v>2018</x:v>
      </x:c>
      <x:c r="D85" t="n">
        <x:v>1</x:v>
      </x:c>
      <x:c r="E85" t="str">
        <x:f>TEXT(B85,"mmm")</x:f>
        <x:v>Jan</x:v>
      </x:c>
      <x:c r="F85" t="str">
        <x:f>"Q"&amp;ROUNDUP(D85/3,0)</x:f>
        <x:v>Q1</x:v>
      </x:c>
      <x:c r="G85" s="23" t="n">
        <x:v>74</x:v>
      </x:c>
      <x:c r="H85" s="23" t="n">
        <x:v>67</x:v>
      </x:c>
      <x:c r="I85" s="23" t="n">
        <x:v>70.5</x:v>
      </x:c>
      <x:c r="J85" s="23" t="n">
        <x:f>G85-H85</x:f>
        <x:v>7</x:v>
      </x:c>
      <x:c r="K85" t="str">
        <x:v>OBSERVED</x:v>
      </x:c>
      <x:c r="L85" s="24" t="n">
        <x:v>17.385</x:v>
      </x:c>
      <x:c r="M85" s="24" t="n">
        <x:v>78.4867</x:v>
      </x:c>
      <x:c r="N85" t="str">
        <x:f>IF(I85&gt;70,"70+ dB",IF(I85&gt;55,"56-70 dB","41-55 dB"))</x:f>
        <x:v>70+ dB</x:v>
      </x:c>
      <x:c r="O85" t="str">
        <x:f>IF(I85&gt;70,"High",IF(I85&gt;55,"Moderate","Low"))</x:f>
        <x:v>High</x:v>
      </x:c>
      <x:c r="P85" t="str">
        <x:f>IF(I85&gt;=70,"Yes","No")</x:f>
        <x:v>Yes</x:v>
      </x:c>
      <x:c r="Q85" t="str">
        <x:f>TEXT(B85,"yyyy-mm")</x:f>
        <x:v>2018-01</x:v>
      </x:c>
    </x:row>
    <x:row r="86">
      <x:c r="A86" t="str">
        <x:v>HYD01</x:v>
      </x:c>
      <x:c r="B86" s="22" t="n">
        <x:f>DATE(C86,D86,1)</x:f>
        <x:v>43132</x:v>
      </x:c>
      <x:c r="C86" t="n">
        <x:v>2018</x:v>
      </x:c>
      <x:c r="D86" t="n">
        <x:v>2</x:v>
      </x:c>
      <x:c r="E86" t="str">
        <x:f>TEXT(B86,"mmm")</x:f>
        <x:v>Feb</x:v>
      </x:c>
      <x:c r="F86" t="str">
        <x:f>"Q"&amp;ROUNDUP(D86/3,0)</x:f>
        <x:v>Q1</x:v>
      </x:c>
      <x:c r="G86" s="23" t="n">
        <x:v>74</x:v>
      </x:c>
      <x:c r="H86" s="23" t="n">
        <x:v>67</x:v>
      </x:c>
      <x:c r="I86" s="23" t="n">
        <x:v>70.5</x:v>
      </x:c>
      <x:c r="J86" s="23" t="n">
        <x:f>G86-H86</x:f>
        <x:v>7</x:v>
      </x:c>
      <x:c r="K86" t="str">
        <x:v>OBSERVED</x:v>
      </x:c>
      <x:c r="L86" s="24" t="n">
        <x:v>17.385</x:v>
      </x:c>
      <x:c r="M86" s="24" t="n">
        <x:v>78.4867</x:v>
      </x:c>
      <x:c r="N86" t="str">
        <x:f>IF(I86&gt;70,"70+ dB",IF(I86&gt;55,"56-70 dB","41-55 dB"))</x:f>
        <x:v>70+ dB</x:v>
      </x:c>
      <x:c r="O86" t="str">
        <x:f>IF(I86&gt;70,"High",IF(I86&gt;55,"Moderate","Low"))</x:f>
        <x:v>High</x:v>
      </x:c>
      <x:c r="P86" t="str">
        <x:f>IF(I86&gt;=70,"Yes","No")</x:f>
        <x:v>Yes</x:v>
      </x:c>
      <x:c r="Q86" t="str">
        <x:f>TEXT(B86,"yyyy-mm")</x:f>
        <x:v>2018-02</x:v>
      </x:c>
    </x:row>
    <x:row r="87">
      <x:c r="A87" t="str">
        <x:v>HYD01</x:v>
      </x:c>
      <x:c r="B87" s="22" t="n">
        <x:f>DATE(C87,D87,1)</x:f>
        <x:v>43160</x:v>
      </x:c>
      <x:c r="C87" t="n">
        <x:v>2018</x:v>
      </x:c>
      <x:c r="D87" t="n">
        <x:v>3</x:v>
      </x:c>
      <x:c r="E87" t="str">
        <x:f>TEXT(B87,"mmm")</x:f>
        <x:v>Mar</x:v>
      </x:c>
      <x:c r="F87" t="str">
        <x:f>"Q"&amp;ROUNDUP(D87/3,0)</x:f>
        <x:v>Q1</x:v>
      </x:c>
      <x:c r="G87" s="23" t="n">
        <x:v>74</x:v>
      </x:c>
      <x:c r="H87" s="23" t="n">
        <x:v>67</x:v>
      </x:c>
      <x:c r="I87" s="23" t="n">
        <x:v>70.5</x:v>
      </x:c>
      <x:c r="J87" s="23" t="n">
        <x:f>G87-H87</x:f>
        <x:v>7</x:v>
      </x:c>
      <x:c r="K87" t="str">
        <x:v>OBSERVED</x:v>
      </x:c>
      <x:c r="L87" s="24" t="n">
        <x:v>17.385</x:v>
      </x:c>
      <x:c r="M87" s="24" t="n">
        <x:v>78.4867</x:v>
      </x:c>
      <x:c r="N87" t="str">
        <x:f>IF(I87&gt;70,"70+ dB",IF(I87&gt;55,"56-70 dB","41-55 dB"))</x:f>
        <x:v>70+ dB</x:v>
      </x:c>
      <x:c r="O87" t="str">
        <x:f>IF(I87&gt;70,"High",IF(I87&gt;55,"Moderate","Low"))</x:f>
        <x:v>High</x:v>
      </x:c>
      <x:c r="P87" t="str">
        <x:f>IF(I87&gt;=70,"Yes","No")</x:f>
        <x:v>Yes</x:v>
      </x:c>
      <x:c r="Q87" t="str">
        <x:f>TEXT(B87,"yyyy-mm")</x:f>
        <x:v>2018-03</x:v>
      </x:c>
    </x:row>
    <x:row r="88">
      <x:c r="A88" t="str">
        <x:v>HYD01</x:v>
      </x:c>
      <x:c r="B88" s="22" t="n">
        <x:f>DATE(C88,D88,1)</x:f>
        <x:v>43191</x:v>
      </x:c>
      <x:c r="C88" t="n">
        <x:v>2018</x:v>
      </x:c>
      <x:c r="D88" t="n">
        <x:v>4</x:v>
      </x:c>
      <x:c r="E88" t="str">
        <x:f>TEXT(B88,"mmm")</x:f>
        <x:v>Apr</x:v>
      </x:c>
      <x:c r="F88" t="str">
        <x:f>"Q"&amp;ROUNDUP(D88/3,0)</x:f>
        <x:v>Q2</x:v>
      </x:c>
      <x:c r="G88" s="23" t="n">
        <x:v>74</x:v>
      </x:c>
      <x:c r="H88" s="23" t="n">
        <x:v>67</x:v>
      </x:c>
      <x:c r="I88" s="23" t="n">
        <x:v>70.5</x:v>
      </x:c>
      <x:c r="J88" s="23" t="n">
        <x:f>G88-H88</x:f>
        <x:v>7</x:v>
      </x:c>
      <x:c r="K88" t="str">
        <x:v>OBSERVED</x:v>
      </x:c>
      <x:c r="L88" s="24" t="n">
        <x:v>17.385</x:v>
      </x:c>
      <x:c r="M88" s="24" t="n">
        <x:v>78.4867</x:v>
      </x:c>
      <x:c r="N88" t="str">
        <x:f>IF(I88&gt;70,"70+ dB",IF(I88&gt;55,"56-70 dB","41-55 dB"))</x:f>
        <x:v>70+ dB</x:v>
      </x:c>
      <x:c r="O88" t="str">
        <x:f>IF(I88&gt;70,"High",IF(I88&gt;55,"Moderate","Low"))</x:f>
        <x:v>High</x:v>
      </x:c>
      <x:c r="P88" t="str">
        <x:f>IF(I88&gt;=70,"Yes","No")</x:f>
        <x:v>Yes</x:v>
      </x:c>
      <x:c r="Q88" t="str">
        <x:f>TEXT(B88,"yyyy-mm")</x:f>
        <x:v>2018-04</x:v>
      </x:c>
    </x:row>
    <x:row r="89">
      <x:c r="A89" t="str">
        <x:v>HYD01</x:v>
      </x:c>
      <x:c r="B89" s="22" t="n">
        <x:f>DATE(C89,D89,1)</x:f>
        <x:v>43221</x:v>
      </x:c>
      <x:c r="C89" t="n">
        <x:v>2018</x:v>
      </x:c>
      <x:c r="D89" t="n">
        <x:v>5</x:v>
      </x:c>
      <x:c r="E89" t="str">
        <x:f>TEXT(B89,"mmm")</x:f>
        <x:v>May</x:v>
      </x:c>
      <x:c r="F89" t="str">
        <x:f>"Q"&amp;ROUNDUP(D89/3,0)</x:f>
        <x:v>Q2</x:v>
      </x:c>
      <x:c r="G89" s="23" t="n">
        <x:v>73</x:v>
      </x:c>
      <x:c r="H89" s="23" t="n">
        <x:v>67</x:v>
      </x:c>
      <x:c r="I89" s="23" t="n">
        <x:v>70</x:v>
      </x:c>
      <x:c r="J89" s="23" t="n">
        <x:f>G89-H89</x:f>
        <x:v>6</x:v>
      </x:c>
      <x:c r="K89" t="str">
        <x:v>OBSERVED</x:v>
      </x:c>
      <x:c r="L89" s="24" t="n">
        <x:v>17.385</x:v>
      </x:c>
      <x:c r="M89" s="24" t="n">
        <x:v>78.4867</x:v>
      </x:c>
      <x:c r="N89" t="str">
        <x:f>IF(I89&gt;70,"70+ dB",IF(I89&gt;55,"56-70 dB","41-55 dB"))</x:f>
        <x:v>56-70 dB</x:v>
      </x:c>
      <x:c r="O89" t="str">
        <x:f>IF(I89&gt;70,"High",IF(I89&gt;55,"Moderate","Low"))</x:f>
        <x:v>Moderate</x:v>
      </x:c>
      <x:c r="P89" t="str">
        <x:f>IF(I89&gt;=70,"Yes","No")</x:f>
        <x:v>Yes</x:v>
      </x:c>
      <x:c r="Q89" t="str">
        <x:f>TEXT(B89,"yyyy-mm")</x:f>
        <x:v>2018-05</x:v>
      </x:c>
    </x:row>
    <x:row r="90">
      <x:c r="A90" t="str">
        <x:v>HYD01</x:v>
      </x:c>
      <x:c r="B90" s="22" t="n">
        <x:f>DATE(C90,D90,1)</x:f>
        <x:v>43252</x:v>
      </x:c>
      <x:c r="C90" t="n">
        <x:v>2018</x:v>
      </x:c>
      <x:c r="D90" t="n">
        <x:v>6</x:v>
      </x:c>
      <x:c r="E90" t="str">
        <x:f>TEXT(B90,"mmm")</x:f>
        <x:v>Jun</x:v>
      </x:c>
      <x:c r="F90" t="str">
        <x:f>"Q"&amp;ROUNDUP(D90/3,0)</x:f>
        <x:v>Q2</x:v>
      </x:c>
      <x:c r="G90" s="23" t="n">
        <x:v>75</x:v>
      </x:c>
      <x:c r="H90" s="23" t="n">
        <x:v>71</x:v>
      </x:c>
      <x:c r="I90" s="23" t="n">
        <x:v>73</x:v>
      </x:c>
      <x:c r="J90" s="23" t="n">
        <x:f>G90-H90</x:f>
        <x:v>4</x:v>
      </x:c>
      <x:c r="K90" t="str">
        <x:v>OBSERVED</x:v>
      </x:c>
      <x:c r="L90" s="24" t="n">
        <x:v>17.385</x:v>
      </x:c>
      <x:c r="M90" s="24" t="n">
        <x:v>78.4867</x:v>
      </x:c>
      <x:c r="N90" t="str">
        <x:f>IF(I90&gt;70,"70+ dB",IF(I90&gt;55,"56-70 dB","41-55 dB"))</x:f>
        <x:v>70+ dB</x:v>
      </x:c>
      <x:c r="O90" t="str">
        <x:f>IF(I90&gt;70,"High",IF(I90&gt;55,"Moderate","Low"))</x:f>
        <x:v>High</x:v>
      </x:c>
      <x:c r="P90" t="str">
        <x:f>IF(I90&gt;=70,"Yes","No")</x:f>
        <x:v>Yes</x:v>
      </x:c>
      <x:c r="Q90" t="str">
        <x:f>TEXT(B90,"yyyy-mm")</x:f>
        <x:v>2018-06</x:v>
      </x:c>
    </x:row>
    <x:row r="91">
      <x:c r="A91" t="str">
        <x:v>HYD01</x:v>
      </x:c>
      <x:c r="B91" s="22" t="n">
        <x:f>DATE(C91,D91,1)</x:f>
        <x:v>43282</x:v>
      </x:c>
      <x:c r="C91" t="n">
        <x:v>2018</x:v>
      </x:c>
      <x:c r="D91" t="n">
        <x:v>7</x:v>
      </x:c>
      <x:c r="E91" t="str">
        <x:f>TEXT(B91,"mmm")</x:f>
        <x:v>Jul</x:v>
      </x:c>
      <x:c r="F91" t="str">
        <x:f>"Q"&amp;ROUNDUP(D91/3,0)</x:f>
        <x:v>Q3</x:v>
      </x:c>
      <x:c r="G91" s="23" t="n">
        <x:v>76</x:v>
      </x:c>
      <x:c r="H91" s="23" t="n">
        <x:v>69</x:v>
      </x:c>
      <x:c r="I91" s="23" t="n">
        <x:v>72.5</x:v>
      </x:c>
      <x:c r="J91" s="23" t="n">
        <x:f>G91-H91</x:f>
        <x:v>7</x:v>
      </x:c>
      <x:c r="K91" t="str">
        <x:v>OBSERVED</x:v>
      </x:c>
      <x:c r="L91" s="24" t="n">
        <x:v>17.385</x:v>
      </x:c>
      <x:c r="M91" s="24" t="n">
        <x:v>78.4867</x:v>
      </x:c>
      <x:c r="N91" t="str">
        <x:f>IF(I91&gt;70,"70+ dB",IF(I91&gt;55,"56-70 dB","41-55 dB"))</x:f>
        <x:v>70+ dB</x:v>
      </x:c>
      <x:c r="O91" t="str">
        <x:f>IF(I91&gt;70,"High",IF(I91&gt;55,"Moderate","Low"))</x:f>
        <x:v>High</x:v>
      </x:c>
      <x:c r="P91" t="str">
        <x:f>IF(I91&gt;=70,"Yes","No")</x:f>
        <x:v>Yes</x:v>
      </x:c>
      <x:c r="Q91" t="str">
        <x:f>TEXT(B91,"yyyy-mm")</x:f>
        <x:v>2018-07</x:v>
      </x:c>
    </x:row>
    <x:row r="92">
      <x:c r="A92" t="str">
        <x:v>HYD01</x:v>
      </x:c>
      <x:c r="B92" s="22" t="n">
        <x:f>DATE(C92,D92,1)</x:f>
        <x:v>43313</x:v>
      </x:c>
      <x:c r="C92" t="n">
        <x:v>2018</x:v>
      </x:c>
      <x:c r="D92" t="n">
        <x:v>8</x:v>
      </x:c>
      <x:c r="E92" t="str">
        <x:f>TEXT(B92,"mmm")</x:f>
        <x:v>Aug</x:v>
      </x:c>
      <x:c r="F92" t="str">
        <x:f>"Q"&amp;ROUNDUP(D92/3,0)</x:f>
        <x:v>Q3</x:v>
      </x:c>
      <x:c r="G92" s="23" t="n">
        <x:v>75</x:v>
      </x:c>
      <x:c r="H92" s="23" t="n">
        <x:v>69</x:v>
      </x:c>
      <x:c r="I92" s="23" t="n">
        <x:v>72</x:v>
      </x:c>
      <x:c r="J92" s="23" t="n">
        <x:f>G92-H92</x:f>
        <x:v>6</x:v>
      </x:c>
      <x:c r="K92" t="str">
        <x:v>OBSERVED</x:v>
      </x:c>
      <x:c r="L92" s="24" t="n">
        <x:v>17.385</x:v>
      </x:c>
      <x:c r="M92" s="24" t="n">
        <x:v>78.4867</x:v>
      </x:c>
      <x:c r="N92" t="str">
        <x:f>IF(I92&gt;70,"70+ dB",IF(I92&gt;55,"56-70 dB","41-55 dB"))</x:f>
        <x:v>70+ dB</x:v>
      </x:c>
      <x:c r="O92" t="str">
        <x:f>IF(I92&gt;70,"High",IF(I92&gt;55,"Moderate","Low"))</x:f>
        <x:v>High</x:v>
      </x:c>
      <x:c r="P92" t="str">
        <x:f>IF(I92&gt;=70,"Yes","No")</x:f>
        <x:v>Yes</x:v>
      </x:c>
      <x:c r="Q92" t="str">
        <x:f>TEXT(B92,"yyyy-mm")</x:f>
        <x:v>2018-08</x:v>
      </x:c>
    </x:row>
    <x:row r="93">
      <x:c r="A93" t="str">
        <x:v>HYD01</x:v>
      </x:c>
      <x:c r="B93" s="22" t="n">
        <x:f>DATE(C93,D93,1)</x:f>
        <x:v>43344</x:v>
      </x:c>
      <x:c r="C93" t="n">
        <x:v>2018</x:v>
      </x:c>
      <x:c r="D93" t="n">
        <x:v>9</x:v>
      </x:c>
      <x:c r="E93" t="str">
        <x:f>TEXT(B93,"mmm")</x:f>
        <x:v>Sep</x:v>
      </x:c>
      <x:c r="F93" t="str">
        <x:f>"Q"&amp;ROUNDUP(D93/3,0)</x:f>
        <x:v>Q3</x:v>
      </x:c>
      <x:c r="G93" s="23" t="n">
        <x:v>74</x:v>
      </x:c>
      <x:c r="H93" s="23" t="n">
        <x:v>68</x:v>
      </x:c>
      <x:c r="I93" s="23" t="n">
        <x:v>71</x:v>
      </x:c>
      <x:c r="J93" s="23" t="n">
        <x:f>G93-H93</x:f>
        <x:v>6</x:v>
      </x:c>
      <x:c r="K93" t="str">
        <x:v>OBSERVED</x:v>
      </x:c>
      <x:c r="L93" s="24" t="n">
        <x:v>17.385</x:v>
      </x:c>
      <x:c r="M93" s="24" t="n">
        <x:v>78.4867</x:v>
      </x:c>
      <x:c r="N93" t="str">
        <x:f>IF(I93&gt;70,"70+ dB",IF(I93&gt;55,"56-70 dB","41-55 dB"))</x:f>
        <x:v>70+ dB</x:v>
      </x:c>
      <x:c r="O93" t="str">
        <x:f>IF(I93&gt;70,"High",IF(I93&gt;55,"Moderate","Low"))</x:f>
        <x:v>High</x:v>
      </x:c>
      <x:c r="P93" t="str">
        <x:f>IF(I93&gt;=70,"Yes","No")</x:f>
        <x:v>Yes</x:v>
      </x:c>
      <x:c r="Q93" t="str">
        <x:f>TEXT(B93,"yyyy-mm")</x:f>
        <x:v>2018-09</x:v>
      </x:c>
    </x:row>
    <x:row r="94">
      <x:c r="A94" t="str">
        <x:v>HYD01</x:v>
      </x:c>
      <x:c r="B94" s="22" t="n">
        <x:f>DATE(C94,D94,1)</x:f>
        <x:v>43374</x:v>
      </x:c>
      <x:c r="C94" t="n">
        <x:v>2018</x:v>
      </x:c>
      <x:c r="D94" t="n">
        <x:v>10</x:v>
      </x:c>
      <x:c r="E94" t="str">
        <x:f>TEXT(B94,"mmm")</x:f>
        <x:v>Oct</x:v>
      </x:c>
      <x:c r="F94" t="str">
        <x:f>"Q"&amp;ROUNDUP(D94/3,0)</x:f>
        <x:v>Q4</x:v>
      </x:c>
      <x:c r="G94" s="23" t="n">
        <x:v>74</x:v>
      </x:c>
      <x:c r="H94" s="23" t="n">
        <x:v>67</x:v>
      </x:c>
      <x:c r="I94" s="23" t="n">
        <x:v>70.5</x:v>
      </x:c>
      <x:c r="J94" s="23" t="n">
        <x:f>G94-H94</x:f>
        <x:v>7</x:v>
      </x:c>
      <x:c r="K94" t="str">
        <x:v>OBSERVED</x:v>
      </x:c>
      <x:c r="L94" s="24" t="n">
        <x:v>17.385</x:v>
      </x:c>
      <x:c r="M94" s="24" t="n">
        <x:v>78.4867</x:v>
      </x:c>
      <x:c r="N94" t="str">
        <x:f>IF(I94&gt;70,"70+ dB",IF(I94&gt;55,"56-70 dB","41-55 dB"))</x:f>
        <x:v>70+ dB</x:v>
      </x:c>
      <x:c r="O94" t="str">
        <x:f>IF(I94&gt;70,"High",IF(I94&gt;55,"Moderate","Low"))</x:f>
        <x:v>High</x:v>
      </x:c>
      <x:c r="P94" t="str">
        <x:f>IF(I94&gt;=70,"Yes","No")</x:f>
        <x:v>Yes</x:v>
      </x:c>
      <x:c r="Q94" t="str">
        <x:f>TEXT(B94,"yyyy-mm")</x:f>
        <x:v>2018-10</x:v>
      </x:c>
    </x:row>
    <x:row r="95">
      <x:c r="A95" t="str">
        <x:v>HYD01</x:v>
      </x:c>
      <x:c r="B95" s="22" t="n">
        <x:f>DATE(C95,D95,1)</x:f>
        <x:v>43405</x:v>
      </x:c>
      <x:c r="C95" t="n">
        <x:v>2018</x:v>
      </x:c>
      <x:c r="D95" t="n">
        <x:v>11</x:v>
      </x:c>
      <x:c r="E95" t="str">
        <x:f>TEXT(B95,"mmm")</x:f>
        <x:v>Nov</x:v>
      </x:c>
      <x:c r="F95" t="str">
        <x:f>"Q"&amp;ROUNDUP(D95/3,0)</x:f>
        <x:v>Q4</x:v>
      </x:c>
      <x:c r="G95" s="23" t="n">
        <x:v>74</x:v>
      </x:c>
      <x:c r="H95" s="23" t="n">
        <x:v>67</x:v>
      </x:c>
      <x:c r="I95" s="23" t="n">
        <x:v>70.5</x:v>
      </x:c>
      <x:c r="J95" s="23" t="n">
        <x:f>G95-H95</x:f>
        <x:v>7</x:v>
      </x:c>
      <x:c r="K95" t="str">
        <x:v>OBSERVED</x:v>
      </x:c>
      <x:c r="L95" s="24" t="n">
        <x:v>17.385</x:v>
      </x:c>
      <x:c r="M95" s="24" t="n">
        <x:v>78.4867</x:v>
      </x:c>
      <x:c r="N95" t="str">
        <x:f>IF(I95&gt;70,"70+ dB",IF(I95&gt;55,"56-70 dB","41-55 dB"))</x:f>
        <x:v>70+ dB</x:v>
      </x:c>
      <x:c r="O95" t="str">
        <x:f>IF(I95&gt;70,"High",IF(I95&gt;55,"Moderate","Low"))</x:f>
        <x:v>High</x:v>
      </x:c>
      <x:c r="P95" t="str">
        <x:f>IF(I95&gt;=70,"Yes","No")</x:f>
        <x:v>Yes</x:v>
      </x:c>
      <x:c r="Q95" t="str">
        <x:f>TEXT(B95,"yyyy-mm")</x:f>
        <x:v>2018-11</x:v>
      </x:c>
    </x:row>
    <x:row r="96">
      <x:c r="A96" t="str">
        <x:v>HYD01</x:v>
      </x:c>
      <x:c r="B96" s="22" t="n">
        <x:f>DATE(C96,D96,1)</x:f>
        <x:v>43435</x:v>
      </x:c>
      <x:c r="C96" t="n">
        <x:v>2018</x:v>
      </x:c>
      <x:c r="D96" t="n">
        <x:v>12</x:v>
      </x:c>
      <x:c r="E96" t="str">
        <x:f>TEXT(B96,"mmm")</x:f>
        <x:v>Dec</x:v>
      </x:c>
      <x:c r="F96" t="str">
        <x:f>"Q"&amp;ROUNDUP(D96/3,0)</x:f>
        <x:v>Q4</x:v>
      </x:c>
      <x:c r="G96" s="23" t="n">
        <x:v>74</x:v>
      </x:c>
      <x:c r="H96" s="23" t="n">
        <x:v>67</x:v>
      </x:c>
      <x:c r="I96" s="23" t="n">
        <x:v>70.5</x:v>
      </x:c>
      <x:c r="J96" s="23" t="n">
        <x:f>G96-H96</x:f>
        <x:v>7</x:v>
      </x:c>
      <x:c r="K96" t="str">
        <x:v>OBSERVED</x:v>
      </x:c>
      <x:c r="L96" s="24" t="n">
        <x:v>17.385</x:v>
      </x:c>
      <x:c r="M96" s="24" t="n">
        <x:v>78.4867</x:v>
      </x:c>
      <x:c r="N96" t="str">
        <x:f>IF(I96&gt;70,"70+ dB",IF(I96&gt;55,"56-70 dB","41-55 dB"))</x:f>
        <x:v>70+ dB</x:v>
      </x:c>
      <x:c r="O96" t="str">
        <x:f>IF(I96&gt;70,"High",IF(I96&gt;55,"Moderate","Low"))</x:f>
        <x:v>High</x:v>
      </x:c>
      <x:c r="P96" t="str">
        <x:f>IF(I96&gt;=70,"Yes","No")</x:f>
        <x:v>Yes</x:v>
      </x:c>
      <x:c r="Q96" t="str">
        <x:f>TEXT(B96,"yyyy-mm")</x:f>
        <x:v>2018-12</x:v>
      </x:c>
    </x:row>
    <x:row r="97">
      <x:c r="A97" t="str">
        <x:v>HYD01</x:v>
      </x:c>
      <x:c r="B97" s="22" t="n">
        <x:f>DATE(C97,D97,1)</x:f>
        <x:v>43466</x:v>
      </x:c>
      <x:c r="C97" t="n">
        <x:v>2019</x:v>
      </x:c>
      <x:c r="D97" t="n">
        <x:v>1</x:v>
      </x:c>
      <x:c r="E97" t="str">
        <x:f>TEXT(B97,"mmm")</x:f>
        <x:v>Jan</x:v>
      </x:c>
      <x:c r="F97" t="str">
        <x:f>"Q"&amp;ROUNDUP(D97/3,0)</x:f>
        <x:v>Q1</x:v>
      </x:c>
      <x:c r="G97" s="23" t="n">
        <x:v>74.67</x:v>
      </x:c>
      <x:c r="H97" s="23" t="n">
        <x:v>67.77</x:v>
      </x:c>
      <x:c r="I97" s="23" t="n">
        <x:v>71.2</x:v>
      </x:c>
      <x:c r="J97" s="23" t="n">
        <x:f>G97-H97</x:f>
        <x:v>6.900000000000006</x:v>
      </x:c>
      <x:c r="K97" t="str">
        <x:v>HINDCAST</x:v>
      </x:c>
      <x:c r="L97" s="24" t="n">
        <x:v>17.385</x:v>
      </x:c>
      <x:c r="M97" s="24" t="n">
        <x:v>78.4867</x:v>
      </x:c>
      <x:c r="N97" t="str">
        <x:f>IF(I97&gt;70,"70+ dB",IF(I97&gt;55,"56-70 dB","41-55 dB"))</x:f>
        <x:v>70+ dB</x:v>
      </x:c>
      <x:c r="O97" t="str">
        <x:f>IF(I97&gt;70,"High",IF(I97&gt;55,"Moderate","Low"))</x:f>
        <x:v>High</x:v>
      </x:c>
      <x:c r="P97" t="str">
        <x:f>IF(I97&gt;=70,"Yes","No")</x:f>
        <x:v>Yes</x:v>
      </x:c>
      <x:c r="Q97" t="str">
        <x:f>TEXT(B97,"yyyy-mm")</x:f>
        <x:v>2019-01</x:v>
      </x:c>
    </x:row>
    <x:row r="98">
      <x:c r="A98" t="str">
        <x:v>HYD01</x:v>
      </x:c>
      <x:c r="B98" s="22" t="n">
        <x:f>DATE(C98,D98,1)</x:f>
        <x:v>43497</x:v>
      </x:c>
      <x:c r="C98" t="n">
        <x:v>2019</x:v>
      </x:c>
      <x:c r="D98" t="n">
        <x:v>2</x:v>
      </x:c>
      <x:c r="E98" t="str">
        <x:f>TEXT(B98,"mmm")</x:f>
        <x:v>Feb</x:v>
      </x:c>
      <x:c r="F98" t="str">
        <x:f>"Q"&amp;ROUNDUP(D98/3,0)</x:f>
        <x:v>Q1</x:v>
      </x:c>
      <x:c r="G98" s="23" t="n">
        <x:v>74.34</x:v>
      </x:c>
      <x:c r="H98" s="23" t="n">
        <x:v>68.14</x:v>
      </x:c>
      <x:c r="I98" s="23" t="n">
        <x:v>71.2</x:v>
      </x:c>
      <x:c r="J98" s="23" t="n">
        <x:f>G98-H98</x:f>
        <x:v>6.200000000000003</x:v>
      </x:c>
      <x:c r="K98" t="str">
        <x:v>HINDCAST</x:v>
      </x:c>
      <x:c r="L98" s="24" t="n">
        <x:v>17.385</x:v>
      </x:c>
      <x:c r="M98" s="24" t="n">
        <x:v>78.4867</x:v>
      </x:c>
      <x:c r="N98" t="str">
        <x:f>IF(I98&gt;70,"70+ dB",IF(I98&gt;55,"56-70 dB","41-55 dB"))</x:f>
        <x:v>70+ dB</x:v>
      </x:c>
      <x:c r="O98" t="str">
        <x:f>IF(I98&gt;70,"High",IF(I98&gt;55,"Moderate","Low"))</x:f>
        <x:v>High</x:v>
      </x:c>
      <x:c r="P98" t="str">
        <x:f>IF(I98&gt;=70,"Yes","No")</x:f>
        <x:v>Yes</x:v>
      </x:c>
      <x:c r="Q98" t="str">
        <x:f>TEXT(B98,"yyyy-mm")</x:f>
        <x:v>2019-02</x:v>
      </x:c>
    </x:row>
    <x:row r="99">
      <x:c r="A99" t="str">
        <x:v>HYD01</x:v>
      </x:c>
      <x:c r="B99" s="22" t="n">
        <x:f>DATE(C99,D99,1)</x:f>
        <x:v>43525</x:v>
      </x:c>
      <x:c r="C99" t="n">
        <x:v>2019</x:v>
      </x:c>
      <x:c r="D99" t="n">
        <x:v>3</x:v>
      </x:c>
      <x:c r="E99" t="str">
        <x:f>TEXT(B99,"mmm")</x:f>
        <x:v>Mar</x:v>
      </x:c>
      <x:c r="F99" t="str">
        <x:f>"Q"&amp;ROUNDUP(D99/3,0)</x:f>
        <x:v>Q1</x:v>
      </x:c>
      <x:c r="G99" s="23" t="n">
        <x:v>74.24</x:v>
      </x:c>
      <x:c r="H99" s="23" t="n">
        <x:v>67.34</x:v>
      </x:c>
      <x:c r="I99" s="23" t="n">
        <x:v>70.8</x:v>
      </x:c>
      <x:c r="J99" s="23" t="n">
        <x:f>G99-H99</x:f>
        <x:v>6.8999999999999915</x:v>
      </x:c>
      <x:c r="K99" t="str">
        <x:v>HINDCAST</x:v>
      </x:c>
      <x:c r="L99" s="24" t="n">
        <x:v>17.385</x:v>
      </x:c>
      <x:c r="M99" s="24" t="n">
        <x:v>78.4867</x:v>
      </x:c>
      <x:c r="N99" t="str">
        <x:f>IF(I99&gt;70,"70+ dB",IF(I99&gt;55,"56-70 dB","41-55 dB"))</x:f>
        <x:v>70+ dB</x:v>
      </x:c>
      <x:c r="O99" t="str">
        <x:f>IF(I99&gt;70,"High",IF(I99&gt;55,"Moderate","Low"))</x:f>
        <x:v>High</x:v>
      </x:c>
      <x:c r="P99" t="str">
        <x:f>IF(I99&gt;=70,"Yes","No")</x:f>
        <x:v>Yes</x:v>
      </x:c>
      <x:c r="Q99" t="str">
        <x:f>TEXT(B99,"yyyy-mm")</x:f>
        <x:v>2019-03</x:v>
      </x:c>
    </x:row>
    <x:row r="100">
      <x:c r="A100" t="str">
        <x:v>HYD01</x:v>
      </x:c>
      <x:c r="B100" s="22" t="n">
        <x:f>DATE(C100,D100,1)</x:f>
        <x:v>43556</x:v>
      </x:c>
      <x:c r="C100" t="n">
        <x:v>2019</x:v>
      </x:c>
      <x:c r="D100" t="n">
        <x:v>4</x:v>
      </x:c>
      <x:c r="E100" t="str">
        <x:f>TEXT(B100,"mmm")</x:f>
        <x:v>Apr</x:v>
      </x:c>
      <x:c r="F100" t="str">
        <x:f>"Q"&amp;ROUNDUP(D100/3,0)</x:f>
        <x:v>Q2</x:v>
      </x:c>
      <x:c r="G100" s="23" t="n">
        <x:v>74.21</x:v>
      </x:c>
      <x:c r="H100" s="23" t="n">
        <x:v>67.87</x:v>
      </x:c>
      <x:c r="I100" s="23" t="n">
        <x:v>71</x:v>
      </x:c>
      <x:c r="J100" s="23" t="n">
        <x:f>G100-H100</x:f>
        <x:v>6.339999999999989</x:v>
      </x:c>
      <x:c r="K100" t="str">
        <x:v>HINDCAST</x:v>
      </x:c>
      <x:c r="L100" s="24" t="n">
        <x:v>17.385</x:v>
      </x:c>
      <x:c r="M100" s="24" t="n">
        <x:v>78.4867</x:v>
      </x:c>
      <x:c r="N100" t="str">
        <x:f>IF(I100&gt;70,"70+ dB",IF(I100&gt;55,"56-70 dB","41-55 dB"))</x:f>
        <x:v>70+ dB</x:v>
      </x:c>
      <x:c r="O100" t="str">
        <x:f>IF(I100&gt;70,"High",IF(I100&gt;55,"Moderate","Low"))</x:f>
        <x:v>High</x:v>
      </x:c>
      <x:c r="P100" t="str">
        <x:f>IF(I100&gt;=70,"Yes","No")</x:f>
        <x:v>Yes</x:v>
      </x:c>
      <x:c r="Q100" t="str">
        <x:f>TEXT(B100,"yyyy-mm")</x:f>
        <x:v>2019-04</x:v>
      </x:c>
    </x:row>
    <x:row r="101">
      <x:c r="A101" t="str">
        <x:v>HYD01</x:v>
      </x:c>
      <x:c r="B101" s="22" t="n">
        <x:f>DATE(C101,D101,1)</x:f>
        <x:v>43586</x:v>
      </x:c>
      <x:c r="C101" t="n">
        <x:v>2019</x:v>
      </x:c>
      <x:c r="D101" t="n">
        <x:v>5</x:v>
      </x:c>
      <x:c r="E101" t="str">
        <x:f>TEXT(B101,"mmm")</x:f>
        <x:v>May</x:v>
      </x:c>
      <x:c r="F101" t="str">
        <x:f>"Q"&amp;ROUNDUP(D101/3,0)</x:f>
        <x:v>Q2</x:v>
      </x:c>
      <x:c r="G101" s="23" t="n">
        <x:v>74.13</x:v>
      </x:c>
      <x:c r="H101" s="23" t="n">
        <x:v>68.53</x:v>
      </x:c>
      <x:c r="I101" s="23" t="n">
        <x:v>71.3</x:v>
      </x:c>
      <x:c r="J101" s="23" t="n">
        <x:f>G101-H101</x:f>
        <x:v>5.599999999999994</x:v>
      </x:c>
      <x:c r="K101" t="str">
        <x:v>HINDCAST</x:v>
      </x:c>
      <x:c r="L101" s="24" t="n">
        <x:v>17.385</x:v>
      </x:c>
      <x:c r="M101" s="24" t="n">
        <x:v>78.4867</x:v>
      </x:c>
      <x:c r="N101" t="str">
        <x:f>IF(I101&gt;70,"70+ dB",IF(I101&gt;55,"56-70 dB","41-55 dB"))</x:f>
        <x:v>70+ dB</x:v>
      </x:c>
      <x:c r="O101" t="str">
        <x:f>IF(I101&gt;70,"High",IF(I101&gt;55,"Moderate","Low"))</x:f>
        <x:v>High</x:v>
      </x:c>
      <x:c r="P101" t="str">
        <x:f>IF(I101&gt;=70,"Yes","No")</x:f>
        <x:v>Yes</x:v>
      </x:c>
      <x:c r="Q101" t="str">
        <x:f>TEXT(B101,"yyyy-mm")</x:f>
        <x:v>2019-05</x:v>
      </x:c>
    </x:row>
    <x:row r="102">
      <x:c r="A102" t="str">
        <x:v>HYD01</x:v>
      </x:c>
      <x:c r="B102" s="22" t="n">
        <x:f>DATE(C102,D102,1)</x:f>
        <x:v>43617</x:v>
      </x:c>
      <x:c r="C102" t="n">
        <x:v>2019</x:v>
      </x:c>
      <x:c r="D102" t="n">
        <x:v>6</x:v>
      </x:c>
      <x:c r="E102" t="str">
        <x:f>TEXT(B102,"mmm")</x:f>
        <x:v>Jun</x:v>
      </x:c>
      <x:c r="F102" t="str">
        <x:f>"Q"&amp;ROUNDUP(D102/3,0)</x:f>
        <x:v>Q2</x:v>
      </x:c>
      <x:c r="G102" s="23" t="n">
        <x:v>75.46</x:v>
      </x:c>
      <x:c r="H102" s="23" t="n">
        <x:v>71.67</x:v>
      </x:c>
      <x:c r="I102" s="23" t="n">
        <x:v>73.6</x:v>
      </x:c>
      <x:c r="J102" s="23" t="n">
        <x:f>G102-H102</x:f>
        <x:v>3.789999999999992</x:v>
      </x:c>
      <x:c r="K102" t="str">
        <x:v>HINDCAST</x:v>
      </x:c>
      <x:c r="L102" s="24" t="n">
        <x:v>17.385</x:v>
      </x:c>
      <x:c r="M102" s="24" t="n">
        <x:v>78.4867</x:v>
      </x:c>
      <x:c r="N102" t="str">
        <x:f>IF(I102&gt;70,"70+ dB",IF(I102&gt;55,"56-70 dB","41-55 dB"))</x:f>
        <x:v>70+ dB</x:v>
      </x:c>
      <x:c r="O102" t="str">
        <x:f>IF(I102&gt;70,"High",IF(I102&gt;55,"Moderate","Low"))</x:f>
        <x:v>High</x:v>
      </x:c>
      <x:c r="P102" t="str">
        <x:f>IF(I102&gt;=70,"Yes","No")</x:f>
        <x:v>Yes</x:v>
      </x:c>
      <x:c r="Q102" t="str">
        <x:f>TEXT(B102,"yyyy-mm")</x:f>
        <x:v>2019-06</x:v>
      </x:c>
    </x:row>
    <x:row r="103">
      <x:c r="A103" t="str">
        <x:v>HYD01</x:v>
      </x:c>
      <x:c r="B103" s="22" t="n">
        <x:f>DATE(C103,D103,1)</x:f>
        <x:v>43647</x:v>
      </x:c>
      <x:c r="C103" t="n">
        <x:v>2019</x:v>
      </x:c>
      <x:c r="D103" t="n">
        <x:v>7</x:v>
      </x:c>
      <x:c r="E103" t="str">
        <x:f>TEXT(B103,"mmm")</x:f>
        <x:v>Jul</x:v>
      </x:c>
      <x:c r="F103" t="str">
        <x:f>"Q"&amp;ROUNDUP(D103/3,0)</x:f>
        <x:v>Q3</x:v>
      </x:c>
      <x:c r="G103" s="23" t="n">
        <x:v>76.1</x:v>
      </x:c>
      <x:c r="H103" s="23" t="n">
        <x:v>71.9</x:v>
      </x:c>
      <x:c r="I103" s="23" t="n">
        <x:v>74</x:v>
      </x:c>
      <x:c r="J103" s="23" t="n">
        <x:f>G103-H103</x:f>
        <x:v>4.199999999999989</x:v>
      </x:c>
      <x:c r="K103" t="str">
        <x:v>HINDCAST</x:v>
      </x:c>
      <x:c r="L103" s="24" t="n">
        <x:v>17.385</x:v>
      </x:c>
      <x:c r="M103" s="24" t="n">
        <x:v>78.4867</x:v>
      </x:c>
      <x:c r="N103" t="str">
        <x:f>IF(I103&gt;70,"70+ dB",IF(I103&gt;55,"56-70 dB","41-55 dB"))</x:f>
        <x:v>70+ dB</x:v>
      </x:c>
      <x:c r="O103" t="str">
        <x:f>IF(I103&gt;70,"High",IF(I103&gt;55,"Moderate","Low"))</x:f>
        <x:v>High</x:v>
      </x:c>
      <x:c r="P103" t="str">
        <x:f>IF(I103&gt;=70,"Yes","No")</x:f>
        <x:v>Yes</x:v>
      </x:c>
      <x:c r="Q103" t="str">
        <x:f>TEXT(B103,"yyyy-mm")</x:f>
        <x:v>2019-07</x:v>
      </x:c>
    </x:row>
    <x:row r="104">
      <x:c r="A104" t="str">
        <x:v>HYD01</x:v>
      </x:c>
      <x:c r="B104" s="22" t="n">
        <x:f>DATE(C104,D104,1)</x:f>
        <x:v>43678</x:v>
      </x:c>
      <x:c r="C104" t="n">
        <x:v>2019</x:v>
      </x:c>
      <x:c r="D104" t="n">
        <x:v>8</x:v>
      </x:c>
      <x:c r="E104" t="str">
        <x:f>TEXT(B104,"mmm")</x:f>
        <x:v>Aug</x:v>
      </x:c>
      <x:c r="F104" t="str">
        <x:f>"Q"&amp;ROUNDUP(D104/3,0)</x:f>
        <x:v>Q3</x:v>
      </x:c>
      <x:c r="G104" s="23" t="n">
        <x:v>75.63</x:v>
      </x:c>
      <x:c r="H104" s="23" t="n">
        <x:v>70.54</x:v>
      </x:c>
      <x:c r="I104" s="23" t="n">
        <x:v>73.1</x:v>
      </x:c>
      <x:c r="J104" s="23" t="n">
        <x:f>G104-H104</x:f>
        <x:v>5.089999999999989</x:v>
      </x:c>
      <x:c r="K104" t="str">
        <x:v>HINDCAST</x:v>
      </x:c>
      <x:c r="L104" s="24" t="n">
        <x:v>17.385</x:v>
      </x:c>
      <x:c r="M104" s="24" t="n">
        <x:v>78.4867</x:v>
      </x:c>
      <x:c r="N104" t="str">
        <x:f>IF(I104&gt;70,"70+ dB",IF(I104&gt;55,"56-70 dB","41-55 dB"))</x:f>
        <x:v>70+ dB</x:v>
      </x:c>
      <x:c r="O104" t="str">
        <x:f>IF(I104&gt;70,"High",IF(I104&gt;55,"Moderate","Low"))</x:f>
        <x:v>High</x:v>
      </x:c>
      <x:c r="P104" t="str">
        <x:f>IF(I104&gt;=70,"Yes","No")</x:f>
        <x:v>Yes</x:v>
      </x:c>
      <x:c r="Q104" t="str">
        <x:f>TEXT(B104,"yyyy-mm")</x:f>
        <x:v>2019-08</x:v>
      </x:c>
    </x:row>
    <x:row r="105">
      <x:c r="A105" t="str">
        <x:v>HYD01</x:v>
      </x:c>
      <x:c r="B105" s="22" t="n">
        <x:f>DATE(C105,D105,1)</x:f>
        <x:v>43709</x:v>
      </x:c>
      <x:c r="C105" t="n">
        <x:v>2019</x:v>
      </x:c>
      <x:c r="D105" t="n">
        <x:v>9</x:v>
      </x:c>
      <x:c r="E105" t="str">
        <x:f>TEXT(B105,"mmm")</x:f>
        <x:v>Sep</x:v>
      </x:c>
      <x:c r="F105" t="str">
        <x:f>"Q"&amp;ROUNDUP(D105/3,0)</x:f>
        <x:v>Q3</x:v>
      </x:c>
      <x:c r="G105" s="23" t="n">
        <x:v>74.94</x:v>
      </x:c>
      <x:c r="H105" s="23" t="n">
        <x:v>69.68</x:v>
      </x:c>
      <x:c r="I105" s="23" t="n">
        <x:v>72.3</x:v>
      </x:c>
      <x:c r="J105" s="23" t="n">
        <x:f>G105-H105</x:f>
        <x:v>5.259999999999991</x:v>
      </x:c>
      <x:c r="K105" t="str">
        <x:v>HINDCAST</x:v>
      </x:c>
      <x:c r="L105" s="24" t="n">
        <x:v>17.385</x:v>
      </x:c>
      <x:c r="M105" s="24" t="n">
        <x:v>78.4867</x:v>
      </x:c>
      <x:c r="N105" t="str">
        <x:f>IF(I105&gt;70,"70+ dB",IF(I105&gt;55,"56-70 dB","41-55 dB"))</x:f>
        <x:v>70+ dB</x:v>
      </x:c>
      <x:c r="O105" t="str">
        <x:f>IF(I105&gt;70,"High",IF(I105&gt;55,"Moderate","Low"))</x:f>
        <x:v>High</x:v>
      </x:c>
      <x:c r="P105" t="str">
        <x:f>IF(I105&gt;=70,"Yes","No")</x:f>
        <x:v>Yes</x:v>
      </x:c>
      <x:c r="Q105" t="str">
        <x:f>TEXT(B105,"yyyy-mm")</x:f>
        <x:v>2019-09</x:v>
      </x:c>
    </x:row>
    <x:row r="106">
      <x:c r="A106" t="str">
        <x:v>HYD01</x:v>
      </x:c>
      <x:c r="B106" s="22" t="n">
        <x:f>DATE(C106,D106,1)</x:f>
        <x:v>43739</x:v>
      </x:c>
      <x:c r="C106" t="n">
        <x:v>2019</x:v>
      </x:c>
      <x:c r="D106" t="n">
        <x:v>10</x:v>
      </x:c>
      <x:c r="E106" t="str">
        <x:f>TEXT(B106,"mmm")</x:f>
        <x:v>Oct</x:v>
      </x:c>
      <x:c r="F106" t="str">
        <x:f>"Q"&amp;ROUNDUP(D106/3,0)</x:f>
        <x:v>Q4</x:v>
      </x:c>
      <x:c r="G106" s="23" t="n">
        <x:v>74.79</x:v>
      </x:c>
      <x:c r="H106" s="23" t="n">
        <x:v>68.81</x:v>
      </x:c>
      <x:c r="I106" s="23" t="n">
        <x:v>71.8</x:v>
      </x:c>
      <x:c r="J106" s="23" t="n">
        <x:f>G106-H106</x:f>
        <x:v>5.980000000000004</x:v>
      </x:c>
      <x:c r="K106" t="str">
        <x:v>HINDCAST</x:v>
      </x:c>
      <x:c r="L106" s="24" t="n">
        <x:v>17.385</x:v>
      </x:c>
      <x:c r="M106" s="24" t="n">
        <x:v>78.4867</x:v>
      </x:c>
      <x:c r="N106" t="str">
        <x:f>IF(I106&gt;70,"70+ dB",IF(I106&gt;55,"56-70 dB","41-55 dB"))</x:f>
        <x:v>70+ dB</x:v>
      </x:c>
      <x:c r="O106" t="str">
        <x:f>IF(I106&gt;70,"High",IF(I106&gt;55,"Moderate","Low"))</x:f>
        <x:v>High</x:v>
      </x:c>
      <x:c r="P106" t="str">
        <x:f>IF(I106&gt;=70,"Yes","No")</x:f>
        <x:v>Yes</x:v>
      </x:c>
      <x:c r="Q106" t="str">
        <x:f>TEXT(B106,"yyyy-mm")</x:f>
        <x:v>2019-10</x:v>
      </x:c>
    </x:row>
    <x:row r="107">
      <x:c r="A107" t="str">
        <x:v>HYD01</x:v>
      </x:c>
      <x:c r="B107" s="22" t="n">
        <x:f>DATE(C107,D107,1)</x:f>
        <x:v>43770</x:v>
      </x:c>
      <x:c r="C107" t="n">
        <x:v>2019</x:v>
      </x:c>
      <x:c r="D107" t="n">
        <x:v>11</x:v>
      </x:c>
      <x:c r="E107" t="str">
        <x:f>TEXT(B107,"mmm")</x:f>
        <x:v>Nov</x:v>
      </x:c>
      <x:c r="F107" t="str">
        <x:f>"Q"&amp;ROUNDUP(D107/3,0)</x:f>
        <x:v>Q4</x:v>
      </x:c>
      <x:c r="G107" s="23" t="n">
        <x:v>74.66</x:v>
      </x:c>
      <x:c r="H107" s="23" t="n">
        <x:v>67.73</x:v>
      </x:c>
      <x:c r="I107" s="23" t="n">
        <x:v>71.2</x:v>
      </x:c>
      <x:c r="J107" s="23" t="n">
        <x:f>G107-H107</x:f>
        <x:v>6.929999999999993</x:v>
      </x:c>
      <x:c r="K107" t="str">
        <x:v>HINDCAST</x:v>
      </x:c>
      <x:c r="L107" s="24" t="n">
        <x:v>17.385</x:v>
      </x:c>
      <x:c r="M107" s="24" t="n">
        <x:v>78.4867</x:v>
      </x:c>
      <x:c r="N107" t="str">
        <x:f>IF(I107&gt;70,"70+ dB",IF(I107&gt;55,"56-70 dB","41-55 dB"))</x:f>
        <x:v>70+ dB</x:v>
      </x:c>
      <x:c r="O107" t="str">
        <x:f>IF(I107&gt;70,"High",IF(I107&gt;55,"Moderate","Low"))</x:f>
        <x:v>High</x:v>
      </x:c>
      <x:c r="P107" t="str">
        <x:f>IF(I107&gt;=70,"Yes","No")</x:f>
        <x:v>Yes</x:v>
      </x:c>
      <x:c r="Q107" t="str">
        <x:f>TEXT(B107,"yyyy-mm")</x:f>
        <x:v>2019-11</x:v>
      </x:c>
    </x:row>
    <x:row r="108">
      <x:c r="A108" t="str">
        <x:v>HYD01</x:v>
      </x:c>
      <x:c r="B108" s="22" t="n">
        <x:f>DATE(C108,D108,1)</x:f>
        <x:v>43800</x:v>
      </x:c>
      <x:c r="C108" t="n">
        <x:v>2019</x:v>
      </x:c>
      <x:c r="D108" t="n">
        <x:v>12</x:v>
      </x:c>
      <x:c r="E108" t="str">
        <x:f>TEXT(B108,"mmm")</x:f>
        <x:v>Dec</x:v>
      </x:c>
      <x:c r="F108" t="str">
        <x:f>"Q"&amp;ROUNDUP(D108/3,0)</x:f>
        <x:v>Q4</x:v>
      </x:c>
      <x:c r="G108" s="23" t="n">
        <x:v>74.35</x:v>
      </x:c>
      <x:c r="H108" s="23" t="n">
        <x:v>67.6</x:v>
      </x:c>
      <x:c r="I108" s="23" t="n">
        <x:v>71</x:v>
      </x:c>
      <x:c r="J108" s="23" t="n">
        <x:f>G108-H108</x:f>
        <x:v>6.75</x:v>
      </x:c>
      <x:c r="K108" t="str">
        <x:v>HINDCAST</x:v>
      </x:c>
      <x:c r="L108" s="24" t="n">
        <x:v>17.385</x:v>
      </x:c>
      <x:c r="M108" s="24" t="n">
        <x:v>78.4867</x:v>
      </x:c>
      <x:c r="N108" t="str">
        <x:f>IF(I108&gt;70,"70+ dB",IF(I108&gt;55,"56-70 dB","41-55 dB"))</x:f>
        <x:v>70+ dB</x:v>
      </x:c>
      <x:c r="O108" t="str">
        <x:f>IF(I108&gt;70,"High",IF(I108&gt;55,"Moderate","Low"))</x:f>
        <x:v>High</x:v>
      </x:c>
      <x:c r="P108" t="str">
        <x:f>IF(I108&gt;=70,"Yes","No")</x:f>
        <x:v>Yes</x:v>
      </x:c>
      <x:c r="Q108" t="str">
        <x:f>TEXT(B108,"yyyy-mm")</x:f>
        <x:v>2019-12</x:v>
      </x:c>
    </x:row>
    <x:row r="109">
      <x:c r="A109" t="str">
        <x:v>HYD01</x:v>
      </x:c>
      <x:c r="B109" s="22" t="n">
        <x:f>DATE(C109,D109,1)</x:f>
        <x:v>43831</x:v>
      </x:c>
      <x:c r="C109" t="n">
        <x:v>2020</x:v>
      </x:c>
      <x:c r="D109" t="n">
        <x:v>1</x:v>
      </x:c>
      <x:c r="E109" t="str">
        <x:f>TEXT(B109,"mmm")</x:f>
        <x:v>Jan</x:v>
      </x:c>
      <x:c r="F109" t="str">
        <x:f>"Q"&amp;ROUNDUP(D109/3,0)</x:f>
        <x:v>Q1</x:v>
      </x:c>
      <x:c r="G109" s="23" t="n">
        <x:v>75.04</x:v>
      </x:c>
      <x:c r="H109" s="23" t="n">
        <x:v>68.56</x:v>
      </x:c>
      <x:c r="I109" s="23" t="n">
        <x:v>71.8</x:v>
      </x:c>
      <x:c r="J109" s="23" t="n">
        <x:f>G109-H109</x:f>
        <x:v>6.480000000000004</x:v>
      </x:c>
      <x:c r="K109" t="str">
        <x:v>HINDCAST</x:v>
      </x:c>
      <x:c r="L109" s="24" t="n">
        <x:v>17.385</x:v>
      </x:c>
      <x:c r="M109" s="24" t="n">
        <x:v>78.4867</x:v>
      </x:c>
      <x:c r="N109" t="str">
        <x:f>IF(I109&gt;70,"70+ dB",IF(I109&gt;55,"56-70 dB","41-55 dB"))</x:f>
        <x:v>70+ dB</x:v>
      </x:c>
      <x:c r="O109" t="str">
        <x:f>IF(I109&gt;70,"High",IF(I109&gt;55,"Moderate","Low"))</x:f>
        <x:v>High</x:v>
      </x:c>
      <x:c r="P109" t="str">
        <x:f>IF(I109&gt;=70,"Yes","No")</x:f>
        <x:v>Yes</x:v>
      </x:c>
      <x:c r="Q109" t="str">
        <x:f>TEXT(B109,"yyyy-mm")</x:f>
        <x:v>2020-01</x:v>
      </x:c>
    </x:row>
    <x:row r="110">
      <x:c r="A110" t="str">
        <x:v>HYD01</x:v>
      </x:c>
      <x:c r="B110" s="22" t="n">
        <x:f>DATE(C110,D110,1)</x:f>
        <x:v>43862</x:v>
      </x:c>
      <x:c r="C110" t="n">
        <x:v>2020</x:v>
      </x:c>
      <x:c r="D110" t="n">
        <x:v>2</x:v>
      </x:c>
      <x:c r="E110" t="str">
        <x:f>TEXT(B110,"mmm")</x:f>
        <x:v>Feb</x:v>
      </x:c>
      <x:c r="F110" t="str">
        <x:f>"Q"&amp;ROUNDUP(D110/3,0)</x:f>
        <x:v>Q1</x:v>
      </x:c>
      <x:c r="G110" s="23" t="n">
        <x:v>74.69</x:v>
      </x:c>
      <x:c r="H110" s="23" t="n">
        <x:v>68.92</x:v>
      </x:c>
      <x:c r="I110" s="23" t="n">
        <x:v>71.8</x:v>
      </x:c>
      <x:c r="J110" s="23" t="n">
        <x:f>G110-H110</x:f>
        <x:v>5.769999999999996</x:v>
      </x:c>
      <x:c r="K110" t="str">
        <x:v>HINDCAST</x:v>
      </x:c>
      <x:c r="L110" s="24" t="n">
        <x:v>17.385</x:v>
      </x:c>
      <x:c r="M110" s="24" t="n">
        <x:v>78.4867</x:v>
      </x:c>
      <x:c r="N110" t="str">
        <x:f>IF(I110&gt;70,"70+ dB",IF(I110&gt;55,"56-70 dB","41-55 dB"))</x:f>
        <x:v>70+ dB</x:v>
      </x:c>
      <x:c r="O110" t="str">
        <x:f>IF(I110&gt;70,"High",IF(I110&gt;55,"Moderate","Low"))</x:f>
        <x:v>High</x:v>
      </x:c>
      <x:c r="P110" t="str">
        <x:f>IF(I110&gt;=70,"Yes","No")</x:f>
        <x:v>Yes</x:v>
      </x:c>
      <x:c r="Q110" t="str">
        <x:f>TEXT(B110,"yyyy-mm")</x:f>
        <x:v>2020-02</x:v>
      </x:c>
    </x:row>
    <x:row r="111">
      <x:c r="A111" t="str">
        <x:v>HYD01</x:v>
      </x:c>
      <x:c r="B111" s="22" t="n">
        <x:f>DATE(C111,D111,1)</x:f>
        <x:v>43891</x:v>
      </x:c>
      <x:c r="C111" t="n">
        <x:v>2020</x:v>
      </x:c>
      <x:c r="D111" t="n">
        <x:v>3</x:v>
      </x:c>
      <x:c r="E111" t="str">
        <x:f>TEXT(B111,"mmm")</x:f>
        <x:v>Mar</x:v>
      </x:c>
      <x:c r="F111" t="str">
        <x:f>"Q"&amp;ROUNDUP(D111/3,0)</x:f>
        <x:v>Q1</x:v>
      </x:c>
      <x:c r="G111" s="23" t="n">
        <x:v>74.61</x:v>
      </x:c>
      <x:c r="H111" s="23" t="n">
        <x:v>68.08</x:v>
      </x:c>
      <x:c r="I111" s="23" t="n">
        <x:v>71.3</x:v>
      </x:c>
      <x:c r="J111" s="23" t="n">
        <x:f>G111-H111</x:f>
        <x:v>6.530000000000001</x:v>
      </x:c>
      <x:c r="K111" t="str">
        <x:v>HINDCAST</x:v>
      </x:c>
      <x:c r="L111" s="24" t="n">
        <x:v>17.385</x:v>
      </x:c>
      <x:c r="M111" s="24" t="n">
        <x:v>78.4867</x:v>
      </x:c>
      <x:c r="N111" t="str">
        <x:f>IF(I111&gt;70,"70+ dB",IF(I111&gt;55,"56-70 dB","41-55 dB"))</x:f>
        <x:v>70+ dB</x:v>
      </x:c>
      <x:c r="O111" t="str">
        <x:f>IF(I111&gt;70,"High",IF(I111&gt;55,"Moderate","Low"))</x:f>
        <x:v>High</x:v>
      </x:c>
      <x:c r="P111" t="str">
        <x:f>IF(I111&gt;=70,"Yes","No")</x:f>
        <x:v>Yes</x:v>
      </x:c>
      <x:c r="Q111" t="str">
        <x:f>TEXT(B111,"yyyy-mm")</x:f>
        <x:v>2020-03</x:v>
      </x:c>
    </x:row>
    <x:row r="112">
      <x:c r="A112" t="str">
        <x:v>HYD01</x:v>
      </x:c>
      <x:c r="B112" s="22" t="n">
        <x:f>DATE(C112,D112,1)</x:f>
        <x:v>43922</x:v>
      </x:c>
      <x:c r="C112" t="n">
        <x:v>2020</x:v>
      </x:c>
      <x:c r="D112" t="n">
        <x:v>4</x:v>
      </x:c>
      <x:c r="E112" t="str">
        <x:f>TEXT(B112,"mmm")</x:f>
        <x:v>Apr</x:v>
      </x:c>
      <x:c r="F112" t="str">
        <x:f>"Q"&amp;ROUNDUP(D112/3,0)</x:f>
        <x:v>Q2</x:v>
      </x:c>
      <x:c r="G112" s="23" t="n">
        <x:v>74.56</x:v>
      </x:c>
      <x:c r="H112" s="23" t="n">
        <x:v>68.64</x:v>
      </x:c>
      <x:c r="I112" s="23" t="n">
        <x:v>71.6</x:v>
      </x:c>
      <x:c r="J112" s="23" t="n">
        <x:f>G112-H112</x:f>
        <x:v>5.920000000000002</x:v>
      </x:c>
      <x:c r="K112" t="str">
        <x:v>HINDCAST</x:v>
      </x:c>
      <x:c r="L112" s="24" t="n">
        <x:v>17.385</x:v>
      </x:c>
      <x:c r="M112" s="24" t="n">
        <x:v>78.4867</x:v>
      </x:c>
      <x:c r="N112" t="str">
        <x:f>IF(I112&gt;70,"70+ dB",IF(I112&gt;55,"56-70 dB","41-55 dB"))</x:f>
        <x:v>70+ dB</x:v>
      </x:c>
      <x:c r="O112" t="str">
        <x:f>IF(I112&gt;70,"High",IF(I112&gt;55,"Moderate","Low"))</x:f>
        <x:v>High</x:v>
      </x:c>
      <x:c r="P112" t="str">
        <x:f>IF(I112&gt;=70,"Yes","No")</x:f>
        <x:v>Yes</x:v>
      </x:c>
      <x:c r="Q112" t="str">
        <x:f>TEXT(B112,"yyyy-mm")</x:f>
        <x:v>2020-04</x:v>
      </x:c>
    </x:row>
    <x:row r="113">
      <x:c r="A113" t="str">
        <x:v>HYD01</x:v>
      </x:c>
      <x:c r="B113" s="22" t="n">
        <x:f>DATE(C113,D113,1)</x:f>
        <x:v>43952</x:v>
      </x:c>
      <x:c r="C113" t="n">
        <x:v>2020</x:v>
      </x:c>
      <x:c r="D113" t="n">
        <x:v>5</x:v>
      </x:c>
      <x:c r="E113" t="str">
        <x:f>TEXT(B113,"mmm")</x:f>
        <x:v>May</x:v>
      </x:c>
      <x:c r="F113" t="str">
        <x:f>"Q"&amp;ROUNDUP(D113/3,0)</x:f>
        <x:v>Q2</x:v>
      </x:c>
      <x:c r="G113" s="23" t="n">
        <x:v>74.49</x:v>
      </x:c>
      <x:c r="H113" s="23" t="n">
        <x:v>69.34</x:v>
      </x:c>
      <x:c r="I113" s="23" t="n">
        <x:v>71.9</x:v>
      </x:c>
      <x:c r="J113" s="23" t="n">
        <x:f>G113-H113</x:f>
        <x:v>5.1499999999999915</x:v>
      </x:c>
      <x:c r="K113" t="str">
        <x:v>HINDCAST</x:v>
      </x:c>
      <x:c r="L113" s="24" t="n">
        <x:v>17.385</x:v>
      </x:c>
      <x:c r="M113" s="24" t="n">
        <x:v>78.4867</x:v>
      </x:c>
      <x:c r="N113" t="str">
        <x:f>IF(I113&gt;70,"70+ dB",IF(I113&gt;55,"56-70 dB","41-55 dB"))</x:f>
        <x:v>70+ dB</x:v>
      </x:c>
      <x:c r="O113" t="str">
        <x:f>IF(I113&gt;70,"High",IF(I113&gt;55,"Moderate","Low"))</x:f>
        <x:v>High</x:v>
      </x:c>
      <x:c r="P113" t="str">
        <x:f>IF(I113&gt;=70,"Yes","No")</x:f>
        <x:v>Yes</x:v>
      </x:c>
      <x:c r="Q113" t="str">
        <x:f>TEXT(B113,"yyyy-mm")</x:f>
        <x:v>2020-05</x:v>
      </x:c>
    </x:row>
    <x:row r="114">
      <x:c r="A114" t="str">
        <x:v>HYD01</x:v>
      </x:c>
      <x:c r="B114" s="22" t="n">
        <x:f>DATE(C114,D114,1)</x:f>
        <x:v>43983</x:v>
      </x:c>
      <x:c r="C114" t="n">
        <x:v>2020</x:v>
      </x:c>
      <x:c r="D114" t="n">
        <x:v>6</x:v>
      </x:c>
      <x:c r="E114" t="str">
        <x:f>TEXT(B114,"mmm")</x:f>
        <x:v>Jun</x:v>
      </x:c>
      <x:c r="F114" t="str">
        <x:f>"Q"&amp;ROUNDUP(D114/3,0)</x:f>
        <x:v>Q2</x:v>
      </x:c>
      <x:c r="G114" s="23" t="n">
        <x:v>75.82</x:v>
      </x:c>
      <x:c r="H114" s="23" t="n">
        <x:v>72.43</x:v>
      </x:c>
      <x:c r="I114" s="23" t="n">
        <x:v>74.1</x:v>
      </x:c>
      <x:c r="J114" s="23" t="n">
        <x:f>G114-H114</x:f>
        <x:v>3.3899999999999864</x:v>
      </x:c>
      <x:c r="K114" t="str">
        <x:v>HINDCAST</x:v>
      </x:c>
      <x:c r="L114" s="24" t="n">
        <x:v>17.385</x:v>
      </x:c>
      <x:c r="M114" s="24" t="n">
        <x:v>78.4867</x:v>
      </x:c>
      <x:c r="N114" t="str">
        <x:f>IF(I114&gt;70,"70+ dB",IF(I114&gt;55,"56-70 dB","41-55 dB"))</x:f>
        <x:v>70+ dB</x:v>
      </x:c>
      <x:c r="O114" t="str">
        <x:f>IF(I114&gt;70,"High",IF(I114&gt;55,"Moderate","Low"))</x:f>
        <x:v>High</x:v>
      </x:c>
      <x:c r="P114" t="str">
        <x:f>IF(I114&gt;=70,"Yes","No")</x:f>
        <x:v>Yes</x:v>
      </x:c>
      <x:c r="Q114" t="str">
        <x:f>TEXT(B114,"yyyy-mm")</x:f>
        <x:v>2020-06</x:v>
      </x:c>
    </x:row>
    <x:row r="115">
      <x:c r="A115" t="str">
        <x:v>HYD01</x:v>
      </x:c>
      <x:c r="B115" s="22" t="n">
        <x:f>DATE(C115,D115,1)</x:f>
        <x:v>44013</x:v>
      </x:c>
      <x:c r="C115" t="n">
        <x:v>2020</x:v>
      </x:c>
      <x:c r="D115" t="n">
        <x:v>7</x:v>
      </x:c>
      <x:c r="E115" t="str">
        <x:f>TEXT(B115,"mmm")</x:f>
        <x:v>Jul</x:v>
      </x:c>
      <x:c r="F115" t="str">
        <x:f>"Q"&amp;ROUNDUP(D115/3,0)</x:f>
        <x:v>Q3</x:v>
      </x:c>
      <x:c r="G115" s="23" t="n">
        <x:v>76.46</x:v>
      </x:c>
      <x:c r="H115" s="23" t="n">
        <x:v>72.79</x:v>
      </x:c>
      <x:c r="I115" s="23" t="n">
        <x:v>74.6</x:v>
      </x:c>
      <x:c r="J115" s="23" t="n">
        <x:f>G115-H115</x:f>
        <x:v>3.6699999999999875</x:v>
      </x:c>
      <x:c r="K115" t="str">
        <x:v>HINDCAST</x:v>
      </x:c>
      <x:c r="L115" s="24" t="n">
        <x:v>17.385</x:v>
      </x:c>
      <x:c r="M115" s="24" t="n">
        <x:v>78.4867</x:v>
      </x:c>
      <x:c r="N115" t="str">
        <x:f>IF(I115&gt;70,"70+ dB",IF(I115&gt;55,"56-70 dB","41-55 dB"))</x:f>
        <x:v>70+ dB</x:v>
      </x:c>
      <x:c r="O115" t="str">
        <x:f>IF(I115&gt;70,"High",IF(I115&gt;55,"Moderate","Low"))</x:f>
        <x:v>High</x:v>
      </x:c>
      <x:c r="P115" t="str">
        <x:f>IF(I115&gt;=70,"Yes","No")</x:f>
        <x:v>Yes</x:v>
      </x:c>
      <x:c r="Q115" t="str">
        <x:f>TEXT(B115,"yyyy-mm")</x:f>
        <x:v>2020-07</x:v>
      </x:c>
    </x:row>
    <x:row r="116">
      <x:c r="A116" t="str">
        <x:v>HYD01</x:v>
      </x:c>
      <x:c r="B116" s="22" t="n">
        <x:f>DATE(C116,D116,1)</x:f>
        <x:v>44044</x:v>
      </x:c>
      <x:c r="C116" t="n">
        <x:v>2020</x:v>
      </x:c>
      <x:c r="D116" t="n">
        <x:v>8</x:v>
      </x:c>
      <x:c r="E116" t="str">
        <x:f>TEXT(B116,"mmm")</x:f>
        <x:v>Aug</x:v>
      </x:c>
      <x:c r="F116" t="str">
        <x:f>"Q"&amp;ROUNDUP(D116/3,0)</x:f>
        <x:v>Q3</x:v>
      </x:c>
      <x:c r="G116" s="23" t="n">
        <x:v>75.99</x:v>
      </x:c>
      <x:c r="H116" s="23" t="n">
        <x:v>71.35</x:v>
      </x:c>
      <x:c r="I116" s="23" t="n">
        <x:v>73.7</x:v>
      </x:c>
      <x:c r="J116" s="23" t="n">
        <x:f>G116-H116</x:f>
        <x:v>4.640000000000001</x:v>
      </x:c>
      <x:c r="K116" t="str">
        <x:v>HINDCAST</x:v>
      </x:c>
      <x:c r="L116" s="24" t="n">
        <x:v>17.385</x:v>
      </x:c>
      <x:c r="M116" s="24" t="n">
        <x:v>78.4867</x:v>
      </x:c>
      <x:c r="N116" t="str">
        <x:f>IF(I116&gt;70,"70+ dB",IF(I116&gt;55,"56-70 dB","41-55 dB"))</x:f>
        <x:v>70+ dB</x:v>
      </x:c>
      <x:c r="O116" t="str">
        <x:f>IF(I116&gt;70,"High",IF(I116&gt;55,"Moderate","Low"))</x:f>
        <x:v>High</x:v>
      </x:c>
      <x:c r="P116" t="str">
        <x:f>IF(I116&gt;=70,"Yes","No")</x:f>
        <x:v>Yes</x:v>
      </x:c>
      <x:c r="Q116" t="str">
        <x:f>TEXT(B116,"yyyy-mm")</x:f>
        <x:v>2020-08</x:v>
      </x:c>
    </x:row>
    <x:row r="117">
      <x:c r="A117" t="str">
        <x:v>HYD01</x:v>
      </x:c>
      <x:c r="B117" s="22" t="n">
        <x:f>DATE(C117,D117,1)</x:f>
        <x:v>44075</x:v>
      </x:c>
      <x:c r="C117" t="n">
        <x:v>2020</x:v>
      </x:c>
      <x:c r="D117" t="n">
        <x:v>9</x:v>
      </x:c>
      <x:c r="E117" t="str">
        <x:f>TEXT(B117,"mmm")</x:f>
        <x:v>Sep</x:v>
      </x:c>
      <x:c r="F117" t="str">
        <x:f>"Q"&amp;ROUNDUP(D117/3,0)</x:f>
        <x:v>Q3</x:v>
      </x:c>
      <x:c r="G117" s="23" t="n">
        <x:v>75.3</x:v>
      </x:c>
      <x:c r="H117" s="23" t="n">
        <x:v>70.49</x:v>
      </x:c>
      <x:c r="I117" s="23" t="n">
        <x:v>72.9</x:v>
      </x:c>
      <x:c r="J117" s="23" t="n">
        <x:f>G117-H117</x:f>
        <x:v>4.810000000000002</x:v>
      </x:c>
      <x:c r="K117" t="str">
        <x:v>HINDCAST</x:v>
      </x:c>
      <x:c r="L117" s="24" t="n">
        <x:v>17.385</x:v>
      </x:c>
      <x:c r="M117" s="24" t="n">
        <x:v>78.4867</x:v>
      </x:c>
      <x:c r="N117" t="str">
        <x:f>IF(I117&gt;70,"70+ dB",IF(I117&gt;55,"56-70 dB","41-55 dB"))</x:f>
        <x:v>70+ dB</x:v>
      </x:c>
      <x:c r="O117" t="str">
        <x:f>IF(I117&gt;70,"High",IF(I117&gt;55,"Moderate","Low"))</x:f>
        <x:v>High</x:v>
      </x:c>
      <x:c r="P117" t="str">
        <x:f>IF(I117&gt;=70,"Yes","No")</x:f>
        <x:v>Yes</x:v>
      </x:c>
      <x:c r="Q117" t="str">
        <x:f>TEXT(B117,"yyyy-mm")</x:f>
        <x:v>2020-09</x:v>
      </x:c>
    </x:row>
    <x:row r="118">
      <x:c r="A118" t="str">
        <x:v>HYD01</x:v>
      </x:c>
      <x:c r="B118" s="22" t="n">
        <x:f>DATE(C118,D118,1)</x:f>
        <x:v>44105</x:v>
      </x:c>
      <x:c r="C118" t="n">
        <x:v>2020</x:v>
      </x:c>
      <x:c r="D118" t="n">
        <x:v>10</x:v>
      </x:c>
      <x:c r="E118" t="str">
        <x:f>TEXT(B118,"mmm")</x:f>
        <x:v>Oct</x:v>
      </x:c>
      <x:c r="F118" t="str">
        <x:f>"Q"&amp;ROUNDUP(D118/3,0)</x:f>
        <x:v>Q4</x:v>
      </x:c>
      <x:c r="G118" s="23" t="n">
        <x:v>75.14</x:v>
      </x:c>
      <x:c r="H118" s="23" t="n">
        <x:v>69.63</x:v>
      </x:c>
      <x:c r="I118" s="23" t="n">
        <x:v>72.4</x:v>
      </x:c>
      <x:c r="J118" s="23" t="n">
        <x:f>G118-H118</x:f>
        <x:v>5.510000000000005</x:v>
      </x:c>
      <x:c r="K118" t="str">
        <x:v>HINDCAST</x:v>
      </x:c>
      <x:c r="L118" s="24" t="n">
        <x:v>17.385</x:v>
      </x:c>
      <x:c r="M118" s="24" t="n">
        <x:v>78.4867</x:v>
      </x:c>
      <x:c r="N118" t="str">
        <x:f>IF(I118&gt;70,"70+ dB",IF(I118&gt;55,"56-70 dB","41-55 dB"))</x:f>
        <x:v>70+ dB</x:v>
      </x:c>
      <x:c r="O118" t="str">
        <x:f>IF(I118&gt;70,"High",IF(I118&gt;55,"Moderate","Low"))</x:f>
        <x:v>High</x:v>
      </x:c>
      <x:c r="P118" t="str">
        <x:f>IF(I118&gt;=70,"Yes","No")</x:f>
        <x:v>Yes</x:v>
      </x:c>
      <x:c r="Q118" t="str">
        <x:f>TEXT(B118,"yyyy-mm")</x:f>
        <x:v>2020-10</x:v>
      </x:c>
    </x:row>
    <x:row r="119">
      <x:c r="A119" t="str">
        <x:v>HYD01</x:v>
      </x:c>
      <x:c r="B119" s="22" t="n">
        <x:f>DATE(C119,D119,1)</x:f>
        <x:v>44136</x:v>
      </x:c>
      <x:c r="C119" t="n">
        <x:v>2020</x:v>
      </x:c>
      <x:c r="D119" t="n">
        <x:v>11</x:v>
      </x:c>
      <x:c r="E119" t="str">
        <x:f>TEXT(B119,"mmm")</x:f>
        <x:v>Nov</x:v>
      </x:c>
      <x:c r="F119" t="str">
        <x:f>"Q"&amp;ROUNDUP(D119/3,0)</x:f>
        <x:v>Q4</x:v>
      </x:c>
      <x:c r="G119" s="23" t="n">
        <x:v>75.02</x:v>
      </x:c>
      <x:c r="H119" s="23" t="n">
        <x:v>68.49</x:v>
      </x:c>
      <x:c r="I119" s="23" t="n">
        <x:v>71.8</x:v>
      </x:c>
      <x:c r="J119" s="23" t="n">
        <x:f>G119-H119</x:f>
        <x:v>6.530000000000001</x:v>
      </x:c>
      <x:c r="K119" t="str">
        <x:v>HINDCAST</x:v>
      </x:c>
      <x:c r="L119" s="24" t="n">
        <x:v>17.385</x:v>
      </x:c>
      <x:c r="M119" s="24" t="n">
        <x:v>78.4867</x:v>
      </x:c>
      <x:c r="N119" t="str">
        <x:f>IF(I119&gt;70,"70+ dB",IF(I119&gt;55,"56-70 dB","41-55 dB"))</x:f>
        <x:v>70+ dB</x:v>
      </x:c>
      <x:c r="O119" t="str">
        <x:f>IF(I119&gt;70,"High",IF(I119&gt;55,"Moderate","Low"))</x:f>
        <x:v>High</x:v>
      </x:c>
      <x:c r="P119" t="str">
        <x:f>IF(I119&gt;=70,"Yes","No")</x:f>
        <x:v>Yes</x:v>
      </x:c>
      <x:c r="Q119" t="str">
        <x:f>TEXT(B119,"yyyy-mm")</x:f>
        <x:v>2020-11</x:v>
      </x:c>
    </x:row>
    <x:row r="120">
      <x:c r="A120" t="str">
        <x:v>HYD01</x:v>
      </x:c>
      <x:c r="B120" s="22" t="n">
        <x:f>DATE(C120,D120,1)</x:f>
        <x:v>44166</x:v>
      </x:c>
      <x:c r="C120" t="n">
        <x:v>2020</x:v>
      </x:c>
      <x:c r="D120" t="n">
        <x:v>12</x:v>
      </x:c>
      <x:c r="E120" t="str">
        <x:f>TEXT(B120,"mmm")</x:f>
        <x:v>Dec</x:v>
      </x:c>
      <x:c r="F120" t="str">
        <x:f>"Q"&amp;ROUNDUP(D120/3,0)</x:f>
        <x:v>Q4</x:v>
      </x:c>
      <x:c r="G120" s="23" t="n">
        <x:v>74.71</x:v>
      </x:c>
      <x:c r="H120" s="23" t="n">
        <x:v>68.35</x:v>
      </x:c>
      <x:c r="I120" s="23" t="n">
        <x:v>71.5</x:v>
      </x:c>
      <x:c r="J120" s="23" t="n">
        <x:f>G120-H120</x:f>
        <x:v>6.359999999999999</x:v>
      </x:c>
      <x:c r="K120" t="str">
        <x:v>HINDCAST</x:v>
      </x:c>
      <x:c r="L120" s="24" t="n">
        <x:v>17.385</x:v>
      </x:c>
      <x:c r="M120" s="24" t="n">
        <x:v>78.4867</x:v>
      </x:c>
      <x:c r="N120" t="str">
        <x:f>IF(I120&gt;70,"70+ dB",IF(I120&gt;55,"56-70 dB","41-55 dB"))</x:f>
        <x:v>70+ dB</x:v>
      </x:c>
      <x:c r="O120" t="str">
        <x:f>IF(I120&gt;70,"High",IF(I120&gt;55,"Moderate","Low"))</x:f>
        <x:v>High</x:v>
      </x:c>
      <x:c r="P120" t="str">
        <x:f>IF(I120&gt;=70,"Yes","No")</x:f>
        <x:v>Yes</x:v>
      </x:c>
      <x:c r="Q120" t="str">
        <x:f>TEXT(B120,"yyyy-mm")</x:f>
        <x:v>2020-12</x:v>
      </x:c>
    </x:row>
    <x:row r="121">
      <x:c r="A121" t="str">
        <x:v>HYD01</x:v>
      </x:c>
      <x:c r="B121" s="22" t="n">
        <x:f>DATE(C121,D121,1)</x:f>
        <x:v>44197</x:v>
      </x:c>
      <x:c r="C121" t="n">
        <x:v>2021</x:v>
      </x:c>
      <x:c r="D121" t="n">
        <x:v>1</x:v>
      </x:c>
      <x:c r="E121" t="str">
        <x:f>TEXT(B121,"mmm")</x:f>
        <x:v>Jan</x:v>
      </x:c>
      <x:c r="F121" t="str">
        <x:f>"Q"&amp;ROUNDUP(D121/3,0)</x:f>
        <x:v>Q1</x:v>
      </x:c>
      <x:c r="G121" s="23" t="n">
        <x:v>75.4</x:v>
      </x:c>
      <x:c r="H121" s="23" t="n">
        <x:v>69.33</x:v>
      </x:c>
      <x:c r="I121" s="23" t="n">
        <x:v>72.4</x:v>
      </x:c>
      <x:c r="J121" s="23" t="n">
        <x:f>G121-H121</x:f>
        <x:v>6.070000000000007</x:v>
      </x:c>
      <x:c r="K121" t="str">
        <x:v>HINDCAST</x:v>
      </x:c>
      <x:c r="L121" s="24" t="n">
        <x:v>17.385</x:v>
      </x:c>
      <x:c r="M121" s="24" t="n">
        <x:v>78.4867</x:v>
      </x:c>
      <x:c r="N121" t="str">
        <x:f>IF(I121&gt;70,"70+ dB",IF(I121&gt;55,"56-70 dB","41-55 dB"))</x:f>
        <x:v>70+ dB</x:v>
      </x:c>
      <x:c r="O121" t="str">
        <x:f>IF(I121&gt;70,"High",IF(I121&gt;55,"Moderate","Low"))</x:f>
        <x:v>High</x:v>
      </x:c>
      <x:c r="P121" t="str">
        <x:f>IF(I121&gt;=70,"Yes","No")</x:f>
        <x:v>Yes</x:v>
      </x:c>
      <x:c r="Q121" t="str">
        <x:f>TEXT(B121,"yyyy-mm")</x:f>
        <x:v>2021-01</x:v>
      </x:c>
    </x:row>
    <x:row r="122">
      <x:c r="A122" t="str">
        <x:v>HYD01</x:v>
      </x:c>
      <x:c r="B122" s="22" t="n">
        <x:f>DATE(C122,D122,1)</x:f>
        <x:v>44228</x:v>
      </x:c>
      <x:c r="C122" t="n">
        <x:v>2021</x:v>
      </x:c>
      <x:c r="D122" t="n">
        <x:v>2</x:v>
      </x:c>
      <x:c r="E122" t="str">
        <x:f>TEXT(B122,"mmm")</x:f>
        <x:v>Feb</x:v>
      </x:c>
      <x:c r="F122" t="str">
        <x:f>"Q"&amp;ROUNDUP(D122/3,0)</x:f>
        <x:v>Q1</x:v>
      </x:c>
      <x:c r="G122" s="23" t="n">
        <x:v>75.05</x:v>
      </x:c>
      <x:c r="H122" s="23" t="n">
        <x:v>69.69</x:v>
      </x:c>
      <x:c r="I122" s="23" t="n">
        <x:v>72.4</x:v>
      </x:c>
      <x:c r="J122" s="23" t="n">
        <x:f>G122-H122</x:f>
        <x:v>5.359999999999999</x:v>
      </x:c>
      <x:c r="K122" t="str">
        <x:v>HINDCAST</x:v>
      </x:c>
      <x:c r="L122" s="24" t="n">
        <x:v>17.385</x:v>
      </x:c>
      <x:c r="M122" s="24" t="n">
        <x:v>78.4867</x:v>
      </x:c>
      <x:c r="N122" t="str">
        <x:f>IF(I122&gt;70,"70+ dB",IF(I122&gt;55,"56-70 dB","41-55 dB"))</x:f>
        <x:v>70+ dB</x:v>
      </x:c>
      <x:c r="O122" t="str">
        <x:f>IF(I122&gt;70,"High",IF(I122&gt;55,"Moderate","Low"))</x:f>
        <x:v>High</x:v>
      </x:c>
      <x:c r="P122" t="str">
        <x:f>IF(I122&gt;=70,"Yes","No")</x:f>
        <x:v>Yes</x:v>
      </x:c>
      <x:c r="Q122" t="str">
        <x:f>TEXT(B122,"yyyy-mm")</x:f>
        <x:v>2021-02</x:v>
      </x:c>
    </x:row>
    <x:row r="123">
      <x:c r="A123" t="str">
        <x:v>HYD01</x:v>
      </x:c>
      <x:c r="B123" s="22" t="n">
        <x:f>DATE(C123,D123,1)</x:f>
        <x:v>44256</x:v>
      </x:c>
      <x:c r="C123" t="n">
        <x:v>2021</x:v>
      </x:c>
      <x:c r="D123" t="n">
        <x:v>3</x:v>
      </x:c>
      <x:c r="E123" t="str">
        <x:f>TEXT(B123,"mmm")</x:f>
        <x:v>Mar</x:v>
      </x:c>
      <x:c r="F123" t="str">
        <x:f>"Q"&amp;ROUNDUP(D123/3,0)</x:f>
        <x:v>Q1</x:v>
      </x:c>
      <x:c r="G123" s="23" t="n">
        <x:v>74.97</x:v>
      </x:c>
      <x:c r="H123" s="23" t="n">
        <x:v>68.84</x:v>
      </x:c>
      <x:c r="I123" s="23" t="n">
        <x:v>71.9</x:v>
      </x:c>
      <x:c r="J123" s="23" t="n">
        <x:f>G123-H123</x:f>
        <x:v>6.1299999999999955</x:v>
      </x:c>
      <x:c r="K123" t="str">
        <x:v>HINDCAST</x:v>
      </x:c>
      <x:c r="L123" s="24" t="n">
        <x:v>17.385</x:v>
      </x:c>
      <x:c r="M123" s="24" t="n">
        <x:v>78.4867</x:v>
      </x:c>
      <x:c r="N123" t="str">
        <x:f>IF(I123&gt;70,"70+ dB",IF(I123&gt;55,"56-70 dB","41-55 dB"))</x:f>
        <x:v>70+ dB</x:v>
      </x:c>
      <x:c r="O123" t="str">
        <x:f>IF(I123&gt;70,"High",IF(I123&gt;55,"Moderate","Low"))</x:f>
        <x:v>High</x:v>
      </x:c>
      <x:c r="P123" t="str">
        <x:f>IF(I123&gt;=70,"Yes","No")</x:f>
        <x:v>Yes</x:v>
      </x:c>
      <x:c r="Q123" t="str">
        <x:f>TEXT(B123,"yyyy-mm")</x:f>
        <x:v>2021-03</x:v>
      </x:c>
    </x:row>
    <x:row r="124">
      <x:c r="A124" t="str">
        <x:v>HYD01</x:v>
      </x:c>
      <x:c r="B124" s="22" t="n">
        <x:f>DATE(C124,D124,1)</x:f>
        <x:v>44287</x:v>
      </x:c>
      <x:c r="C124" t="n">
        <x:v>2021</x:v>
      </x:c>
      <x:c r="D124" t="n">
        <x:v>4</x:v>
      </x:c>
      <x:c r="E124" t="str">
        <x:f>TEXT(B124,"mmm")</x:f>
        <x:v>Apr</x:v>
      </x:c>
      <x:c r="F124" t="str">
        <x:f>"Q"&amp;ROUNDUP(D124/3,0)</x:f>
        <x:v>Q2</x:v>
      </x:c>
      <x:c r="G124" s="23" t="n">
        <x:v>74.92</x:v>
      </x:c>
      <x:c r="H124" s="23" t="n">
        <x:v>69.4</x:v>
      </x:c>
      <x:c r="I124" s="23" t="n">
        <x:v>72.2</x:v>
      </x:c>
      <x:c r="J124" s="23" t="n">
        <x:f>G124-H124</x:f>
        <x:v>5.519999999999996</x:v>
      </x:c>
      <x:c r="K124" t="str">
        <x:v>HINDCAST</x:v>
      </x:c>
      <x:c r="L124" s="24" t="n">
        <x:v>17.385</x:v>
      </x:c>
      <x:c r="M124" s="24" t="n">
        <x:v>78.4867</x:v>
      </x:c>
      <x:c r="N124" t="str">
        <x:f>IF(I124&gt;70,"70+ dB",IF(I124&gt;55,"56-70 dB","41-55 dB"))</x:f>
        <x:v>70+ dB</x:v>
      </x:c>
      <x:c r="O124" t="str">
        <x:f>IF(I124&gt;70,"High",IF(I124&gt;55,"Moderate","Low"))</x:f>
        <x:v>High</x:v>
      </x:c>
      <x:c r="P124" t="str">
        <x:f>IF(I124&gt;=70,"Yes","No")</x:f>
        <x:v>Yes</x:v>
      </x:c>
      <x:c r="Q124" t="str">
        <x:f>TEXT(B124,"yyyy-mm")</x:f>
        <x:v>2021-04</x:v>
      </x:c>
    </x:row>
    <x:row r="125">
      <x:c r="A125" t="str">
        <x:v>HYD01</x:v>
      </x:c>
      <x:c r="B125" s="22" t="n">
        <x:f>DATE(C125,D125,1)</x:f>
        <x:v>44317</x:v>
      </x:c>
      <x:c r="C125" t="n">
        <x:v>2021</x:v>
      </x:c>
      <x:c r="D125" t="n">
        <x:v>5</x:v>
      </x:c>
      <x:c r="E125" t="str">
        <x:f>TEXT(B125,"mmm")</x:f>
        <x:v>May</x:v>
      </x:c>
      <x:c r="F125" t="str">
        <x:f>"Q"&amp;ROUNDUP(D125/3,0)</x:f>
        <x:v>Q2</x:v>
      </x:c>
      <x:c r="G125" s="23" t="n">
        <x:v>74.85</x:v>
      </x:c>
      <x:c r="H125" s="23" t="n">
        <x:v>70.11</x:v>
      </x:c>
      <x:c r="I125" s="23" t="n">
        <x:v>72.5</x:v>
      </x:c>
      <x:c r="J125" s="23" t="n">
        <x:f>G125-H125</x:f>
        <x:v>4.739999999999995</x:v>
      </x:c>
      <x:c r="K125" t="str">
        <x:v>HINDCAST</x:v>
      </x:c>
      <x:c r="L125" s="24" t="n">
        <x:v>17.385</x:v>
      </x:c>
      <x:c r="M125" s="24" t="n">
        <x:v>78.4867</x:v>
      </x:c>
      <x:c r="N125" t="str">
        <x:f>IF(I125&gt;70,"70+ dB",IF(I125&gt;55,"56-70 dB","41-55 dB"))</x:f>
        <x:v>70+ dB</x:v>
      </x:c>
      <x:c r="O125" t="str">
        <x:f>IF(I125&gt;70,"High",IF(I125&gt;55,"Moderate","Low"))</x:f>
        <x:v>High</x:v>
      </x:c>
      <x:c r="P125" t="str">
        <x:f>IF(I125&gt;=70,"Yes","No")</x:f>
        <x:v>Yes</x:v>
      </x:c>
      <x:c r="Q125" t="str">
        <x:f>TEXT(B125,"yyyy-mm")</x:f>
        <x:v>2021-05</x:v>
      </x:c>
    </x:row>
    <x:row r="126">
      <x:c r="A126" t="str">
        <x:v>HYD01</x:v>
      </x:c>
      <x:c r="B126" s="22" t="n">
        <x:f>DATE(C126,D126,1)</x:f>
        <x:v>44348</x:v>
      </x:c>
      <x:c r="C126" t="n">
        <x:v>2021</x:v>
      </x:c>
      <x:c r="D126" t="n">
        <x:v>6</x:v>
      </x:c>
      <x:c r="E126" t="str">
        <x:f>TEXT(B126,"mmm")</x:f>
        <x:v>Jun</x:v>
      </x:c>
      <x:c r="F126" t="str">
        <x:f>"Q"&amp;ROUNDUP(D126/3,0)</x:f>
        <x:v>Q2</x:v>
      </x:c>
      <x:c r="G126" s="23" t="n">
        <x:v>76.18</x:v>
      </x:c>
      <x:c r="H126" s="23" t="n">
        <x:v>73.19</x:v>
      </x:c>
      <x:c r="I126" s="23" t="n">
        <x:v>74.7</x:v>
      </x:c>
      <x:c r="J126" s="23" t="n">
        <x:f>G126-H126</x:f>
        <x:v>2.990000000000009</x:v>
      </x:c>
      <x:c r="K126" t="str">
        <x:v>HINDCAST</x:v>
      </x:c>
      <x:c r="L126" s="24" t="n">
        <x:v>17.385</x:v>
      </x:c>
      <x:c r="M126" s="24" t="n">
        <x:v>78.4867</x:v>
      </x:c>
      <x:c r="N126" t="str">
        <x:f>IF(I126&gt;70,"70+ dB",IF(I126&gt;55,"56-70 dB","41-55 dB"))</x:f>
        <x:v>70+ dB</x:v>
      </x:c>
      <x:c r="O126" t="str">
        <x:f>IF(I126&gt;70,"High",IF(I126&gt;55,"Moderate","Low"))</x:f>
        <x:v>High</x:v>
      </x:c>
      <x:c r="P126" t="str">
        <x:f>IF(I126&gt;=70,"Yes","No")</x:f>
        <x:v>Yes</x:v>
      </x:c>
      <x:c r="Q126" t="str">
        <x:f>TEXT(B126,"yyyy-mm")</x:f>
        <x:v>2021-06</x:v>
      </x:c>
    </x:row>
    <x:row r="127">
      <x:c r="A127" t="str">
        <x:v>HYD01</x:v>
      </x:c>
      <x:c r="B127" s="22" t="n">
        <x:f>DATE(C127,D127,1)</x:f>
        <x:v>44378</x:v>
      </x:c>
      <x:c r="C127" t="n">
        <x:v>2021</x:v>
      </x:c>
      <x:c r="D127" t="n">
        <x:v>7</x:v>
      </x:c>
      <x:c r="E127" t="str">
        <x:f>TEXT(B127,"mmm")</x:f>
        <x:v>Jul</x:v>
      </x:c>
      <x:c r="F127" t="str">
        <x:f>"Q"&amp;ROUNDUP(D127/3,0)</x:f>
        <x:v>Q3</x:v>
      </x:c>
      <x:c r="G127" s="23" t="n">
        <x:v>76.82</x:v>
      </x:c>
      <x:c r="H127" s="23" t="n">
        <x:v>73.56</x:v>
      </x:c>
      <x:c r="I127" s="23" t="n">
        <x:v>75.2</x:v>
      </x:c>
      <x:c r="J127" s="23" t="n">
        <x:f>G127-H127</x:f>
        <x:v>3.259999999999991</x:v>
      </x:c>
      <x:c r="K127" t="str">
        <x:v>HINDCAST</x:v>
      </x:c>
      <x:c r="L127" s="24" t="n">
        <x:v>17.385</x:v>
      </x:c>
      <x:c r="M127" s="24" t="n">
        <x:v>78.4867</x:v>
      </x:c>
      <x:c r="N127" t="str">
        <x:f>IF(I127&gt;70,"70+ dB",IF(I127&gt;55,"56-70 dB","41-55 dB"))</x:f>
        <x:v>70+ dB</x:v>
      </x:c>
      <x:c r="O127" t="str">
        <x:f>IF(I127&gt;70,"High",IF(I127&gt;55,"Moderate","Low"))</x:f>
        <x:v>High</x:v>
      </x:c>
      <x:c r="P127" t="str">
        <x:f>IF(I127&gt;=70,"Yes","No")</x:f>
        <x:v>Yes</x:v>
      </x:c>
      <x:c r="Q127" t="str">
        <x:f>TEXT(B127,"yyyy-mm")</x:f>
        <x:v>2021-07</x:v>
      </x:c>
    </x:row>
    <x:row r="128">
      <x:c r="A128" t="str">
        <x:v>HYD01</x:v>
      </x:c>
      <x:c r="B128" s="22" t="n">
        <x:f>DATE(C128,D128,1)</x:f>
        <x:v>44409</x:v>
      </x:c>
      <x:c r="C128" t="n">
        <x:v>2021</x:v>
      </x:c>
      <x:c r="D128" t="n">
        <x:v>8</x:v>
      </x:c>
      <x:c r="E128" t="str">
        <x:f>TEXT(B128,"mmm")</x:f>
        <x:v>Aug</x:v>
      </x:c>
      <x:c r="F128" t="str">
        <x:f>"Q"&amp;ROUNDUP(D128/3,0)</x:f>
        <x:v>Q3</x:v>
      </x:c>
      <x:c r="G128" s="23" t="n">
        <x:v>76.35</x:v>
      </x:c>
      <x:c r="H128" s="23" t="n">
        <x:v>72.12</x:v>
      </x:c>
      <x:c r="I128" s="23" t="n">
        <x:v>74.2</x:v>
      </x:c>
      <x:c r="J128" s="23" t="n">
        <x:f>G128-H128</x:f>
        <x:v>4.22999999999999</x:v>
      </x:c>
      <x:c r="K128" t="str">
        <x:v>HINDCAST</x:v>
      </x:c>
      <x:c r="L128" s="24" t="n">
        <x:v>17.385</x:v>
      </x:c>
      <x:c r="M128" s="24" t="n">
        <x:v>78.4867</x:v>
      </x:c>
      <x:c r="N128" t="str">
        <x:f>IF(I128&gt;70,"70+ dB",IF(I128&gt;55,"56-70 dB","41-55 dB"))</x:f>
        <x:v>70+ dB</x:v>
      </x:c>
      <x:c r="O128" t="str">
        <x:f>IF(I128&gt;70,"High",IF(I128&gt;55,"Moderate","Low"))</x:f>
        <x:v>High</x:v>
      </x:c>
      <x:c r="P128" t="str">
        <x:f>IF(I128&gt;=70,"Yes","No")</x:f>
        <x:v>Yes</x:v>
      </x:c>
      <x:c r="Q128" t="str">
        <x:f>TEXT(B128,"yyyy-mm")</x:f>
        <x:v>2021-08</x:v>
      </x:c>
    </x:row>
    <x:row r="129">
      <x:c r="A129" t="str">
        <x:v>HYD01</x:v>
      </x:c>
      <x:c r="B129" s="22" t="n">
        <x:f>DATE(C129,D129,1)</x:f>
        <x:v>44440</x:v>
      </x:c>
      <x:c r="C129" t="n">
        <x:v>2021</x:v>
      </x:c>
      <x:c r="D129" t="n">
        <x:v>9</x:v>
      </x:c>
      <x:c r="E129" t="str">
        <x:f>TEXT(B129,"mmm")</x:f>
        <x:v>Sep</x:v>
      </x:c>
      <x:c r="F129" t="str">
        <x:f>"Q"&amp;ROUNDUP(D129/3,0)</x:f>
        <x:v>Q3</x:v>
      </x:c>
      <x:c r="G129" s="23" t="n">
        <x:v>75.66</x:v>
      </x:c>
      <x:c r="H129" s="23" t="n">
        <x:v>71.26</x:v>
      </x:c>
      <x:c r="I129" s="23" t="n">
        <x:v>73.5</x:v>
      </x:c>
      <x:c r="J129" s="23" t="n">
        <x:f>G129-H129</x:f>
        <x:v>4.3999999999999915</x:v>
      </x:c>
      <x:c r="K129" t="str">
        <x:v>HINDCAST</x:v>
      </x:c>
      <x:c r="L129" s="24" t="n">
        <x:v>17.385</x:v>
      </x:c>
      <x:c r="M129" s="24" t="n">
        <x:v>78.4867</x:v>
      </x:c>
      <x:c r="N129" t="str">
        <x:f>IF(I129&gt;70,"70+ dB",IF(I129&gt;55,"56-70 dB","41-55 dB"))</x:f>
        <x:v>70+ dB</x:v>
      </x:c>
      <x:c r="O129" t="str">
        <x:f>IF(I129&gt;70,"High",IF(I129&gt;55,"Moderate","Low"))</x:f>
        <x:v>High</x:v>
      </x:c>
      <x:c r="P129" t="str">
        <x:f>IF(I129&gt;=70,"Yes","No")</x:f>
        <x:v>Yes</x:v>
      </x:c>
      <x:c r="Q129" t="str">
        <x:f>TEXT(B129,"yyyy-mm")</x:f>
        <x:v>2021-09</x:v>
      </x:c>
    </x:row>
    <x:row r="130">
      <x:c r="A130" t="str">
        <x:v>HYD01</x:v>
      </x:c>
      <x:c r="B130" s="22" t="n">
        <x:f>DATE(C130,D130,1)</x:f>
        <x:v>44470</x:v>
      </x:c>
      <x:c r="C130" t="n">
        <x:v>2021</x:v>
      </x:c>
      <x:c r="D130" t="n">
        <x:v>10</x:v>
      </x:c>
      <x:c r="E130" t="str">
        <x:f>TEXT(B130,"mmm")</x:f>
        <x:v>Oct</x:v>
      </x:c>
      <x:c r="F130" t="str">
        <x:f>"Q"&amp;ROUNDUP(D130/3,0)</x:f>
        <x:v>Q4</x:v>
      </x:c>
      <x:c r="G130" s="23" t="n">
        <x:v>75.5</x:v>
      </x:c>
      <x:c r="H130" s="23" t="n">
        <x:v>70.4</x:v>
      </x:c>
      <x:c r="I130" s="23" t="n">
        <x:v>73</x:v>
      </x:c>
      <x:c r="J130" s="23" t="n">
        <x:f>G130-H130</x:f>
        <x:v>5.099999999999994</x:v>
      </x:c>
      <x:c r="K130" t="str">
        <x:v>HINDCAST</x:v>
      </x:c>
      <x:c r="L130" s="24" t="n">
        <x:v>17.385</x:v>
      </x:c>
      <x:c r="M130" s="24" t="n">
        <x:v>78.4867</x:v>
      </x:c>
      <x:c r="N130" t="str">
        <x:f>IF(I130&gt;70,"70+ dB",IF(I130&gt;55,"56-70 dB","41-55 dB"))</x:f>
        <x:v>70+ dB</x:v>
      </x:c>
      <x:c r="O130" t="str">
        <x:f>IF(I130&gt;70,"High",IF(I130&gt;55,"Moderate","Low"))</x:f>
        <x:v>High</x:v>
      </x:c>
      <x:c r="P130" t="str">
        <x:f>IF(I130&gt;=70,"Yes","No")</x:f>
        <x:v>Yes</x:v>
      </x:c>
      <x:c r="Q130" t="str">
        <x:f>TEXT(B130,"yyyy-mm")</x:f>
        <x:v>2021-10</x:v>
      </x:c>
    </x:row>
    <x:row r="131">
      <x:c r="A131" t="str">
        <x:v>HYD01</x:v>
      </x:c>
      <x:c r="B131" s="22" t="n">
        <x:f>DATE(C131,D131,1)</x:f>
        <x:v>44501</x:v>
      </x:c>
      <x:c r="C131" t="n">
        <x:v>2021</x:v>
      </x:c>
      <x:c r="D131" t="n">
        <x:v>11</x:v>
      </x:c>
      <x:c r="E131" t="str">
        <x:f>TEXT(B131,"mmm")</x:f>
        <x:v>Nov</x:v>
      </x:c>
      <x:c r="F131" t="str">
        <x:f>"Q"&amp;ROUNDUP(D131/3,0)</x:f>
        <x:v>Q4</x:v>
      </x:c>
      <x:c r="G131" s="23" t="n">
        <x:v>75.38</x:v>
      </x:c>
      <x:c r="H131" s="23" t="n">
        <x:v>69.26</x:v>
      </x:c>
      <x:c r="I131" s="23" t="n">
        <x:v>72.3</x:v>
      </x:c>
      <x:c r="J131" s="23" t="n">
        <x:f>G131-H131</x:f>
        <x:v>6.11999999999999</x:v>
      </x:c>
      <x:c r="K131" t="str">
        <x:v>HINDCAST</x:v>
      </x:c>
      <x:c r="L131" s="24" t="n">
        <x:v>17.385</x:v>
      </x:c>
      <x:c r="M131" s="24" t="n">
        <x:v>78.4867</x:v>
      </x:c>
      <x:c r="N131" t="str">
        <x:f>IF(I131&gt;70,"70+ dB",IF(I131&gt;55,"56-70 dB","41-55 dB"))</x:f>
        <x:v>70+ dB</x:v>
      </x:c>
      <x:c r="O131" t="str">
        <x:f>IF(I131&gt;70,"High",IF(I131&gt;55,"Moderate","Low"))</x:f>
        <x:v>High</x:v>
      </x:c>
      <x:c r="P131" t="str">
        <x:f>IF(I131&gt;=70,"Yes","No")</x:f>
        <x:v>Yes</x:v>
      </x:c>
      <x:c r="Q131" t="str">
        <x:f>TEXT(B131,"yyyy-mm")</x:f>
        <x:v>2021-11</x:v>
      </x:c>
    </x:row>
    <x:row r="132">
      <x:c r="A132" t="str">
        <x:v>HYD01</x:v>
      </x:c>
      <x:c r="B132" s="22" t="n">
        <x:f>DATE(C132,D132,1)</x:f>
        <x:v>44531</x:v>
      </x:c>
      <x:c r="C132" t="n">
        <x:v>2021</x:v>
      </x:c>
      <x:c r="D132" t="n">
        <x:v>12</x:v>
      </x:c>
      <x:c r="E132" t="str">
        <x:f>TEXT(B132,"mmm")</x:f>
        <x:v>Dec</x:v>
      </x:c>
      <x:c r="F132" t="str">
        <x:f>"Q"&amp;ROUNDUP(D132/3,0)</x:f>
        <x:v>Q4</x:v>
      </x:c>
      <x:c r="G132" s="23" t="n">
        <x:v>75.07</x:v>
      </x:c>
      <x:c r="H132" s="23" t="n">
        <x:v>69.12</x:v>
      </x:c>
      <x:c r="I132" s="23" t="n">
        <x:v>72.1</x:v>
      </x:c>
      <x:c r="J132" s="23" t="n">
        <x:f>G132-H132</x:f>
        <x:v>5.949999999999989</x:v>
      </x:c>
      <x:c r="K132" t="str">
        <x:v>HINDCAST</x:v>
      </x:c>
      <x:c r="L132" s="24" t="n">
        <x:v>17.385</x:v>
      </x:c>
      <x:c r="M132" s="24" t="n">
        <x:v>78.4867</x:v>
      </x:c>
      <x:c r="N132" t="str">
        <x:f>IF(I132&gt;70,"70+ dB",IF(I132&gt;55,"56-70 dB","41-55 dB"))</x:f>
        <x:v>70+ dB</x:v>
      </x:c>
      <x:c r="O132" t="str">
        <x:f>IF(I132&gt;70,"High",IF(I132&gt;55,"Moderate","Low"))</x:f>
        <x:v>High</x:v>
      </x:c>
      <x:c r="P132" t="str">
        <x:f>IF(I132&gt;=70,"Yes","No")</x:f>
        <x:v>Yes</x:v>
      </x:c>
      <x:c r="Q132" t="str">
        <x:f>TEXT(B132,"yyyy-mm")</x:f>
        <x:v>2021-12</x:v>
      </x:c>
    </x:row>
    <x:row r="133">
      <x:c r="A133" t="str">
        <x:v>HYD01</x:v>
      </x:c>
      <x:c r="B133" s="22" t="n">
        <x:f>DATE(C133,D133,1)</x:f>
        <x:v>44562</x:v>
      </x:c>
      <x:c r="C133" t="n">
        <x:v>2022</x:v>
      </x:c>
      <x:c r="D133" t="n">
        <x:v>1</x:v>
      </x:c>
      <x:c r="E133" t="str">
        <x:f>TEXT(B133,"mmm")</x:f>
        <x:v>Jan</x:v>
      </x:c>
      <x:c r="F133" t="str">
        <x:f>"Q"&amp;ROUNDUP(D133/3,0)</x:f>
        <x:v>Q1</x:v>
      </x:c>
      <x:c r="G133" s="23" t="n">
        <x:v>75.76</x:v>
      </x:c>
      <x:c r="H133" s="23" t="n">
        <x:v>70.09</x:v>
      </x:c>
      <x:c r="I133" s="23" t="n">
        <x:v>72.9</x:v>
      </x:c>
      <x:c r="J133" s="23" t="n">
        <x:f>G133-H133</x:f>
        <x:v>5.670000000000002</x:v>
      </x:c>
      <x:c r="K133" t="str">
        <x:v>HINDCAST</x:v>
      </x:c>
      <x:c r="L133" s="24" t="n">
        <x:v>17.385</x:v>
      </x:c>
      <x:c r="M133" s="24" t="n">
        <x:v>78.4867</x:v>
      </x:c>
      <x:c r="N133" t="str">
        <x:f>IF(I133&gt;70,"70+ dB",IF(I133&gt;55,"56-70 dB","41-55 dB"))</x:f>
        <x:v>70+ dB</x:v>
      </x:c>
      <x:c r="O133" t="str">
        <x:f>IF(I133&gt;70,"High",IF(I133&gt;55,"Moderate","Low"))</x:f>
        <x:v>High</x:v>
      </x:c>
      <x:c r="P133" t="str">
        <x:f>IF(I133&gt;=70,"Yes","No")</x:f>
        <x:v>Yes</x:v>
      </x:c>
      <x:c r="Q133" t="str">
        <x:f>TEXT(B133,"yyyy-mm")</x:f>
        <x:v>2022-01</x:v>
      </x:c>
    </x:row>
    <x:row r="134">
      <x:c r="A134" t="str">
        <x:v>HYD01</x:v>
      </x:c>
      <x:c r="B134" s="22" t="n">
        <x:f>DATE(C134,D134,1)</x:f>
        <x:v>44593</x:v>
      </x:c>
      <x:c r="C134" t="n">
        <x:v>2022</x:v>
      </x:c>
      <x:c r="D134" t="n">
        <x:v>2</x:v>
      </x:c>
      <x:c r="E134" t="str">
        <x:f>TEXT(B134,"mmm")</x:f>
        <x:v>Feb</x:v>
      </x:c>
      <x:c r="F134" t="str">
        <x:f>"Q"&amp;ROUNDUP(D134/3,0)</x:f>
        <x:v>Q1</x:v>
      </x:c>
      <x:c r="G134" s="23" t="n">
        <x:v>75.4</x:v>
      </x:c>
      <x:c r="H134" s="23" t="n">
        <x:v>70.45</x:v>
      </x:c>
      <x:c r="I134" s="23" t="n">
        <x:v>72.9</x:v>
      </x:c>
      <x:c r="J134" s="23" t="n">
        <x:f>G134-H134</x:f>
        <x:v>4.950000000000003</x:v>
      </x:c>
      <x:c r="K134" t="str">
        <x:v>HINDCAST</x:v>
      </x:c>
      <x:c r="L134" s="24" t="n">
        <x:v>17.385</x:v>
      </x:c>
      <x:c r="M134" s="24" t="n">
        <x:v>78.4867</x:v>
      </x:c>
      <x:c r="N134" t="str">
        <x:f>IF(I134&gt;70,"70+ dB",IF(I134&gt;55,"56-70 dB","41-55 dB"))</x:f>
        <x:v>70+ dB</x:v>
      </x:c>
      <x:c r="O134" t="str">
        <x:f>IF(I134&gt;70,"High",IF(I134&gt;55,"Moderate","Low"))</x:f>
        <x:v>High</x:v>
      </x:c>
      <x:c r="P134" t="str">
        <x:f>IF(I134&gt;=70,"Yes","No")</x:f>
        <x:v>Yes</x:v>
      </x:c>
      <x:c r="Q134" t="str">
        <x:f>TEXT(B134,"yyyy-mm")</x:f>
        <x:v>2022-02</x:v>
      </x:c>
    </x:row>
    <x:row r="135">
      <x:c r="A135" t="str">
        <x:v>HYD01</x:v>
      </x:c>
      <x:c r="B135" s="22" t="n">
        <x:f>DATE(C135,D135,1)</x:f>
        <x:v>44621</x:v>
      </x:c>
      <x:c r="C135" t="n">
        <x:v>2022</x:v>
      </x:c>
      <x:c r="D135" t="n">
        <x:v>3</x:v>
      </x:c>
      <x:c r="E135" t="str">
        <x:f>TEXT(B135,"mmm")</x:f>
        <x:v>Mar</x:v>
      </x:c>
      <x:c r="F135" t="str">
        <x:f>"Q"&amp;ROUNDUP(D135/3,0)</x:f>
        <x:v>Q1</x:v>
      </x:c>
      <x:c r="G135" s="23" t="n">
        <x:v>75.33</x:v>
      </x:c>
      <x:c r="H135" s="23" t="n">
        <x:v>69.6</x:v>
      </x:c>
      <x:c r="I135" s="23" t="n">
        <x:v>72.5</x:v>
      </x:c>
      <x:c r="J135" s="23" t="n">
        <x:f>G135-H135</x:f>
        <x:v>5.730000000000004</x:v>
      </x:c>
      <x:c r="K135" t="str">
        <x:v>HINDCAST</x:v>
      </x:c>
      <x:c r="L135" s="24" t="n">
        <x:v>17.385</x:v>
      </x:c>
      <x:c r="M135" s="24" t="n">
        <x:v>78.4867</x:v>
      </x:c>
      <x:c r="N135" t="str">
        <x:f>IF(I135&gt;70,"70+ dB",IF(I135&gt;55,"56-70 dB","41-55 dB"))</x:f>
        <x:v>70+ dB</x:v>
      </x:c>
      <x:c r="O135" t="str">
        <x:f>IF(I135&gt;70,"High",IF(I135&gt;55,"Moderate","Low"))</x:f>
        <x:v>High</x:v>
      </x:c>
      <x:c r="P135" t="str">
        <x:f>IF(I135&gt;=70,"Yes","No")</x:f>
        <x:v>Yes</x:v>
      </x:c>
      <x:c r="Q135" t="str">
        <x:f>TEXT(B135,"yyyy-mm")</x:f>
        <x:v>2022-03</x:v>
      </x:c>
    </x:row>
    <x:row r="136">
      <x:c r="A136" t="str">
        <x:v>HYD01</x:v>
      </x:c>
      <x:c r="B136" s="22" t="n">
        <x:f>DATE(C136,D136,1)</x:f>
        <x:v>44652</x:v>
      </x:c>
      <x:c r="C136" t="n">
        <x:v>2022</x:v>
      </x:c>
      <x:c r="D136" t="n">
        <x:v>4</x:v>
      </x:c>
      <x:c r="E136" t="str">
        <x:f>TEXT(B136,"mmm")</x:f>
        <x:v>Apr</x:v>
      </x:c>
      <x:c r="F136" t="str">
        <x:f>"Q"&amp;ROUNDUP(D136/3,0)</x:f>
        <x:v>Q2</x:v>
      </x:c>
      <x:c r="G136" s="23" t="n">
        <x:v>75.28</x:v>
      </x:c>
      <x:c r="H136" s="23" t="n">
        <x:v>70.17</x:v>
      </x:c>
      <x:c r="I136" s="23" t="n">
        <x:v>72.7</x:v>
      </x:c>
      <x:c r="J136" s="23" t="n">
        <x:f>G136-H136</x:f>
        <x:v>5.109999999999999</x:v>
      </x:c>
      <x:c r="K136" t="str">
        <x:v>HINDCAST</x:v>
      </x:c>
      <x:c r="L136" s="24" t="n">
        <x:v>17.385</x:v>
      </x:c>
      <x:c r="M136" s="24" t="n">
        <x:v>78.4867</x:v>
      </x:c>
      <x:c r="N136" t="str">
        <x:f>IF(I136&gt;70,"70+ dB",IF(I136&gt;55,"56-70 dB","41-55 dB"))</x:f>
        <x:v>70+ dB</x:v>
      </x:c>
      <x:c r="O136" t="str">
        <x:f>IF(I136&gt;70,"High",IF(I136&gt;55,"Moderate","Low"))</x:f>
        <x:v>High</x:v>
      </x:c>
      <x:c r="P136" t="str">
        <x:f>IF(I136&gt;=70,"Yes","No")</x:f>
        <x:v>Yes</x:v>
      </x:c>
      <x:c r="Q136" t="str">
        <x:f>TEXT(B136,"yyyy-mm")</x:f>
        <x:v>2022-04</x:v>
      </x:c>
    </x:row>
    <x:row r="137">
      <x:c r="A137" t="str">
        <x:v>HYD01</x:v>
      </x:c>
      <x:c r="B137" s="22" t="n">
        <x:f>DATE(C137,D137,1)</x:f>
        <x:v>44682</x:v>
      </x:c>
      <x:c r="C137" t="n">
        <x:v>2022</x:v>
      </x:c>
      <x:c r="D137" t="n">
        <x:v>5</x:v>
      </x:c>
      <x:c r="E137" t="str">
        <x:f>TEXT(B137,"mmm")</x:f>
        <x:v>May</x:v>
      </x:c>
      <x:c r="F137" t="str">
        <x:f>"Q"&amp;ROUNDUP(D137/3,0)</x:f>
        <x:v>Q2</x:v>
      </x:c>
      <x:c r="G137" s="23" t="n">
        <x:v>75.21</x:v>
      </x:c>
      <x:c r="H137" s="23" t="n">
        <x:v>70.87</x:v>
      </x:c>
      <x:c r="I137" s="23" t="n">
        <x:v>73</x:v>
      </x:c>
      <x:c r="J137" s="23" t="n">
        <x:f>G137-H137</x:f>
        <x:v>4.339999999999989</x:v>
      </x:c>
      <x:c r="K137" t="str">
        <x:v>HINDCAST</x:v>
      </x:c>
      <x:c r="L137" s="24" t="n">
        <x:v>17.385</x:v>
      </x:c>
      <x:c r="M137" s="24" t="n">
        <x:v>78.4867</x:v>
      </x:c>
      <x:c r="N137" t="str">
        <x:f>IF(I137&gt;70,"70+ dB",IF(I137&gt;55,"56-70 dB","41-55 dB"))</x:f>
        <x:v>70+ dB</x:v>
      </x:c>
      <x:c r="O137" t="str">
        <x:f>IF(I137&gt;70,"High",IF(I137&gt;55,"Moderate","Low"))</x:f>
        <x:v>High</x:v>
      </x:c>
      <x:c r="P137" t="str">
        <x:f>IF(I137&gt;=70,"Yes","No")</x:f>
        <x:v>Yes</x:v>
      </x:c>
      <x:c r="Q137" t="str">
        <x:f>TEXT(B137,"yyyy-mm")</x:f>
        <x:v>2022-05</x:v>
      </x:c>
    </x:row>
    <x:row r="138">
      <x:c r="A138" t="str">
        <x:v>HYD01</x:v>
      </x:c>
      <x:c r="B138" s="22" t="n">
        <x:f>DATE(C138,D138,1)</x:f>
        <x:v>44713</x:v>
      </x:c>
      <x:c r="C138" t="n">
        <x:v>2022</x:v>
      </x:c>
      <x:c r="D138" t="n">
        <x:v>6</x:v>
      </x:c>
      <x:c r="E138" t="str">
        <x:f>TEXT(B138,"mmm")</x:f>
        <x:v>Jun</x:v>
      </x:c>
      <x:c r="F138" t="str">
        <x:f>"Q"&amp;ROUNDUP(D138/3,0)</x:f>
        <x:v>Q2</x:v>
      </x:c>
      <x:c r="G138" s="23" t="n">
        <x:v>76.54</x:v>
      </x:c>
      <x:c r="H138" s="23" t="n">
        <x:v>73.95</x:v>
      </x:c>
      <x:c r="I138" s="23" t="n">
        <x:v>75.2</x:v>
      </x:c>
      <x:c r="J138" s="23" t="n">
        <x:f>G138-H138</x:f>
        <x:v>2.5900000000000034</x:v>
      </x:c>
      <x:c r="K138" t="str">
        <x:v>HINDCAST</x:v>
      </x:c>
      <x:c r="L138" s="24" t="n">
        <x:v>17.385</x:v>
      </x:c>
      <x:c r="M138" s="24" t="n">
        <x:v>78.4867</x:v>
      </x:c>
      <x:c r="N138" t="str">
        <x:f>IF(I138&gt;70,"70+ dB",IF(I138&gt;55,"56-70 dB","41-55 dB"))</x:f>
        <x:v>70+ dB</x:v>
      </x:c>
      <x:c r="O138" t="str">
        <x:f>IF(I138&gt;70,"High",IF(I138&gt;55,"Moderate","Low"))</x:f>
        <x:v>High</x:v>
      </x:c>
      <x:c r="P138" t="str">
        <x:f>IF(I138&gt;=70,"Yes","No")</x:f>
        <x:v>Yes</x:v>
      </x:c>
      <x:c r="Q138" t="str">
        <x:f>TEXT(B138,"yyyy-mm")</x:f>
        <x:v>2022-06</x:v>
      </x:c>
    </x:row>
    <x:row r="139">
      <x:c r="A139" t="str">
        <x:v>HYD01</x:v>
      </x:c>
      <x:c r="B139" s="22" t="n">
        <x:f>DATE(C139,D139,1)</x:f>
        <x:v>44743</x:v>
      </x:c>
      <x:c r="C139" t="n">
        <x:v>2022</x:v>
      </x:c>
      <x:c r="D139" t="n">
        <x:v>7</x:v>
      </x:c>
      <x:c r="E139" t="str">
        <x:f>TEXT(B139,"mmm")</x:f>
        <x:v>Jul</x:v>
      </x:c>
      <x:c r="F139" t="str">
        <x:f>"Q"&amp;ROUNDUP(D139/3,0)</x:f>
        <x:v>Q3</x:v>
      </x:c>
      <x:c r="G139" s="23" t="n">
        <x:v>77.18</x:v>
      </x:c>
      <x:c r="H139" s="23" t="n">
        <x:v>74.32</x:v>
      </x:c>
      <x:c r="I139" s="23" t="n">
        <x:v>75.8</x:v>
      </x:c>
      <x:c r="J139" s="23" t="n">
        <x:f>G139-H139</x:f>
        <x:v>2.8600000000000136</x:v>
      </x:c>
      <x:c r="K139" t="str">
        <x:v>HINDCAST</x:v>
      </x:c>
      <x:c r="L139" s="24" t="n">
        <x:v>17.385</x:v>
      </x:c>
      <x:c r="M139" s="24" t="n">
        <x:v>78.4867</x:v>
      </x:c>
      <x:c r="N139" t="str">
        <x:f>IF(I139&gt;70,"70+ dB",IF(I139&gt;55,"56-70 dB","41-55 dB"))</x:f>
        <x:v>70+ dB</x:v>
      </x:c>
      <x:c r="O139" t="str">
        <x:f>IF(I139&gt;70,"High",IF(I139&gt;55,"Moderate","Low"))</x:f>
        <x:v>High</x:v>
      </x:c>
      <x:c r="P139" t="str">
        <x:f>IF(I139&gt;=70,"Yes","No")</x:f>
        <x:v>Yes</x:v>
      </x:c>
      <x:c r="Q139" t="str">
        <x:f>TEXT(B139,"yyyy-mm")</x:f>
        <x:v>2022-07</x:v>
      </x:c>
    </x:row>
    <x:row r="140">
      <x:c r="A140" t="str">
        <x:v>HYD01</x:v>
      </x:c>
      <x:c r="B140" s="22" t="n">
        <x:f>DATE(C140,D140,1)</x:f>
        <x:v>44774</x:v>
      </x:c>
      <x:c r="C140" t="n">
        <x:v>2022</x:v>
      </x:c>
      <x:c r="D140" t="n">
        <x:v>8</x:v>
      </x:c>
      <x:c r="E140" t="str">
        <x:f>TEXT(B140,"mmm")</x:f>
        <x:v>Aug</x:v>
      </x:c>
      <x:c r="F140" t="str">
        <x:f>"Q"&amp;ROUNDUP(D140/3,0)</x:f>
        <x:v>Q3</x:v>
      </x:c>
      <x:c r="G140" s="23" t="n">
        <x:v>76.71</x:v>
      </x:c>
      <x:c r="H140" s="23" t="n">
        <x:v>72.88</x:v>
      </x:c>
      <x:c r="I140" s="23" t="n">
        <x:v>74.8</x:v>
      </x:c>
      <x:c r="J140" s="23" t="n">
        <x:f>G140-H140</x:f>
        <x:v>3.8299999999999983</x:v>
      </x:c>
      <x:c r="K140" t="str">
        <x:v>HINDCAST</x:v>
      </x:c>
      <x:c r="L140" s="24" t="n">
        <x:v>17.385</x:v>
      </x:c>
      <x:c r="M140" s="24" t="n">
        <x:v>78.4867</x:v>
      </x:c>
      <x:c r="N140" t="str">
        <x:f>IF(I140&gt;70,"70+ dB",IF(I140&gt;55,"56-70 dB","41-55 dB"))</x:f>
        <x:v>70+ dB</x:v>
      </x:c>
      <x:c r="O140" t="str">
        <x:f>IF(I140&gt;70,"High",IF(I140&gt;55,"Moderate","Low"))</x:f>
        <x:v>High</x:v>
      </x:c>
      <x:c r="P140" t="str">
        <x:f>IF(I140&gt;=70,"Yes","No")</x:f>
        <x:v>Yes</x:v>
      </x:c>
      <x:c r="Q140" t="str">
        <x:f>TEXT(B140,"yyyy-mm")</x:f>
        <x:v>2022-08</x:v>
      </x:c>
    </x:row>
    <x:row r="141">
      <x:c r="A141" t="str">
        <x:v>HYD01</x:v>
      </x:c>
      <x:c r="B141" s="22" t="n">
        <x:f>DATE(C141,D141,1)</x:f>
        <x:v>44805</x:v>
      </x:c>
      <x:c r="C141" t="n">
        <x:v>2022</x:v>
      </x:c>
      <x:c r="D141" t="n">
        <x:v>9</x:v>
      </x:c>
      <x:c r="E141" t="str">
        <x:f>TEXT(B141,"mmm")</x:f>
        <x:v>Sep</x:v>
      </x:c>
      <x:c r="F141" t="str">
        <x:f>"Q"&amp;ROUNDUP(D141/3,0)</x:f>
        <x:v>Q3</x:v>
      </x:c>
      <x:c r="G141" s="23" t="n">
        <x:v>76.02</x:v>
      </x:c>
      <x:c r="H141" s="23" t="n">
        <x:v>72.02</x:v>
      </x:c>
      <x:c r="I141" s="23" t="n">
        <x:v>74</x:v>
      </x:c>
      <x:c r="J141" s="23" t="n">
        <x:f>G141-H141</x:f>
        <x:v>4</x:v>
      </x:c>
      <x:c r="K141" t="str">
        <x:v>HINDCAST</x:v>
      </x:c>
      <x:c r="L141" s="24" t="n">
        <x:v>17.385</x:v>
      </x:c>
      <x:c r="M141" s="24" t="n">
        <x:v>78.4867</x:v>
      </x:c>
      <x:c r="N141" t="str">
        <x:f>IF(I141&gt;70,"70+ dB",IF(I141&gt;55,"56-70 dB","41-55 dB"))</x:f>
        <x:v>70+ dB</x:v>
      </x:c>
      <x:c r="O141" t="str">
        <x:f>IF(I141&gt;70,"High",IF(I141&gt;55,"Moderate","Low"))</x:f>
        <x:v>High</x:v>
      </x:c>
      <x:c r="P141" t="str">
        <x:f>IF(I141&gt;=70,"Yes","No")</x:f>
        <x:v>Yes</x:v>
      </x:c>
      <x:c r="Q141" t="str">
        <x:f>TEXT(B141,"yyyy-mm")</x:f>
        <x:v>2022-09</x:v>
      </x:c>
    </x:row>
    <x:row r="142">
      <x:c r="A142" t="str">
        <x:v>HYD01</x:v>
      </x:c>
      <x:c r="B142" s="22" t="n">
        <x:f>DATE(C142,D142,1)</x:f>
        <x:v>44835</x:v>
      </x:c>
      <x:c r="C142" t="n">
        <x:v>2022</x:v>
      </x:c>
      <x:c r="D142" t="n">
        <x:v>10</x:v>
      </x:c>
      <x:c r="E142" t="str">
        <x:f>TEXT(B142,"mmm")</x:f>
        <x:v>Oct</x:v>
      </x:c>
      <x:c r="F142" t="str">
        <x:f>"Q"&amp;ROUNDUP(D142/3,0)</x:f>
        <x:v>Q4</x:v>
      </x:c>
      <x:c r="G142" s="23" t="n">
        <x:v>75.86</x:v>
      </x:c>
      <x:c r="H142" s="23" t="n">
        <x:v>71.16</x:v>
      </x:c>
      <x:c r="I142" s="23" t="n">
        <x:v>73.5</x:v>
      </x:c>
      <x:c r="J142" s="23" t="n">
        <x:f>G142-H142</x:f>
        <x:v>4.700000000000003</x:v>
      </x:c>
      <x:c r="K142" t="str">
        <x:v>HINDCAST</x:v>
      </x:c>
      <x:c r="L142" s="24" t="n">
        <x:v>17.385</x:v>
      </x:c>
      <x:c r="M142" s="24" t="n">
        <x:v>78.4867</x:v>
      </x:c>
      <x:c r="N142" t="str">
        <x:f>IF(I142&gt;70,"70+ dB",IF(I142&gt;55,"56-70 dB","41-55 dB"))</x:f>
        <x:v>70+ dB</x:v>
      </x:c>
      <x:c r="O142" t="str">
        <x:f>IF(I142&gt;70,"High",IF(I142&gt;55,"Moderate","Low"))</x:f>
        <x:v>High</x:v>
      </x:c>
      <x:c r="P142" t="str">
        <x:f>IF(I142&gt;=70,"Yes","No")</x:f>
        <x:v>Yes</x:v>
      </x:c>
      <x:c r="Q142" t="str">
        <x:f>TEXT(B142,"yyyy-mm")</x:f>
        <x:v>2022-10</x:v>
      </x:c>
    </x:row>
    <x:row r="143">
      <x:c r="A143" t="str">
        <x:v>HYD01</x:v>
      </x:c>
      <x:c r="B143" s="22" t="n">
        <x:f>DATE(C143,D143,1)</x:f>
        <x:v>44866</x:v>
      </x:c>
      <x:c r="C143" t="n">
        <x:v>2022</x:v>
      </x:c>
      <x:c r="D143" t="n">
        <x:v>11</x:v>
      </x:c>
      <x:c r="E143" t="str">
        <x:f>TEXT(B143,"mmm")</x:f>
        <x:v>Nov</x:v>
      </x:c>
      <x:c r="F143" t="str">
        <x:f>"Q"&amp;ROUNDUP(D143/3,0)</x:f>
        <x:v>Q4</x:v>
      </x:c>
      <x:c r="G143" s="23" t="n">
        <x:v>75.74</x:v>
      </x:c>
      <x:c r="H143" s="23" t="n">
        <x:v>70.02</x:v>
      </x:c>
      <x:c r="I143" s="23" t="n">
        <x:v>72.9</x:v>
      </x:c>
      <x:c r="J143" s="23" t="n">
        <x:f>G143-H143</x:f>
        <x:v>5.719999999999999</x:v>
      </x:c>
      <x:c r="K143" t="str">
        <x:v>HINDCAST</x:v>
      </x:c>
      <x:c r="L143" s="24" t="n">
        <x:v>17.385</x:v>
      </x:c>
      <x:c r="M143" s="24" t="n">
        <x:v>78.4867</x:v>
      </x:c>
      <x:c r="N143" t="str">
        <x:f>IF(I143&gt;70,"70+ dB",IF(I143&gt;55,"56-70 dB","41-55 dB"))</x:f>
        <x:v>70+ dB</x:v>
      </x:c>
      <x:c r="O143" t="str">
        <x:f>IF(I143&gt;70,"High",IF(I143&gt;55,"Moderate","Low"))</x:f>
        <x:v>High</x:v>
      </x:c>
      <x:c r="P143" t="str">
        <x:f>IF(I143&gt;=70,"Yes","No")</x:f>
        <x:v>Yes</x:v>
      </x:c>
      <x:c r="Q143" t="str">
        <x:f>TEXT(B143,"yyyy-mm")</x:f>
        <x:v>2022-11</x:v>
      </x:c>
    </x:row>
    <x:row r="144">
      <x:c r="A144" t="str">
        <x:v>HYD01</x:v>
      </x:c>
      <x:c r="B144" s="22" t="n">
        <x:f>DATE(C144,D144,1)</x:f>
        <x:v>44896</x:v>
      </x:c>
      <x:c r="C144" t="n">
        <x:v>2022</x:v>
      </x:c>
      <x:c r="D144" t="n">
        <x:v>12</x:v>
      </x:c>
      <x:c r="E144" t="str">
        <x:f>TEXT(B144,"mmm")</x:f>
        <x:v>Dec</x:v>
      </x:c>
      <x:c r="F144" t="str">
        <x:f>"Q"&amp;ROUNDUP(D144/3,0)</x:f>
        <x:v>Q4</x:v>
      </x:c>
      <x:c r="G144" s="23" t="n">
        <x:v>75.43</x:v>
      </x:c>
      <x:c r="H144" s="23" t="n">
        <x:v>69.88</x:v>
      </x:c>
      <x:c r="I144" s="23" t="n">
        <x:v>72.7</x:v>
      </x:c>
      <x:c r="J144" s="23" t="n">
        <x:f>G144-H144</x:f>
        <x:v>5.550000000000011</x:v>
      </x:c>
      <x:c r="K144" t="str">
        <x:v>HINDCAST</x:v>
      </x:c>
      <x:c r="L144" s="24" t="n">
        <x:v>17.385</x:v>
      </x:c>
      <x:c r="M144" s="24" t="n">
        <x:v>78.4867</x:v>
      </x:c>
      <x:c r="N144" t="str">
        <x:f>IF(I144&gt;70,"70+ dB",IF(I144&gt;55,"56-70 dB","41-55 dB"))</x:f>
        <x:v>70+ dB</x:v>
      </x:c>
      <x:c r="O144" t="str">
        <x:f>IF(I144&gt;70,"High",IF(I144&gt;55,"Moderate","Low"))</x:f>
        <x:v>High</x:v>
      </x:c>
      <x:c r="P144" t="str">
        <x:f>IF(I144&gt;=70,"Yes","No")</x:f>
        <x:v>Yes</x:v>
      </x:c>
      <x:c r="Q144" t="str">
        <x:f>TEXT(B144,"yyyy-mm")</x:f>
        <x:v>2022-12</x:v>
      </x:c>
    </x:row>
    <x:row r="145">
      <x:c r="A145" t="str">
        <x:v>HYD01</x:v>
      </x:c>
      <x:c r="B145" s="22" t="n">
        <x:f>DATE(C145,D145,1)</x:f>
        <x:v>44927</x:v>
      </x:c>
      <x:c r="C145" t="n">
        <x:v>2023</x:v>
      </x:c>
      <x:c r="D145" t="n">
        <x:v>1</x:v>
      </x:c>
      <x:c r="E145" t="str">
        <x:f>TEXT(B145,"mmm")</x:f>
        <x:v>Jan</x:v>
      </x:c>
      <x:c r="F145" t="str">
        <x:f>"Q"&amp;ROUNDUP(D145/3,0)</x:f>
        <x:v>Q1</x:v>
      </x:c>
      <x:c r="G145" s="23" t="n">
        <x:v>76.12</x:v>
      </x:c>
      <x:c r="H145" s="23" t="n">
        <x:v>70.86</x:v>
      </x:c>
      <x:c r="I145" s="23" t="n">
        <x:v>73.5</x:v>
      </x:c>
      <x:c r="J145" s="23" t="n">
        <x:f>G145-H145</x:f>
        <x:v>5.260000000000005</x:v>
      </x:c>
      <x:c r="K145" t="str">
        <x:v>HINDCAST</x:v>
      </x:c>
      <x:c r="L145" s="24" t="n">
        <x:v>17.385</x:v>
      </x:c>
      <x:c r="M145" s="24" t="n">
        <x:v>78.4867</x:v>
      </x:c>
      <x:c r="N145" t="str">
        <x:f>IF(I145&gt;70,"70+ dB",IF(I145&gt;55,"56-70 dB","41-55 dB"))</x:f>
        <x:v>70+ dB</x:v>
      </x:c>
      <x:c r="O145" t="str">
        <x:f>IF(I145&gt;70,"High",IF(I145&gt;55,"Moderate","Low"))</x:f>
        <x:v>High</x:v>
      </x:c>
      <x:c r="P145" t="str">
        <x:f>IF(I145&gt;=70,"Yes","No")</x:f>
        <x:v>Yes</x:v>
      </x:c>
      <x:c r="Q145" t="str">
        <x:f>TEXT(B145,"yyyy-mm")</x:f>
        <x:v>2023-01</x:v>
      </x:c>
    </x:row>
    <x:row r="146">
      <x:c r="A146" t="str">
        <x:v>HYD01</x:v>
      </x:c>
      <x:c r="B146" s="22" t="n">
        <x:f>DATE(C146,D146,1)</x:f>
        <x:v>44958</x:v>
      </x:c>
      <x:c r="C146" t="n">
        <x:v>2023</x:v>
      </x:c>
      <x:c r="D146" t="n">
        <x:v>2</x:v>
      </x:c>
      <x:c r="E146" t="str">
        <x:f>TEXT(B146,"mmm")</x:f>
        <x:v>Feb</x:v>
      </x:c>
      <x:c r="F146" t="str">
        <x:f>"Q"&amp;ROUNDUP(D146/3,0)</x:f>
        <x:v>Q1</x:v>
      </x:c>
      <x:c r="G146" s="23" t="n">
        <x:v>75.76</x:v>
      </x:c>
      <x:c r="H146" s="23" t="n">
        <x:v>71.22</x:v>
      </x:c>
      <x:c r="I146" s="23" t="n">
        <x:v>73.5</x:v>
      </x:c>
      <x:c r="J146" s="23" t="n">
        <x:f>G146-H146</x:f>
        <x:v>4.540000000000006</x:v>
      </x:c>
      <x:c r="K146" t="str">
        <x:v>HINDCAST</x:v>
      </x:c>
      <x:c r="L146" s="24" t="n">
        <x:v>17.385</x:v>
      </x:c>
      <x:c r="M146" s="24" t="n">
        <x:v>78.4867</x:v>
      </x:c>
      <x:c r="N146" t="str">
        <x:f>IF(I146&gt;70,"70+ dB",IF(I146&gt;55,"56-70 dB","41-55 dB"))</x:f>
        <x:v>70+ dB</x:v>
      </x:c>
      <x:c r="O146" t="str">
        <x:f>IF(I146&gt;70,"High",IF(I146&gt;55,"Moderate","Low"))</x:f>
        <x:v>High</x:v>
      </x:c>
      <x:c r="P146" t="str">
        <x:f>IF(I146&gt;=70,"Yes","No")</x:f>
        <x:v>Yes</x:v>
      </x:c>
      <x:c r="Q146" t="str">
        <x:f>TEXT(B146,"yyyy-mm")</x:f>
        <x:v>2023-02</x:v>
      </x:c>
    </x:row>
    <x:row r="147">
      <x:c r="A147" t="str">
        <x:v>HYD01</x:v>
      </x:c>
      <x:c r="B147" s="22" t="n">
        <x:f>DATE(C147,D147,1)</x:f>
        <x:v>44986</x:v>
      </x:c>
      <x:c r="C147" t="n">
        <x:v>2023</x:v>
      </x:c>
      <x:c r="D147" t="n">
        <x:v>3</x:v>
      </x:c>
      <x:c r="E147" t="str">
        <x:f>TEXT(B147,"mmm")</x:f>
        <x:v>Mar</x:v>
      </x:c>
      <x:c r="F147" t="str">
        <x:f>"Q"&amp;ROUNDUP(D147/3,0)</x:f>
        <x:v>Q1</x:v>
      </x:c>
      <x:c r="G147" s="23" t="n">
        <x:v>75.69</x:v>
      </x:c>
      <x:c r="H147" s="23" t="n">
        <x:v>70.37</x:v>
      </x:c>
      <x:c r="I147" s="23" t="n">
        <x:v>73</x:v>
      </x:c>
      <x:c r="J147" s="23" t="n">
        <x:f>G147-H147</x:f>
        <x:v>5.319999999999993</x:v>
      </x:c>
      <x:c r="K147" t="str">
        <x:v>HINDCAST</x:v>
      </x:c>
      <x:c r="L147" s="24" t="n">
        <x:v>17.385</x:v>
      </x:c>
      <x:c r="M147" s="24" t="n">
        <x:v>78.4867</x:v>
      </x:c>
      <x:c r="N147" t="str">
        <x:f>IF(I147&gt;70,"70+ dB",IF(I147&gt;55,"56-70 dB","41-55 dB"))</x:f>
        <x:v>70+ dB</x:v>
      </x:c>
      <x:c r="O147" t="str">
        <x:f>IF(I147&gt;70,"High",IF(I147&gt;55,"Moderate","Low"))</x:f>
        <x:v>High</x:v>
      </x:c>
      <x:c r="P147" t="str">
        <x:f>IF(I147&gt;=70,"Yes","No")</x:f>
        <x:v>Yes</x:v>
      </x:c>
      <x:c r="Q147" t="str">
        <x:f>TEXT(B147,"yyyy-mm")</x:f>
        <x:v>2023-03</x:v>
      </x:c>
    </x:row>
    <x:row r="148">
      <x:c r="A148" t="str">
        <x:v>HYD01</x:v>
      </x:c>
      <x:c r="B148" s="22" t="n">
        <x:f>DATE(C148,D148,1)</x:f>
        <x:v>45017</x:v>
      </x:c>
      <x:c r="C148" t="n">
        <x:v>2023</x:v>
      </x:c>
      <x:c r="D148" t="n">
        <x:v>4</x:v>
      </x:c>
      <x:c r="E148" t="str">
        <x:f>TEXT(B148,"mmm")</x:f>
        <x:v>Apr</x:v>
      </x:c>
      <x:c r="F148" t="str">
        <x:f>"Q"&amp;ROUNDUP(D148/3,0)</x:f>
        <x:v>Q2</x:v>
      </x:c>
      <x:c r="G148" s="23" t="n">
        <x:v>75.64</x:v>
      </x:c>
      <x:c r="H148" s="23" t="n">
        <x:v>70.93</x:v>
      </x:c>
      <x:c r="I148" s="23" t="n">
        <x:v>73.3</x:v>
      </x:c>
      <x:c r="J148" s="23" t="n">
        <x:f>G148-H148</x:f>
        <x:v>4.709999999999994</x:v>
      </x:c>
      <x:c r="K148" t="str">
        <x:v>HINDCAST</x:v>
      </x:c>
      <x:c r="L148" s="24" t="n">
        <x:v>17.385</x:v>
      </x:c>
      <x:c r="M148" s="24" t="n">
        <x:v>78.4867</x:v>
      </x:c>
      <x:c r="N148" t="str">
        <x:f>IF(I148&gt;70,"70+ dB",IF(I148&gt;55,"56-70 dB","41-55 dB"))</x:f>
        <x:v>70+ dB</x:v>
      </x:c>
      <x:c r="O148" t="str">
        <x:f>IF(I148&gt;70,"High",IF(I148&gt;55,"Moderate","Low"))</x:f>
        <x:v>High</x:v>
      </x:c>
      <x:c r="P148" t="str">
        <x:f>IF(I148&gt;=70,"Yes","No")</x:f>
        <x:v>Yes</x:v>
      </x:c>
      <x:c r="Q148" t="str">
        <x:f>TEXT(B148,"yyyy-mm")</x:f>
        <x:v>2023-04</x:v>
      </x:c>
    </x:row>
    <x:row r="149">
      <x:c r="A149" t="str">
        <x:v>HYD01</x:v>
      </x:c>
      <x:c r="B149" s="22" t="n">
        <x:f>DATE(C149,D149,1)</x:f>
        <x:v>45047</x:v>
      </x:c>
      <x:c r="C149" t="n">
        <x:v>2023</x:v>
      </x:c>
      <x:c r="D149" t="n">
        <x:v>5</x:v>
      </x:c>
      <x:c r="E149" t="str">
        <x:f>TEXT(B149,"mmm")</x:f>
        <x:v>May</x:v>
      </x:c>
      <x:c r="F149" t="str">
        <x:f>"Q"&amp;ROUNDUP(D149/3,0)</x:f>
        <x:v>Q2</x:v>
      </x:c>
      <x:c r="G149" s="23" t="n">
        <x:v>75.57</x:v>
      </x:c>
      <x:c r="H149" s="23" t="n">
        <x:v>71.63</x:v>
      </x:c>
      <x:c r="I149" s="23" t="n">
        <x:v>73.6</x:v>
      </x:c>
      <x:c r="J149" s="23" t="n">
        <x:f>G149-H149</x:f>
        <x:v>3.9399999999999977</x:v>
      </x:c>
      <x:c r="K149" t="str">
        <x:v>HINDCAST</x:v>
      </x:c>
      <x:c r="L149" s="24" t="n">
        <x:v>17.385</x:v>
      </x:c>
      <x:c r="M149" s="24" t="n">
        <x:v>78.4867</x:v>
      </x:c>
      <x:c r="N149" t="str">
        <x:f>IF(I149&gt;70,"70+ dB",IF(I149&gt;55,"56-70 dB","41-55 dB"))</x:f>
        <x:v>70+ dB</x:v>
      </x:c>
      <x:c r="O149" t="str">
        <x:f>IF(I149&gt;70,"High",IF(I149&gt;55,"Moderate","Low"))</x:f>
        <x:v>High</x:v>
      </x:c>
      <x:c r="P149" t="str">
        <x:f>IF(I149&gt;=70,"Yes","No")</x:f>
        <x:v>Yes</x:v>
      </x:c>
      <x:c r="Q149" t="str">
        <x:f>TEXT(B149,"yyyy-mm")</x:f>
        <x:v>2023-05</x:v>
      </x:c>
    </x:row>
    <x:row r="150">
      <x:c r="A150" t="str">
        <x:v>HYD01</x:v>
      </x:c>
      <x:c r="B150" s="22" t="n">
        <x:f>DATE(C150,D150,1)</x:f>
        <x:v>45078</x:v>
      </x:c>
      <x:c r="C150" t="n">
        <x:v>2023</x:v>
      </x:c>
      <x:c r="D150" t="n">
        <x:v>6</x:v>
      </x:c>
      <x:c r="E150" t="str">
        <x:f>TEXT(B150,"mmm")</x:f>
        <x:v>Jun</x:v>
      </x:c>
      <x:c r="F150" t="str">
        <x:f>"Q"&amp;ROUNDUP(D150/3,0)</x:f>
        <x:v>Q2</x:v>
      </x:c>
      <x:c r="G150" s="23" t="n">
        <x:v>76.9</x:v>
      </x:c>
      <x:c r="H150" s="23" t="n">
        <x:v>74.72</x:v>
      </x:c>
      <x:c r="I150" s="23" t="n">
        <x:v>75.8</x:v>
      </x:c>
      <x:c r="J150" s="23" t="n">
        <x:f>G150-H150</x:f>
        <x:v>2.180000000000007</x:v>
      </x:c>
      <x:c r="K150" t="str">
        <x:v>HINDCAST</x:v>
      </x:c>
      <x:c r="L150" s="24" t="n">
        <x:v>17.385</x:v>
      </x:c>
      <x:c r="M150" s="24" t="n">
        <x:v>78.4867</x:v>
      </x:c>
      <x:c r="N150" t="str">
        <x:f>IF(I150&gt;70,"70+ dB",IF(I150&gt;55,"56-70 dB","41-55 dB"))</x:f>
        <x:v>70+ dB</x:v>
      </x:c>
      <x:c r="O150" t="str">
        <x:f>IF(I150&gt;70,"High",IF(I150&gt;55,"Moderate","Low"))</x:f>
        <x:v>High</x:v>
      </x:c>
      <x:c r="P150" t="str">
        <x:f>IF(I150&gt;=70,"Yes","No")</x:f>
        <x:v>Yes</x:v>
      </x:c>
      <x:c r="Q150" t="str">
        <x:f>TEXT(B150,"yyyy-mm")</x:f>
        <x:v>2023-06</x:v>
      </x:c>
    </x:row>
    <x:row r="151">
      <x:c r="A151" t="str">
        <x:v>HYD01</x:v>
      </x:c>
      <x:c r="B151" s="22" t="n">
        <x:f>DATE(C151,D151,1)</x:f>
        <x:v>45108</x:v>
      </x:c>
      <x:c r="C151" t="n">
        <x:v>2023</x:v>
      </x:c>
      <x:c r="D151" t="n">
        <x:v>7</x:v>
      </x:c>
      <x:c r="E151" t="str">
        <x:f>TEXT(B151,"mmm")</x:f>
        <x:v>Jul</x:v>
      </x:c>
      <x:c r="F151" t="str">
        <x:f>"Q"&amp;ROUNDUP(D151/3,0)</x:f>
        <x:v>Q3</x:v>
      </x:c>
      <x:c r="G151" s="23" t="n">
        <x:v>77.54</x:v>
      </x:c>
      <x:c r="H151" s="23" t="n">
        <x:v>75.09</x:v>
      </x:c>
      <x:c r="I151" s="23" t="n">
        <x:v>76.3</x:v>
      </x:c>
      <x:c r="J151" s="23" t="n">
        <x:f>G151-H151</x:f>
        <x:v>2.450000000000003</x:v>
      </x:c>
      <x:c r="K151" t="str">
        <x:v>HINDCAST</x:v>
      </x:c>
      <x:c r="L151" s="24" t="n">
        <x:v>17.385</x:v>
      </x:c>
      <x:c r="M151" s="24" t="n">
        <x:v>78.4867</x:v>
      </x:c>
      <x:c r="N151" t="str">
        <x:f>IF(I151&gt;70,"70+ dB",IF(I151&gt;55,"56-70 dB","41-55 dB"))</x:f>
        <x:v>70+ dB</x:v>
      </x:c>
      <x:c r="O151" t="str">
        <x:f>IF(I151&gt;70,"High",IF(I151&gt;55,"Moderate","Low"))</x:f>
        <x:v>High</x:v>
      </x:c>
      <x:c r="P151" t="str">
        <x:f>IF(I151&gt;=70,"Yes","No")</x:f>
        <x:v>Yes</x:v>
      </x:c>
      <x:c r="Q151" t="str">
        <x:f>TEXT(B151,"yyyy-mm")</x:f>
        <x:v>2023-07</x:v>
      </x:c>
    </x:row>
    <x:row r="152">
      <x:c r="A152" t="str">
        <x:v>HYD01</x:v>
      </x:c>
      <x:c r="B152" s="22" t="n">
        <x:f>DATE(C152,D152,1)</x:f>
        <x:v>45139</x:v>
      </x:c>
      <x:c r="C152" t="n">
        <x:v>2023</x:v>
      </x:c>
      <x:c r="D152" t="n">
        <x:v>8</x:v>
      </x:c>
      <x:c r="E152" t="str">
        <x:f>TEXT(B152,"mmm")</x:f>
        <x:v>Aug</x:v>
      </x:c>
      <x:c r="F152" t="str">
        <x:f>"Q"&amp;ROUNDUP(D152/3,0)</x:f>
        <x:v>Q3</x:v>
      </x:c>
      <x:c r="G152" s="23" t="n">
        <x:v>77.07</x:v>
      </x:c>
      <x:c r="H152" s="23" t="n">
        <x:v>73.64</x:v>
      </x:c>
      <x:c r="I152" s="23" t="n">
        <x:v>75.4</x:v>
      </x:c>
      <x:c r="J152" s="23" t="n">
        <x:f>G152-H152</x:f>
        <x:v>3.4299999999999926</x:v>
      </x:c>
      <x:c r="K152" t="str">
        <x:v>HINDCAST</x:v>
      </x:c>
      <x:c r="L152" s="24" t="n">
        <x:v>17.385</x:v>
      </x:c>
      <x:c r="M152" s="24" t="n">
        <x:v>78.4867</x:v>
      </x:c>
      <x:c r="N152" t="str">
        <x:f>IF(I152&gt;70,"70+ dB",IF(I152&gt;55,"56-70 dB","41-55 dB"))</x:f>
        <x:v>70+ dB</x:v>
      </x:c>
      <x:c r="O152" t="str">
        <x:f>IF(I152&gt;70,"High",IF(I152&gt;55,"Moderate","Low"))</x:f>
        <x:v>High</x:v>
      </x:c>
      <x:c r="P152" t="str">
        <x:f>IF(I152&gt;=70,"Yes","No")</x:f>
        <x:v>Yes</x:v>
      </x:c>
      <x:c r="Q152" t="str">
        <x:f>TEXT(B152,"yyyy-mm")</x:f>
        <x:v>2023-08</x:v>
      </x:c>
    </x:row>
    <x:row r="153">
      <x:c r="A153" t="str">
        <x:v>HYD01</x:v>
      </x:c>
      <x:c r="B153" s="22" t="n">
        <x:f>DATE(C153,D153,1)</x:f>
        <x:v>45170</x:v>
      </x:c>
      <x:c r="C153" t="n">
        <x:v>2023</x:v>
      </x:c>
      <x:c r="D153" t="n">
        <x:v>9</x:v>
      </x:c>
      <x:c r="E153" t="str">
        <x:f>TEXT(B153,"mmm")</x:f>
        <x:v>Sep</x:v>
      </x:c>
      <x:c r="F153" t="str">
        <x:f>"Q"&amp;ROUNDUP(D153/3,0)</x:f>
        <x:v>Q3</x:v>
      </x:c>
      <x:c r="G153" s="23" t="n">
        <x:v>76.38</x:v>
      </x:c>
      <x:c r="H153" s="23" t="n">
        <x:v>72.79</x:v>
      </x:c>
      <x:c r="I153" s="23" t="n">
        <x:v>74.6</x:v>
      </x:c>
      <x:c r="J153" s="23" t="n">
        <x:f>G153-H153</x:f>
        <x:v>3.589999999999989</x:v>
      </x:c>
      <x:c r="K153" t="str">
        <x:v>HINDCAST</x:v>
      </x:c>
      <x:c r="L153" s="24" t="n">
        <x:v>17.385</x:v>
      </x:c>
      <x:c r="M153" s="24" t="n">
        <x:v>78.4867</x:v>
      </x:c>
      <x:c r="N153" t="str">
        <x:f>IF(I153&gt;70,"70+ dB",IF(I153&gt;55,"56-70 dB","41-55 dB"))</x:f>
        <x:v>70+ dB</x:v>
      </x:c>
      <x:c r="O153" t="str">
        <x:f>IF(I153&gt;70,"High",IF(I153&gt;55,"Moderate","Low"))</x:f>
        <x:v>High</x:v>
      </x:c>
      <x:c r="P153" t="str">
        <x:f>IF(I153&gt;=70,"Yes","No")</x:f>
        <x:v>Yes</x:v>
      </x:c>
      <x:c r="Q153" t="str">
        <x:f>TEXT(B153,"yyyy-mm")</x:f>
        <x:v>2023-09</x:v>
      </x:c>
    </x:row>
    <x:row r="154">
      <x:c r="A154" t="str">
        <x:v>HYD01</x:v>
      </x:c>
      <x:c r="B154" s="22" t="n">
        <x:f>DATE(C154,D154,1)</x:f>
        <x:v>45200</x:v>
      </x:c>
      <x:c r="C154" t="n">
        <x:v>2023</x:v>
      </x:c>
      <x:c r="D154" t="n">
        <x:v>10</x:v>
      </x:c>
      <x:c r="E154" t="str">
        <x:f>TEXT(B154,"mmm")</x:f>
        <x:v>Oct</x:v>
      </x:c>
      <x:c r="F154" t="str">
        <x:f>"Q"&amp;ROUNDUP(D154/3,0)</x:f>
        <x:v>Q4</x:v>
      </x:c>
      <x:c r="G154" s="23" t="n">
        <x:v>76.22</x:v>
      </x:c>
      <x:c r="H154" s="23" t="n">
        <x:v>71.93</x:v>
      </x:c>
      <x:c r="I154" s="23" t="n">
        <x:v>74.1</x:v>
      </x:c>
      <x:c r="J154" s="23" t="n">
        <x:f>G154-H154</x:f>
        <x:v>4.289999999999992</x:v>
      </x:c>
      <x:c r="K154" t="str">
        <x:v>HINDCAST</x:v>
      </x:c>
      <x:c r="L154" s="24" t="n">
        <x:v>17.385</x:v>
      </x:c>
      <x:c r="M154" s="24" t="n">
        <x:v>78.4867</x:v>
      </x:c>
      <x:c r="N154" t="str">
        <x:f>IF(I154&gt;70,"70+ dB",IF(I154&gt;55,"56-70 dB","41-55 dB"))</x:f>
        <x:v>70+ dB</x:v>
      </x:c>
      <x:c r="O154" t="str">
        <x:f>IF(I154&gt;70,"High",IF(I154&gt;55,"Moderate","Low"))</x:f>
        <x:v>High</x:v>
      </x:c>
      <x:c r="P154" t="str">
        <x:f>IF(I154&gt;=70,"Yes","No")</x:f>
        <x:v>Yes</x:v>
      </x:c>
      <x:c r="Q154" t="str">
        <x:f>TEXT(B154,"yyyy-mm")</x:f>
        <x:v>2023-10</x:v>
      </x:c>
    </x:row>
    <x:row r="155">
      <x:c r="A155" t="str">
        <x:v>HYD01</x:v>
      </x:c>
      <x:c r="B155" s="22" t="n">
        <x:f>DATE(C155,D155,1)</x:f>
        <x:v>45231</x:v>
      </x:c>
      <x:c r="C155" t="n">
        <x:v>2023</x:v>
      </x:c>
      <x:c r="D155" t="n">
        <x:v>11</x:v>
      </x:c>
      <x:c r="E155" t="str">
        <x:f>TEXT(B155,"mmm")</x:f>
        <x:v>Nov</x:v>
      </x:c>
      <x:c r="F155" t="str">
        <x:f>"Q"&amp;ROUNDUP(D155/3,0)</x:f>
        <x:v>Q4</x:v>
      </x:c>
      <x:c r="G155" s="23" t="n">
        <x:v>76.1</x:v>
      </x:c>
      <x:c r="H155" s="23" t="n">
        <x:v>70.79</x:v>
      </x:c>
      <x:c r="I155" s="23" t="n">
        <x:v>73.4</x:v>
      </x:c>
      <x:c r="J155" s="23" t="n">
        <x:f>G155-H155</x:f>
        <x:v>5.309999999999988</x:v>
      </x:c>
      <x:c r="K155" t="str">
        <x:v>HINDCAST</x:v>
      </x:c>
      <x:c r="L155" s="24" t="n">
        <x:v>17.385</x:v>
      </x:c>
      <x:c r="M155" s="24" t="n">
        <x:v>78.4867</x:v>
      </x:c>
      <x:c r="N155" t="str">
        <x:f>IF(I155&gt;70,"70+ dB",IF(I155&gt;55,"56-70 dB","41-55 dB"))</x:f>
        <x:v>70+ dB</x:v>
      </x:c>
      <x:c r="O155" t="str">
        <x:f>IF(I155&gt;70,"High",IF(I155&gt;55,"Moderate","Low"))</x:f>
        <x:v>High</x:v>
      </x:c>
      <x:c r="P155" t="str">
        <x:f>IF(I155&gt;=70,"Yes","No")</x:f>
        <x:v>Yes</x:v>
      </x:c>
      <x:c r="Q155" t="str">
        <x:f>TEXT(B155,"yyyy-mm")</x:f>
        <x:v>2023-11</x:v>
      </x:c>
    </x:row>
    <x:row r="156">
      <x:c r="A156" t="str">
        <x:v>HYD01</x:v>
      </x:c>
      <x:c r="B156" s="22" t="n">
        <x:f>DATE(C156,D156,1)</x:f>
        <x:v>45261</x:v>
      </x:c>
      <x:c r="C156" t="n">
        <x:v>2023</x:v>
      </x:c>
      <x:c r="D156" t="n">
        <x:v>12</x:v>
      </x:c>
      <x:c r="E156" t="str">
        <x:f>TEXT(B156,"mmm")</x:f>
        <x:v>Dec</x:v>
      </x:c>
      <x:c r="F156" t="str">
        <x:f>"Q"&amp;ROUNDUP(D156/3,0)</x:f>
        <x:v>Q4</x:v>
      </x:c>
      <x:c r="G156" s="23" t="n">
        <x:v>75.79</x:v>
      </x:c>
      <x:c r="H156" s="23" t="n">
        <x:v>70.64</x:v>
      </x:c>
      <x:c r="I156" s="23" t="n">
        <x:v>73.2</x:v>
      </x:c>
      <x:c r="J156" s="23" t="n">
        <x:f>G156-H156</x:f>
        <x:v>5.150000000000006</x:v>
      </x:c>
      <x:c r="K156" t="str">
        <x:v>HINDCAST</x:v>
      </x:c>
      <x:c r="L156" s="24" t="n">
        <x:v>17.385</x:v>
      </x:c>
      <x:c r="M156" s="24" t="n">
        <x:v>78.4867</x:v>
      </x:c>
      <x:c r="N156" t="str">
        <x:f>IF(I156&gt;70,"70+ dB",IF(I156&gt;55,"56-70 dB","41-55 dB"))</x:f>
        <x:v>70+ dB</x:v>
      </x:c>
      <x:c r="O156" t="str">
        <x:f>IF(I156&gt;70,"High",IF(I156&gt;55,"Moderate","Low"))</x:f>
        <x:v>High</x:v>
      </x:c>
      <x:c r="P156" t="str">
        <x:f>IF(I156&gt;=70,"Yes","No")</x:f>
        <x:v>Yes</x:v>
      </x:c>
      <x:c r="Q156" t="str">
        <x:f>TEXT(B156,"yyyy-mm")</x:f>
        <x:v>2023-12</x:v>
      </x:c>
    </x:row>
    <x:row r="157">
      <x:c r="A157" t="str">
        <x:v>HYD01</x:v>
      </x:c>
      <x:c r="B157" s="22" t="n">
        <x:f>DATE(C157,D157,1)</x:f>
        <x:v>45292</x:v>
      </x:c>
      <x:c r="C157" t="n">
        <x:v>2024</x:v>
      </x:c>
      <x:c r="D157" t="n">
        <x:v>1</x:v>
      </x:c>
      <x:c r="E157" t="str">
        <x:f>TEXT(B157,"mmm")</x:f>
        <x:v>Jan</x:v>
      </x:c>
      <x:c r="F157" t="str">
        <x:f>"Q"&amp;ROUNDUP(D157/3,0)</x:f>
        <x:v>Q1</x:v>
      </x:c>
      <x:c r="G157" s="23" t="n">
        <x:v>76.47</x:v>
      </x:c>
      <x:c r="H157" s="23" t="n">
        <x:v>71.62</x:v>
      </x:c>
      <x:c r="I157" s="23" t="n">
        <x:v>74</x:v>
      </x:c>
      <x:c r="J157" s="23" t="n">
        <x:f>G157-H157</x:f>
        <x:v>4.849999999999994</x:v>
      </x:c>
      <x:c r="K157" t="str">
        <x:v>HINDCAST</x:v>
      </x:c>
      <x:c r="L157" s="24" t="n">
        <x:v>17.385</x:v>
      </x:c>
      <x:c r="M157" s="24" t="n">
        <x:v>78.4867</x:v>
      </x:c>
      <x:c r="N157" t="str">
        <x:f>IF(I157&gt;70,"70+ dB",IF(I157&gt;55,"56-70 dB","41-55 dB"))</x:f>
        <x:v>70+ dB</x:v>
      </x:c>
      <x:c r="O157" t="str">
        <x:f>IF(I157&gt;70,"High",IF(I157&gt;55,"Moderate","Low"))</x:f>
        <x:v>High</x:v>
      </x:c>
      <x:c r="P157" t="str">
        <x:f>IF(I157&gt;=70,"Yes","No")</x:f>
        <x:v>Yes</x:v>
      </x:c>
      <x:c r="Q157" t="str">
        <x:f>TEXT(B157,"yyyy-mm")</x:f>
        <x:v>2024-01</x:v>
      </x:c>
    </x:row>
    <x:row r="158">
      <x:c r="A158" t="str">
        <x:v>HYD01</x:v>
      </x:c>
      <x:c r="B158" s="22" t="n">
        <x:f>DATE(C158,D158,1)</x:f>
        <x:v>45323</x:v>
      </x:c>
      <x:c r="C158" t="n">
        <x:v>2024</x:v>
      </x:c>
      <x:c r="D158" t="n">
        <x:v>2</x:v>
      </x:c>
      <x:c r="E158" t="str">
        <x:f>TEXT(B158,"mmm")</x:f>
        <x:v>Feb</x:v>
      </x:c>
      <x:c r="F158" t="str">
        <x:f>"Q"&amp;ROUNDUP(D158/3,0)</x:f>
        <x:v>Q1</x:v>
      </x:c>
      <x:c r="G158" s="23" t="n">
        <x:v>76.12</x:v>
      </x:c>
      <x:c r="H158" s="23" t="n">
        <x:v>71.98</x:v>
      </x:c>
      <x:c r="I158" s="23" t="n">
        <x:v>74.1</x:v>
      </x:c>
      <x:c r="J158" s="23" t="n">
        <x:f>G158-H158</x:f>
        <x:v>4.140000000000001</x:v>
      </x:c>
      <x:c r="K158" t="str">
        <x:v>HINDCAST</x:v>
      </x:c>
      <x:c r="L158" s="24" t="n">
        <x:v>17.385</x:v>
      </x:c>
      <x:c r="M158" s="24" t="n">
        <x:v>78.4867</x:v>
      </x:c>
      <x:c r="N158" t="str">
        <x:f>IF(I158&gt;70,"70+ dB",IF(I158&gt;55,"56-70 dB","41-55 dB"))</x:f>
        <x:v>70+ dB</x:v>
      </x:c>
      <x:c r="O158" t="str">
        <x:f>IF(I158&gt;70,"High",IF(I158&gt;55,"Moderate","Low"))</x:f>
        <x:v>High</x:v>
      </x:c>
      <x:c r="P158" t="str">
        <x:f>IF(I158&gt;=70,"Yes","No")</x:f>
        <x:v>Yes</x:v>
      </x:c>
      <x:c r="Q158" t="str">
        <x:f>TEXT(B158,"yyyy-mm")</x:f>
        <x:v>2024-02</x:v>
      </x:c>
    </x:row>
    <x:row r="159">
      <x:c r="A159" t="str">
        <x:v>HYD01</x:v>
      </x:c>
      <x:c r="B159" s="22" t="n">
        <x:f>DATE(C159,D159,1)</x:f>
        <x:v>45352</x:v>
      </x:c>
      <x:c r="C159" t="n">
        <x:v>2024</x:v>
      </x:c>
      <x:c r="D159" t="n">
        <x:v>3</x:v>
      </x:c>
      <x:c r="E159" t="str">
        <x:f>TEXT(B159,"mmm")</x:f>
        <x:v>Mar</x:v>
      </x:c>
      <x:c r="F159" t="str">
        <x:f>"Q"&amp;ROUNDUP(D159/3,0)</x:f>
        <x:v>Q1</x:v>
      </x:c>
      <x:c r="G159" s="23" t="n">
        <x:v>76.05</x:v>
      </x:c>
      <x:c r="H159" s="23" t="n">
        <x:v>71.13</x:v>
      </x:c>
      <x:c r="I159" s="23" t="n">
        <x:v>73.6</x:v>
      </x:c>
      <x:c r="J159" s="23" t="n">
        <x:f>G159-H159</x:f>
        <x:v>4.920000000000002</x:v>
      </x:c>
      <x:c r="K159" t="str">
        <x:v>HINDCAST</x:v>
      </x:c>
      <x:c r="L159" s="24" t="n">
        <x:v>17.385</x:v>
      </x:c>
      <x:c r="M159" s="24" t="n">
        <x:v>78.4867</x:v>
      </x:c>
      <x:c r="N159" t="str">
        <x:f>IF(I159&gt;70,"70+ dB",IF(I159&gt;55,"56-70 dB","41-55 dB"))</x:f>
        <x:v>70+ dB</x:v>
      </x:c>
      <x:c r="O159" t="str">
        <x:f>IF(I159&gt;70,"High",IF(I159&gt;55,"Moderate","Low"))</x:f>
        <x:v>High</x:v>
      </x:c>
      <x:c r="P159" t="str">
        <x:f>IF(I159&gt;=70,"Yes","No")</x:f>
        <x:v>Yes</x:v>
      </x:c>
      <x:c r="Q159" t="str">
        <x:f>TEXT(B159,"yyyy-mm")</x:f>
        <x:v>2024-03</x:v>
      </x:c>
    </x:row>
    <x:row r="160">
      <x:c r="A160" t="str">
        <x:v>HYD01</x:v>
      </x:c>
      <x:c r="B160" s="22" t="n">
        <x:f>DATE(C160,D160,1)</x:f>
        <x:v>45383</x:v>
      </x:c>
      <x:c r="C160" t="n">
        <x:v>2024</x:v>
      </x:c>
      <x:c r="D160" t="n">
        <x:v>4</x:v>
      </x:c>
      <x:c r="E160" t="str">
        <x:f>TEXT(B160,"mmm")</x:f>
        <x:v>Apr</x:v>
      </x:c>
      <x:c r="F160" t="str">
        <x:f>"Q"&amp;ROUNDUP(D160/3,0)</x:f>
        <x:v>Q2</x:v>
      </x:c>
      <x:c r="G160" s="23" t="n">
        <x:v>76</x:v>
      </x:c>
      <x:c r="H160" s="23" t="n">
        <x:v>71.69</x:v>
      </x:c>
      <x:c r="I160" s="23" t="n">
        <x:v>73.8</x:v>
      </x:c>
      <x:c r="J160" s="23" t="n">
        <x:f>G160-H160</x:f>
        <x:v>4.310000000000002</x:v>
      </x:c>
      <x:c r="K160" t="str">
        <x:v>HINDCAST</x:v>
      </x:c>
      <x:c r="L160" s="24" t="n">
        <x:v>17.385</x:v>
      </x:c>
      <x:c r="M160" s="24" t="n">
        <x:v>78.4867</x:v>
      </x:c>
      <x:c r="N160" t="str">
        <x:f>IF(I160&gt;70,"70+ dB",IF(I160&gt;55,"56-70 dB","41-55 dB"))</x:f>
        <x:v>70+ dB</x:v>
      </x:c>
      <x:c r="O160" t="str">
        <x:f>IF(I160&gt;70,"High",IF(I160&gt;55,"Moderate","Low"))</x:f>
        <x:v>High</x:v>
      </x:c>
      <x:c r="P160" t="str">
        <x:f>IF(I160&gt;=70,"Yes","No")</x:f>
        <x:v>Yes</x:v>
      </x:c>
      <x:c r="Q160" t="str">
        <x:f>TEXT(B160,"yyyy-mm")</x:f>
        <x:v>2024-04</x:v>
      </x:c>
    </x:row>
    <x:row r="161">
      <x:c r="A161" t="str">
        <x:v>HYD01</x:v>
      </x:c>
      <x:c r="B161" s="22" t="n">
        <x:f>DATE(C161,D161,1)</x:f>
        <x:v>45413</x:v>
      </x:c>
      <x:c r="C161" t="n">
        <x:v>2024</x:v>
      </x:c>
      <x:c r="D161" t="n">
        <x:v>5</x:v>
      </x:c>
      <x:c r="E161" t="str">
        <x:f>TEXT(B161,"mmm")</x:f>
        <x:v>May</x:v>
      </x:c>
      <x:c r="F161" t="str">
        <x:f>"Q"&amp;ROUNDUP(D161/3,0)</x:f>
        <x:v>Q2</x:v>
      </x:c>
      <x:c r="G161" s="23" t="n">
        <x:v>75.93</x:v>
      </x:c>
      <x:c r="H161" s="23" t="n">
        <x:v>72.4</x:v>
      </x:c>
      <x:c r="I161" s="23" t="n">
        <x:v>74.2</x:v>
      </x:c>
      <x:c r="J161" s="23" t="n">
        <x:f>G161-H161</x:f>
        <x:v>3.530000000000001</x:v>
      </x:c>
      <x:c r="K161" t="str">
        <x:v>HINDCAST</x:v>
      </x:c>
      <x:c r="L161" s="24" t="n">
        <x:v>17.385</x:v>
      </x:c>
      <x:c r="M161" s="24" t="n">
        <x:v>78.4867</x:v>
      </x:c>
      <x:c r="N161" t="str">
        <x:f>IF(I161&gt;70,"70+ dB",IF(I161&gt;55,"56-70 dB","41-55 dB"))</x:f>
        <x:v>70+ dB</x:v>
      </x:c>
      <x:c r="O161" t="str">
        <x:f>IF(I161&gt;70,"High",IF(I161&gt;55,"Moderate","Low"))</x:f>
        <x:v>High</x:v>
      </x:c>
      <x:c r="P161" t="str">
        <x:f>IF(I161&gt;=70,"Yes","No")</x:f>
        <x:v>Yes</x:v>
      </x:c>
      <x:c r="Q161" t="str">
        <x:f>TEXT(B161,"yyyy-mm")</x:f>
        <x:v>2024-05</x:v>
      </x:c>
    </x:row>
    <x:row r="162">
      <x:c r="A162" t="str">
        <x:v>HYD01</x:v>
      </x:c>
      <x:c r="B162" s="22" t="n">
        <x:f>DATE(C162,D162,1)</x:f>
        <x:v>45444</x:v>
      </x:c>
      <x:c r="C162" t="n">
        <x:v>2024</x:v>
      </x:c>
      <x:c r="D162" t="n">
        <x:v>6</x:v>
      </x:c>
      <x:c r="E162" t="str">
        <x:f>TEXT(B162,"mmm")</x:f>
        <x:v>Jun</x:v>
      </x:c>
      <x:c r="F162" t="str">
        <x:f>"Q"&amp;ROUNDUP(D162/3,0)</x:f>
        <x:v>Q2</x:v>
      </x:c>
      <x:c r="G162" s="23" t="n">
        <x:v>77.26</x:v>
      </x:c>
      <x:c r="H162" s="23" t="n">
        <x:v>75.48</x:v>
      </x:c>
      <x:c r="I162" s="23" t="n">
        <x:v>76.4</x:v>
      </x:c>
      <x:c r="J162" s="23" t="n">
        <x:f>G162-H162</x:f>
        <x:v>1.7800000000000011</x:v>
      </x:c>
      <x:c r="K162" t="str">
        <x:v>HINDCAST</x:v>
      </x:c>
      <x:c r="L162" s="24" t="n">
        <x:v>17.385</x:v>
      </x:c>
      <x:c r="M162" s="24" t="n">
        <x:v>78.4867</x:v>
      </x:c>
      <x:c r="N162" t="str">
        <x:f>IF(I162&gt;70,"70+ dB",IF(I162&gt;55,"56-70 dB","41-55 dB"))</x:f>
        <x:v>70+ dB</x:v>
      </x:c>
      <x:c r="O162" t="str">
        <x:f>IF(I162&gt;70,"High",IF(I162&gt;55,"Moderate","Low"))</x:f>
        <x:v>High</x:v>
      </x:c>
      <x:c r="P162" t="str">
        <x:f>IF(I162&gt;=70,"Yes","No")</x:f>
        <x:v>Yes</x:v>
      </x:c>
      <x:c r="Q162" t="str">
        <x:f>TEXT(B162,"yyyy-mm")</x:f>
        <x:v>2024-06</x:v>
      </x:c>
    </x:row>
    <x:row r="163">
      <x:c r="A163" t="str">
        <x:v>HYD01</x:v>
      </x:c>
      <x:c r="B163" s="22" t="n">
        <x:f>DATE(C163,D163,1)</x:f>
        <x:v>45474</x:v>
      </x:c>
      <x:c r="C163" t="n">
        <x:v>2024</x:v>
      </x:c>
      <x:c r="D163" t="n">
        <x:v>7</x:v>
      </x:c>
      <x:c r="E163" t="str">
        <x:f>TEXT(B163,"mmm")</x:f>
        <x:v>Jul</x:v>
      </x:c>
      <x:c r="F163" t="str">
        <x:f>"Q"&amp;ROUNDUP(D163/3,0)</x:f>
        <x:v>Q3</x:v>
      </x:c>
      <x:c r="G163" s="23" t="n">
        <x:v>77.9</x:v>
      </x:c>
      <x:c r="H163" s="23" t="n">
        <x:v>75.85</x:v>
      </x:c>
      <x:c r="I163" s="23" t="n">
        <x:v>76.9</x:v>
      </x:c>
      <x:c r="J163" s="23" t="n">
        <x:f>G163-H163</x:f>
        <x:v>2.0500000000000114</x:v>
      </x:c>
      <x:c r="K163" t="str">
        <x:v>HINDCAST</x:v>
      </x:c>
      <x:c r="L163" s="24" t="n">
        <x:v>17.385</x:v>
      </x:c>
      <x:c r="M163" s="24" t="n">
        <x:v>78.4867</x:v>
      </x:c>
      <x:c r="N163" t="str">
        <x:f>IF(I163&gt;70,"70+ dB",IF(I163&gt;55,"56-70 dB","41-55 dB"))</x:f>
        <x:v>70+ dB</x:v>
      </x:c>
      <x:c r="O163" t="str">
        <x:f>IF(I163&gt;70,"High",IF(I163&gt;55,"Moderate","Low"))</x:f>
        <x:v>High</x:v>
      </x:c>
      <x:c r="P163" t="str">
        <x:f>IF(I163&gt;=70,"Yes","No")</x:f>
        <x:v>Yes</x:v>
      </x:c>
      <x:c r="Q163" t="str">
        <x:f>TEXT(B163,"yyyy-mm")</x:f>
        <x:v>2024-07</x:v>
      </x:c>
    </x:row>
    <x:row r="164">
      <x:c r="A164" t="str">
        <x:v>HYD01</x:v>
      </x:c>
      <x:c r="B164" s="22" t="n">
        <x:f>DATE(C164,D164,1)</x:f>
        <x:v>45505</x:v>
      </x:c>
      <x:c r="C164" t="n">
        <x:v>2024</x:v>
      </x:c>
      <x:c r="D164" t="n">
        <x:v>8</x:v>
      </x:c>
      <x:c r="E164" t="str">
        <x:f>TEXT(B164,"mmm")</x:f>
        <x:v>Aug</x:v>
      </x:c>
      <x:c r="F164" t="str">
        <x:f>"Q"&amp;ROUNDUP(D164/3,0)</x:f>
        <x:v>Q3</x:v>
      </x:c>
      <x:c r="G164" s="23" t="n">
        <x:v>77.43</x:v>
      </x:c>
      <x:c r="H164" s="23" t="n">
        <x:v>74.41</x:v>
      </x:c>
      <x:c r="I164" s="23" t="n">
        <x:v>75.9</x:v>
      </x:c>
      <x:c r="J164" s="23" t="n">
        <x:f>G164-H164</x:f>
        <x:v>3.0200000000000102</x:v>
      </x:c>
      <x:c r="K164" t="str">
        <x:v>HINDCAST</x:v>
      </x:c>
      <x:c r="L164" s="24" t="n">
        <x:v>17.385</x:v>
      </x:c>
      <x:c r="M164" s="24" t="n">
        <x:v>78.4867</x:v>
      </x:c>
      <x:c r="N164" t="str">
        <x:f>IF(I164&gt;70,"70+ dB",IF(I164&gt;55,"56-70 dB","41-55 dB"))</x:f>
        <x:v>70+ dB</x:v>
      </x:c>
      <x:c r="O164" t="str">
        <x:f>IF(I164&gt;70,"High",IF(I164&gt;55,"Moderate","Low"))</x:f>
        <x:v>High</x:v>
      </x:c>
      <x:c r="P164" t="str">
        <x:f>IF(I164&gt;=70,"Yes","No")</x:f>
        <x:v>Yes</x:v>
      </x:c>
      <x:c r="Q164" t="str">
        <x:f>TEXT(B164,"yyyy-mm")</x:f>
        <x:v>2024-08</x:v>
      </x:c>
    </x:row>
    <x:row r="165">
      <x:c r="A165" t="str">
        <x:v>HYD01</x:v>
      </x:c>
      <x:c r="B165" s="22" t="n">
        <x:f>DATE(C165,D165,1)</x:f>
        <x:v>45536</x:v>
      </x:c>
      <x:c r="C165" t="n">
        <x:v>2024</x:v>
      </x:c>
      <x:c r="D165" t="n">
        <x:v>9</x:v>
      </x:c>
      <x:c r="E165" t="str">
        <x:f>TEXT(B165,"mmm")</x:f>
        <x:v>Sep</x:v>
      </x:c>
      <x:c r="F165" t="str">
        <x:f>"Q"&amp;ROUNDUP(D165/3,0)</x:f>
        <x:v>Q3</x:v>
      </x:c>
      <x:c r="G165" s="23" t="n">
        <x:v>76.73</x:v>
      </x:c>
      <x:c r="H165" s="23" t="n">
        <x:v>73.55</x:v>
      </x:c>
      <x:c r="I165" s="23" t="n">
        <x:v>75.1</x:v>
      </x:c>
      <x:c r="J165" s="23" t="n">
        <x:f>G165-H165</x:f>
        <x:v>3.180000000000007</x:v>
      </x:c>
      <x:c r="K165" t="str">
        <x:v>HINDCAST</x:v>
      </x:c>
      <x:c r="L165" s="24" t="n">
        <x:v>17.385</x:v>
      </x:c>
      <x:c r="M165" s="24" t="n">
        <x:v>78.4867</x:v>
      </x:c>
      <x:c r="N165" t="str">
        <x:f>IF(I165&gt;70,"70+ dB",IF(I165&gt;55,"56-70 dB","41-55 dB"))</x:f>
        <x:v>70+ dB</x:v>
      </x:c>
      <x:c r="O165" t="str">
        <x:f>IF(I165&gt;70,"High",IF(I165&gt;55,"Moderate","Low"))</x:f>
        <x:v>High</x:v>
      </x:c>
      <x:c r="P165" t="str">
        <x:f>IF(I165&gt;=70,"Yes","No")</x:f>
        <x:v>Yes</x:v>
      </x:c>
      <x:c r="Q165" t="str">
        <x:f>TEXT(B165,"yyyy-mm")</x:f>
        <x:v>2024-09</x:v>
      </x:c>
    </x:row>
    <x:row r="166">
      <x:c r="A166" t="str">
        <x:v>HYD01</x:v>
      </x:c>
      <x:c r="B166" s="22" t="n">
        <x:f>DATE(C166,D166,1)</x:f>
        <x:v>45566</x:v>
      </x:c>
      <x:c r="C166" t="n">
        <x:v>2024</x:v>
      </x:c>
      <x:c r="D166" t="n">
        <x:v>10</x:v>
      </x:c>
      <x:c r="E166" t="str">
        <x:f>TEXT(B166,"mmm")</x:f>
        <x:v>Oct</x:v>
      </x:c>
      <x:c r="F166" t="str">
        <x:f>"Q"&amp;ROUNDUP(D166/3,0)</x:f>
        <x:v>Q4</x:v>
      </x:c>
      <x:c r="G166" s="23" t="n">
        <x:v>76.58</x:v>
      </x:c>
      <x:c r="H166" s="23" t="n">
        <x:v>72.69</x:v>
      </x:c>
      <x:c r="I166" s="23" t="n">
        <x:v>74.6</x:v>
      </x:c>
      <x:c r="J166" s="23" t="n">
        <x:f>G166-H166</x:f>
        <x:v>3.8900000000000006</x:v>
      </x:c>
      <x:c r="K166" t="str">
        <x:v>HINDCAST</x:v>
      </x:c>
      <x:c r="L166" s="24" t="n">
        <x:v>17.385</x:v>
      </x:c>
      <x:c r="M166" s="24" t="n">
        <x:v>78.4867</x:v>
      </x:c>
      <x:c r="N166" t="str">
        <x:f>IF(I166&gt;70,"70+ dB",IF(I166&gt;55,"56-70 dB","41-55 dB"))</x:f>
        <x:v>70+ dB</x:v>
      </x:c>
      <x:c r="O166" t="str">
        <x:f>IF(I166&gt;70,"High",IF(I166&gt;55,"Moderate","Low"))</x:f>
        <x:v>High</x:v>
      </x:c>
      <x:c r="P166" t="str">
        <x:f>IF(I166&gt;=70,"Yes","No")</x:f>
        <x:v>Yes</x:v>
      </x:c>
      <x:c r="Q166" t="str">
        <x:f>TEXT(B166,"yyyy-mm")</x:f>
        <x:v>2024-10</x:v>
      </x:c>
    </x:row>
    <x:row r="167">
      <x:c r="A167" t="str">
        <x:v>HYD01</x:v>
      </x:c>
      <x:c r="B167" s="22" t="n">
        <x:f>DATE(C167,D167,1)</x:f>
        <x:v>45597</x:v>
      </x:c>
      <x:c r="C167" t="n">
        <x:v>2024</x:v>
      </x:c>
      <x:c r="D167" t="n">
        <x:v>11</x:v>
      </x:c>
      <x:c r="E167" t="str">
        <x:f>TEXT(B167,"mmm")</x:f>
        <x:v>Nov</x:v>
      </x:c>
      <x:c r="F167" t="str">
        <x:f>"Q"&amp;ROUNDUP(D167/3,0)</x:f>
        <x:v>Q4</x:v>
      </x:c>
      <x:c r="G167" s="23" t="n">
        <x:v>76.46</x:v>
      </x:c>
      <x:c r="H167" s="23" t="n">
        <x:v>71.55</x:v>
      </x:c>
      <x:c r="I167" s="23" t="n">
        <x:v>74</x:v>
      </x:c>
      <x:c r="J167" s="23" t="n">
        <x:f>G167-H167</x:f>
        <x:v>4.909999999999997</x:v>
      </x:c>
      <x:c r="K167" t="str">
        <x:v>HINDCAST</x:v>
      </x:c>
      <x:c r="L167" s="24" t="n">
        <x:v>17.385</x:v>
      </x:c>
      <x:c r="M167" s="24" t="n">
        <x:v>78.4867</x:v>
      </x:c>
      <x:c r="N167" t="str">
        <x:f>IF(I167&gt;70,"70+ dB",IF(I167&gt;55,"56-70 dB","41-55 dB"))</x:f>
        <x:v>70+ dB</x:v>
      </x:c>
      <x:c r="O167" t="str">
        <x:f>IF(I167&gt;70,"High",IF(I167&gt;55,"Moderate","Low"))</x:f>
        <x:v>High</x:v>
      </x:c>
      <x:c r="P167" t="str">
        <x:f>IF(I167&gt;=70,"Yes","No")</x:f>
        <x:v>Yes</x:v>
      </x:c>
      <x:c r="Q167" t="str">
        <x:f>TEXT(B167,"yyyy-mm")</x:f>
        <x:v>2024-11</x:v>
      </x:c>
    </x:row>
    <x:row r="168">
      <x:c r="A168" t="str">
        <x:v>HYD01</x:v>
      </x:c>
      <x:c r="B168" s="22" t="n">
        <x:f>DATE(C168,D168,1)</x:f>
        <x:v>45627</x:v>
      </x:c>
      <x:c r="C168" t="n">
        <x:v>2024</x:v>
      </x:c>
      <x:c r="D168" t="n">
        <x:v>12</x:v>
      </x:c>
      <x:c r="E168" t="str">
        <x:f>TEXT(B168,"mmm")</x:f>
        <x:v>Dec</x:v>
      </x:c>
      <x:c r="F168" t="str">
        <x:f>"Q"&amp;ROUNDUP(D168/3,0)</x:f>
        <x:v>Q4</x:v>
      </x:c>
      <x:c r="G168" s="23" t="n">
        <x:v>76.15</x:v>
      </x:c>
      <x:c r="H168" s="23" t="n">
        <x:v>71.41</x:v>
      </x:c>
      <x:c r="I168" s="23" t="n">
        <x:v>73.8</x:v>
      </x:c>
      <x:c r="J168" s="23" t="n">
        <x:f>G168-H168</x:f>
        <x:v>4.740000000000009</x:v>
      </x:c>
      <x:c r="K168" t="str">
        <x:v>HINDCAST</x:v>
      </x:c>
      <x:c r="L168" s="24" t="n">
        <x:v>17.385</x:v>
      </x:c>
      <x:c r="M168" s="24" t="n">
        <x:v>78.4867</x:v>
      </x:c>
      <x:c r="N168" t="str">
        <x:f>IF(I168&gt;70,"70+ dB",IF(I168&gt;55,"56-70 dB","41-55 dB"))</x:f>
        <x:v>70+ dB</x:v>
      </x:c>
      <x:c r="O168" t="str">
        <x:f>IF(I168&gt;70,"High",IF(I168&gt;55,"Moderate","Low"))</x:f>
        <x:v>High</x:v>
      </x:c>
      <x:c r="P168" t="str">
        <x:f>IF(I168&gt;=70,"Yes","No")</x:f>
        <x:v>Yes</x:v>
      </x:c>
      <x:c r="Q168" t="str">
        <x:f>TEXT(B168,"yyyy-mm")</x:f>
        <x:v>2024-12</x:v>
      </x:c>
    </x:row>
    <x:row r="169">
      <x:c r="A169" t="str">
        <x:v>HYD01</x:v>
      </x:c>
      <x:c r="B169" s="22" t="n">
        <x:f>DATE(C169,D169,1)</x:f>
        <x:v>45658</x:v>
      </x:c>
      <x:c r="C169" t="n">
        <x:v>2025</x:v>
      </x:c>
      <x:c r="D169" t="n">
        <x:v>1</x:v>
      </x:c>
      <x:c r="E169" t="str">
        <x:f>TEXT(B169,"mmm")</x:f>
        <x:v>Jan</x:v>
      </x:c>
      <x:c r="F169" t="str">
        <x:f>"Q"&amp;ROUNDUP(D169/3,0)</x:f>
        <x:v>Q1</x:v>
      </x:c>
      <x:c r="G169" s="23" t="n">
        <x:v>76.83</x:v>
      </x:c>
      <x:c r="H169" s="23" t="n">
        <x:v>72.39</x:v>
      </x:c>
      <x:c r="I169" s="23" t="n">
        <x:v>74.6</x:v>
      </x:c>
      <x:c r="J169" s="23" t="n">
        <x:f>G169-H169</x:f>
        <x:v>4.439999999999998</x:v>
      </x:c>
      <x:c r="K169" t="str">
        <x:v>HINDCAST</x:v>
      </x:c>
      <x:c r="L169" s="24" t="n">
        <x:v>17.385</x:v>
      </x:c>
      <x:c r="M169" s="24" t="n">
        <x:v>78.4867</x:v>
      </x:c>
      <x:c r="N169" t="str">
        <x:f>IF(I169&gt;70,"70+ dB",IF(I169&gt;55,"56-70 dB","41-55 dB"))</x:f>
        <x:v>70+ dB</x:v>
      </x:c>
      <x:c r="O169" t="str">
        <x:f>IF(I169&gt;70,"High",IF(I169&gt;55,"Moderate","Low"))</x:f>
        <x:v>High</x:v>
      </x:c>
      <x:c r="P169" t="str">
        <x:f>IF(I169&gt;=70,"Yes","No")</x:f>
        <x:v>Yes</x:v>
      </x:c>
      <x:c r="Q169" t="str">
        <x:f>TEXT(B169,"yyyy-mm")</x:f>
        <x:v>2025-01</x:v>
      </x:c>
    </x:row>
    <x:row r="170">
      <x:c r="A170" t="str">
        <x:v>HYD01</x:v>
      </x:c>
      <x:c r="B170" s="22" t="n">
        <x:f>DATE(C170,D170,1)</x:f>
        <x:v>45689</x:v>
      </x:c>
      <x:c r="C170" t="n">
        <x:v>2025</x:v>
      </x:c>
      <x:c r="D170" t="n">
        <x:v>2</x:v>
      </x:c>
      <x:c r="E170" t="str">
        <x:f>TEXT(B170,"mmm")</x:f>
        <x:v>Feb</x:v>
      </x:c>
      <x:c r="F170" t="str">
        <x:f>"Q"&amp;ROUNDUP(D170/3,0)</x:f>
        <x:v>Q1</x:v>
      </x:c>
      <x:c r="G170" s="23" t="n">
        <x:v>76.48</x:v>
      </x:c>
      <x:c r="H170" s="23" t="n">
        <x:v>72.74</x:v>
      </x:c>
      <x:c r="I170" s="23" t="n">
        <x:v>74.6</x:v>
      </x:c>
      <x:c r="J170" s="23" t="n">
        <x:f>G170-H170</x:f>
        <x:v>3.740000000000009</x:v>
      </x:c>
      <x:c r="K170" t="str">
        <x:v>HINDCAST</x:v>
      </x:c>
      <x:c r="L170" s="24" t="n">
        <x:v>17.385</x:v>
      </x:c>
      <x:c r="M170" s="24" t="n">
        <x:v>78.4867</x:v>
      </x:c>
      <x:c r="N170" t="str">
        <x:f>IF(I170&gt;70,"70+ dB",IF(I170&gt;55,"56-70 dB","41-55 dB"))</x:f>
        <x:v>70+ dB</x:v>
      </x:c>
      <x:c r="O170" t="str">
        <x:f>IF(I170&gt;70,"High",IF(I170&gt;55,"Moderate","Low"))</x:f>
        <x:v>High</x:v>
      </x:c>
      <x:c r="P170" t="str">
        <x:f>IF(I170&gt;=70,"Yes","No")</x:f>
        <x:v>Yes</x:v>
      </x:c>
      <x:c r="Q170" t="str">
        <x:f>TEXT(B170,"yyyy-mm")</x:f>
        <x:v>2025-02</x:v>
      </x:c>
    </x:row>
    <x:row r="171">
      <x:c r="A171" t="str">
        <x:v>HYD01</x:v>
      </x:c>
      <x:c r="B171" s="22" t="n">
        <x:f>DATE(C171,D171,1)</x:f>
        <x:v>45717</x:v>
      </x:c>
      <x:c r="C171" t="n">
        <x:v>2025</x:v>
      </x:c>
      <x:c r="D171" t="n">
        <x:v>3</x:v>
      </x:c>
      <x:c r="E171" t="str">
        <x:f>TEXT(B171,"mmm")</x:f>
        <x:v>Mar</x:v>
      </x:c>
      <x:c r="F171" t="str">
        <x:f>"Q"&amp;ROUNDUP(D171/3,0)</x:f>
        <x:v>Q1</x:v>
      </x:c>
      <x:c r="G171" s="23" t="n">
        <x:v>76.41</x:v>
      </x:c>
      <x:c r="H171" s="23" t="n">
        <x:v>71.89</x:v>
      </x:c>
      <x:c r="I171" s="23" t="n">
        <x:v>74.2</x:v>
      </x:c>
      <x:c r="J171" s="23" t="n">
        <x:f>G171-H171</x:f>
        <x:v>4.519999999999996</x:v>
      </x:c>
      <x:c r="K171" t="str">
        <x:v>HINDCAST</x:v>
      </x:c>
      <x:c r="L171" s="24" t="n">
        <x:v>17.385</x:v>
      </x:c>
      <x:c r="M171" s="24" t="n">
        <x:v>78.4867</x:v>
      </x:c>
      <x:c r="N171" t="str">
        <x:f>IF(I171&gt;70,"70+ dB",IF(I171&gt;55,"56-70 dB","41-55 dB"))</x:f>
        <x:v>70+ dB</x:v>
      </x:c>
      <x:c r="O171" t="str">
        <x:f>IF(I171&gt;70,"High",IF(I171&gt;55,"Moderate","Low"))</x:f>
        <x:v>High</x:v>
      </x:c>
      <x:c r="P171" t="str">
        <x:f>IF(I171&gt;=70,"Yes","No")</x:f>
        <x:v>Yes</x:v>
      </x:c>
      <x:c r="Q171" t="str">
        <x:f>TEXT(B171,"yyyy-mm")</x:f>
        <x:v>2025-03</x:v>
      </x:c>
    </x:row>
    <x:row r="172">
      <x:c r="A172" t="str">
        <x:v>HYD01</x:v>
      </x:c>
      <x:c r="B172" s="22" t="n">
        <x:f>DATE(C172,D172,1)</x:f>
        <x:v>45748</x:v>
      </x:c>
      <x:c r="C172" t="n">
        <x:v>2025</x:v>
      </x:c>
      <x:c r="D172" t="n">
        <x:v>4</x:v>
      </x:c>
      <x:c r="E172" t="str">
        <x:f>TEXT(B172,"mmm")</x:f>
        <x:v>Apr</x:v>
      </x:c>
      <x:c r="F172" t="str">
        <x:f>"Q"&amp;ROUNDUP(D172/3,0)</x:f>
        <x:v>Q2</x:v>
      </x:c>
      <x:c r="G172" s="23" t="n">
        <x:v>76.36</x:v>
      </x:c>
      <x:c r="H172" s="23" t="n">
        <x:v>72.46</x:v>
      </x:c>
      <x:c r="I172" s="23" t="n">
        <x:v>74.4</x:v>
      </x:c>
      <x:c r="J172" s="23" t="n">
        <x:f>G172-H172</x:f>
        <x:v>3.9000000000000057</x:v>
      </x:c>
      <x:c r="K172" t="str">
        <x:v>HINDCAST</x:v>
      </x:c>
      <x:c r="L172" s="24" t="n">
        <x:v>17.385</x:v>
      </x:c>
      <x:c r="M172" s="24" t="n">
        <x:v>78.4867</x:v>
      </x:c>
      <x:c r="N172" t="str">
        <x:f>IF(I172&gt;70,"70+ dB",IF(I172&gt;55,"56-70 dB","41-55 dB"))</x:f>
        <x:v>70+ dB</x:v>
      </x:c>
      <x:c r="O172" t="str">
        <x:f>IF(I172&gt;70,"High",IF(I172&gt;55,"Moderate","Low"))</x:f>
        <x:v>High</x:v>
      </x:c>
      <x:c r="P172" t="str">
        <x:f>IF(I172&gt;=70,"Yes","No")</x:f>
        <x:v>Yes</x:v>
      </x:c>
      <x:c r="Q172" t="str">
        <x:f>TEXT(B172,"yyyy-mm")</x:f>
        <x:v>2025-04</x:v>
      </x:c>
    </x:row>
    <x:row r="173">
      <x:c r="A173" t="str">
        <x:v>HYD01</x:v>
      </x:c>
      <x:c r="B173" s="22" t="n">
        <x:f>DATE(C173,D173,1)</x:f>
        <x:v>45778</x:v>
      </x:c>
      <x:c r="C173" t="n">
        <x:v>2025</x:v>
      </x:c>
      <x:c r="D173" t="n">
        <x:v>5</x:v>
      </x:c>
      <x:c r="E173" t="str">
        <x:f>TEXT(B173,"mmm")</x:f>
        <x:v>May</x:v>
      </x:c>
      <x:c r="F173" t="str">
        <x:f>"Q"&amp;ROUNDUP(D173/3,0)</x:f>
        <x:v>Q2</x:v>
      </x:c>
      <x:c r="G173" s="23" t="n">
        <x:v>76.29</x:v>
      </x:c>
      <x:c r="H173" s="23" t="n">
        <x:v>73.16</x:v>
      </x:c>
      <x:c r="I173" s="23" t="n">
        <x:v>74.7</x:v>
      </x:c>
      <x:c r="J173" s="23" t="n">
        <x:f>G173-H173</x:f>
        <x:v>3.1300000000000097</x:v>
      </x:c>
      <x:c r="K173" t="str">
        <x:v>HINDCAST</x:v>
      </x:c>
      <x:c r="L173" s="24" t="n">
        <x:v>17.385</x:v>
      </x:c>
      <x:c r="M173" s="24" t="n">
        <x:v>78.4867</x:v>
      </x:c>
      <x:c r="N173" t="str">
        <x:f>IF(I173&gt;70,"70+ dB",IF(I173&gt;55,"56-70 dB","41-55 dB"))</x:f>
        <x:v>70+ dB</x:v>
      </x:c>
      <x:c r="O173" t="str">
        <x:f>IF(I173&gt;70,"High",IF(I173&gt;55,"Moderate","Low"))</x:f>
        <x:v>High</x:v>
      </x:c>
      <x:c r="P173" t="str">
        <x:f>IF(I173&gt;=70,"Yes","No")</x:f>
        <x:v>Yes</x:v>
      </x:c>
      <x:c r="Q173" t="str">
        <x:f>TEXT(B173,"yyyy-mm")</x:f>
        <x:v>2025-05</x:v>
      </x:c>
    </x:row>
    <x:row r="174">
      <x:c r="A174" t="str">
        <x:v>HYD01</x:v>
      </x:c>
      <x:c r="B174" s="22" t="n">
        <x:f>DATE(C174,D174,1)</x:f>
        <x:v>45809</x:v>
      </x:c>
      <x:c r="C174" t="n">
        <x:v>2025</x:v>
      </x:c>
      <x:c r="D174" t="n">
        <x:v>6</x:v>
      </x:c>
      <x:c r="E174" t="str">
        <x:f>TEXT(B174,"mmm")</x:f>
        <x:v>Jun</x:v>
      </x:c>
      <x:c r="F174" t="str">
        <x:f>"Q"&amp;ROUNDUP(D174/3,0)</x:f>
        <x:v>Q2</x:v>
      </x:c>
      <x:c r="G174" s="23" t="n">
        <x:v>77.62</x:v>
      </x:c>
      <x:c r="H174" s="23" t="n">
        <x:v>76.25</x:v>
      </x:c>
      <x:c r="I174" s="23" t="n">
        <x:v>76.9</x:v>
      </x:c>
      <x:c r="J174" s="23" t="n">
        <x:f>G174-H174</x:f>
        <x:v>1.3700000000000045</x:v>
      </x:c>
      <x:c r="K174" t="str">
        <x:v>HINDCAST</x:v>
      </x:c>
      <x:c r="L174" s="24" t="n">
        <x:v>17.385</x:v>
      </x:c>
      <x:c r="M174" s="24" t="n">
        <x:v>78.4867</x:v>
      </x:c>
      <x:c r="N174" t="str">
        <x:f>IF(I174&gt;70,"70+ dB",IF(I174&gt;55,"56-70 dB","41-55 dB"))</x:f>
        <x:v>70+ dB</x:v>
      </x:c>
      <x:c r="O174" t="str">
        <x:f>IF(I174&gt;70,"High",IF(I174&gt;55,"Moderate","Low"))</x:f>
        <x:v>High</x:v>
      </x:c>
      <x:c r="P174" t="str">
        <x:f>IF(I174&gt;=70,"Yes","No")</x:f>
        <x:v>Yes</x:v>
      </x:c>
      <x:c r="Q174" t="str">
        <x:f>TEXT(B174,"yyyy-mm")</x:f>
        <x:v>2025-06</x:v>
      </x:c>
    </x:row>
    <x:row r="175">
      <x:c r="A175" t="str">
        <x:v>HYD01</x:v>
      </x:c>
      <x:c r="B175" s="22" t="n">
        <x:f>DATE(C175,D175,1)</x:f>
        <x:v>45839</x:v>
      </x:c>
      <x:c r="C175" t="n">
        <x:v>2025</x:v>
      </x:c>
      <x:c r="D175" t="n">
        <x:v>7</x:v>
      </x:c>
      <x:c r="E175" t="str">
        <x:f>TEXT(B175,"mmm")</x:f>
        <x:v>Jul</x:v>
      </x:c>
      <x:c r="F175" t="str">
        <x:f>"Q"&amp;ROUNDUP(D175/3,0)</x:f>
        <x:v>Q3</x:v>
      </x:c>
      <x:c r="G175" s="23" t="n">
        <x:v>78.26</x:v>
      </x:c>
      <x:c r="H175" s="23" t="n">
        <x:v>76.62</x:v>
      </x:c>
      <x:c r="I175" s="23" t="n">
        <x:v>77.4</x:v>
      </x:c>
      <x:c r="J175" s="23" t="n">
        <x:f>G175-H175</x:f>
        <x:v>1.6400000000000006</x:v>
      </x:c>
      <x:c r="K175" t="str">
        <x:v>HINDCAST</x:v>
      </x:c>
      <x:c r="L175" s="24" t="n">
        <x:v>17.385</x:v>
      </x:c>
      <x:c r="M175" s="24" t="n">
        <x:v>78.4867</x:v>
      </x:c>
      <x:c r="N175" t="str">
        <x:f>IF(I175&gt;70,"70+ dB",IF(I175&gt;55,"56-70 dB","41-55 dB"))</x:f>
        <x:v>70+ dB</x:v>
      </x:c>
      <x:c r="O175" t="str">
        <x:f>IF(I175&gt;70,"High",IF(I175&gt;55,"Moderate","Low"))</x:f>
        <x:v>High</x:v>
      </x:c>
      <x:c r="P175" t="str">
        <x:f>IF(I175&gt;=70,"Yes","No")</x:f>
        <x:v>Yes</x:v>
      </x:c>
      <x:c r="Q175" t="str">
        <x:f>TEXT(B175,"yyyy-mm")</x:f>
        <x:v>2025-07</x:v>
      </x:c>
    </x:row>
    <x:row r="176">
      <x:c r="A176" t="str">
        <x:v>HYD01</x:v>
      </x:c>
      <x:c r="B176" s="22" t="n">
        <x:f>DATE(C176,D176,1)</x:f>
        <x:v>45870</x:v>
      </x:c>
      <x:c r="C176" t="n">
        <x:v>2025</x:v>
      </x:c>
      <x:c r="D176" t="n">
        <x:v>8</x:v>
      </x:c>
      <x:c r="E176" t="str">
        <x:f>TEXT(B176,"mmm")</x:f>
        <x:v>Aug</x:v>
      </x:c>
      <x:c r="F176" t="str">
        <x:f>"Q"&amp;ROUNDUP(D176/3,0)</x:f>
        <x:v>Q3</x:v>
      </x:c>
      <x:c r="G176" s="23" t="n">
        <x:v>77.79</x:v>
      </x:c>
      <x:c r="H176" s="23" t="n">
        <x:v>75.17</x:v>
      </x:c>
      <x:c r="I176" s="23" t="n">
        <x:v>76.5</x:v>
      </x:c>
      <x:c r="J176" s="23" t="n">
        <x:f>G176-H176</x:f>
        <x:v>2.6200000000000045</x:v>
      </x:c>
      <x:c r="K176" t="str">
        <x:v>HINDCAST</x:v>
      </x:c>
      <x:c r="L176" s="24" t="n">
        <x:v>17.385</x:v>
      </x:c>
      <x:c r="M176" s="24" t="n">
        <x:v>78.4867</x:v>
      </x:c>
      <x:c r="N176" t="str">
        <x:f>IF(I176&gt;70,"70+ dB",IF(I176&gt;55,"56-70 dB","41-55 dB"))</x:f>
        <x:v>70+ dB</x:v>
      </x:c>
      <x:c r="O176" t="str">
        <x:f>IF(I176&gt;70,"High",IF(I176&gt;55,"Moderate","Low"))</x:f>
        <x:v>High</x:v>
      </x:c>
      <x:c r="P176" t="str">
        <x:f>IF(I176&gt;=70,"Yes","No")</x:f>
        <x:v>Yes</x:v>
      </x:c>
      <x:c r="Q176" t="str">
        <x:f>TEXT(B176,"yyyy-mm")</x:f>
        <x:v>2025-08</x:v>
      </x:c>
    </x:row>
    <x:row r="177">
      <x:c r="A177" t="str">
        <x:v>HYD01</x:v>
      </x:c>
      <x:c r="B177" s="22" t="n">
        <x:f>DATE(C177,D177,1)</x:f>
        <x:v>45901</x:v>
      </x:c>
      <x:c r="C177" t="n">
        <x:v>2025</x:v>
      </x:c>
      <x:c r="D177" t="n">
        <x:v>9</x:v>
      </x:c>
      <x:c r="E177" t="str">
        <x:f>TEXT(B177,"mmm")</x:f>
        <x:v>Sep</x:v>
      </x:c>
      <x:c r="F177" t="str">
        <x:f>"Q"&amp;ROUNDUP(D177/3,0)</x:f>
        <x:v>Q3</x:v>
      </x:c>
      <x:c r="G177" s="23" t="n">
        <x:v>77.09</x:v>
      </x:c>
      <x:c r="H177" s="23" t="n">
        <x:v>74.31</x:v>
      </x:c>
      <x:c r="I177" s="23" t="n">
        <x:v>75.7</x:v>
      </x:c>
      <x:c r="J177" s="23" t="n">
        <x:f>G177-H177</x:f>
        <x:v>2.780000000000001</x:v>
      </x:c>
      <x:c r="K177" t="str">
        <x:v>HINDCAST</x:v>
      </x:c>
      <x:c r="L177" s="24" t="n">
        <x:v>17.385</x:v>
      </x:c>
      <x:c r="M177" s="24" t="n">
        <x:v>78.4867</x:v>
      </x:c>
      <x:c r="N177" t="str">
        <x:f>IF(I177&gt;70,"70+ dB",IF(I177&gt;55,"56-70 dB","41-55 dB"))</x:f>
        <x:v>70+ dB</x:v>
      </x:c>
      <x:c r="O177" t="str">
        <x:f>IF(I177&gt;70,"High",IF(I177&gt;55,"Moderate","Low"))</x:f>
        <x:v>High</x:v>
      </x:c>
      <x:c r="P177" t="str">
        <x:f>IF(I177&gt;=70,"Yes","No")</x:f>
        <x:v>Yes</x:v>
      </x:c>
      <x:c r="Q177" t="str">
        <x:f>TEXT(B177,"yyyy-mm")</x:f>
        <x:v>2025-09</x:v>
      </x:c>
    </x:row>
    <x:row r="178">
      <x:c r="A178" t="str">
        <x:v>HYD01</x:v>
      </x:c>
      <x:c r="B178" s="22" t="n">
        <x:f>DATE(C178,D178,1)</x:f>
        <x:v>45931</x:v>
      </x:c>
      <x:c r="C178" t="n">
        <x:v>2025</x:v>
      </x:c>
      <x:c r="D178" t="n">
        <x:v>10</x:v>
      </x:c>
      <x:c r="E178" t="str">
        <x:f>TEXT(B178,"mmm")</x:f>
        <x:v>Oct</x:v>
      </x:c>
      <x:c r="F178" t="str">
        <x:f>"Q"&amp;ROUNDUP(D178/3,0)</x:f>
        <x:v>Q4</x:v>
      </x:c>
      <x:c r="G178" s="23" t="n">
        <x:v>76.94</x:v>
      </x:c>
      <x:c r="H178" s="23" t="n">
        <x:v>73.46</x:v>
      </x:c>
      <x:c r="I178" s="23" t="n">
        <x:v>75.2</x:v>
      </x:c>
      <x:c r="J178" s="23" t="n">
        <x:f>G178-H178</x:f>
        <x:v>3.480000000000004</x:v>
      </x:c>
      <x:c r="K178" t="str">
        <x:v>HINDCAST</x:v>
      </x:c>
      <x:c r="L178" s="24" t="n">
        <x:v>17.385</x:v>
      </x:c>
      <x:c r="M178" s="24" t="n">
        <x:v>78.4867</x:v>
      </x:c>
      <x:c r="N178" t="str">
        <x:f>IF(I178&gt;70,"70+ dB",IF(I178&gt;55,"56-70 dB","41-55 dB"))</x:f>
        <x:v>70+ dB</x:v>
      </x:c>
      <x:c r="O178" t="str">
        <x:f>IF(I178&gt;70,"High",IF(I178&gt;55,"Moderate","Low"))</x:f>
        <x:v>High</x:v>
      </x:c>
      <x:c r="P178" t="str">
        <x:f>IF(I178&gt;=70,"Yes","No")</x:f>
        <x:v>Yes</x:v>
      </x:c>
      <x:c r="Q178" t="str">
        <x:f>TEXT(B178,"yyyy-mm")</x:f>
        <x:v>2025-10</x:v>
      </x:c>
    </x:row>
    <x:row r="179">
      <x:c r="A179" t="str">
        <x:v>HYD01</x:v>
      </x:c>
      <x:c r="B179" s="22" t="n">
        <x:f>DATE(C179,D179,1)</x:f>
        <x:v>45962</x:v>
      </x:c>
      <x:c r="C179" t="n">
        <x:v>2025</x:v>
      </x:c>
      <x:c r="D179" t="n">
        <x:v>11</x:v>
      </x:c>
      <x:c r="E179" t="str">
        <x:f>TEXT(B179,"mmm")</x:f>
        <x:v>Nov</x:v>
      </x:c>
      <x:c r="F179" t="str">
        <x:f>"Q"&amp;ROUNDUP(D179/3,0)</x:f>
        <x:v>Q4</x:v>
      </x:c>
      <x:c r="G179" s="23" t="n">
        <x:v>76.82</x:v>
      </x:c>
      <x:c r="H179" s="23" t="n">
        <x:v>72.31</x:v>
      </x:c>
      <x:c r="I179" s="23" t="n">
        <x:v>74.6</x:v>
      </x:c>
      <x:c r="J179" s="23" t="n">
        <x:f>G179-H179</x:f>
        <x:v>4.509999999999991</x:v>
      </x:c>
      <x:c r="K179" t="str">
        <x:v>HINDCAST</x:v>
      </x:c>
      <x:c r="L179" s="24" t="n">
        <x:v>17.385</x:v>
      </x:c>
      <x:c r="M179" s="24" t="n">
        <x:v>78.4867</x:v>
      </x:c>
      <x:c r="N179" t="str">
        <x:f>IF(I179&gt;70,"70+ dB",IF(I179&gt;55,"56-70 dB","41-55 dB"))</x:f>
        <x:v>70+ dB</x:v>
      </x:c>
      <x:c r="O179" t="str">
        <x:f>IF(I179&gt;70,"High",IF(I179&gt;55,"Moderate","Low"))</x:f>
        <x:v>High</x:v>
      </x:c>
      <x:c r="P179" t="str">
        <x:f>IF(I179&gt;=70,"Yes","No")</x:f>
        <x:v>Yes</x:v>
      </x:c>
      <x:c r="Q179" t="str">
        <x:f>TEXT(B179,"yyyy-mm")</x:f>
        <x:v>2025-11</x:v>
      </x:c>
    </x:row>
    <x:row r="180">
      <x:c r="A180" t="str">
        <x:v>HYD01</x:v>
      </x:c>
      <x:c r="B180" s="22" t="n">
        <x:f>DATE(C180,D180,1)</x:f>
        <x:v>45992</x:v>
      </x:c>
      <x:c r="C180" t="n">
        <x:v>2025</x:v>
      </x:c>
      <x:c r="D180" t="n">
        <x:v>12</x:v>
      </x:c>
      <x:c r="E180" t="str">
        <x:f>TEXT(B180,"mmm")</x:f>
        <x:v>Dec</x:v>
      </x:c>
      <x:c r="F180" t="str">
        <x:f>"Q"&amp;ROUNDUP(D180/3,0)</x:f>
        <x:v>Q4</x:v>
      </x:c>
      <x:c r="G180" s="23" t="n">
        <x:v>76.51</x:v>
      </x:c>
      <x:c r="H180" s="23" t="n">
        <x:v>72.17</x:v>
      </x:c>
      <x:c r="I180" s="23" t="n">
        <x:v>74.3</x:v>
      </x:c>
      <x:c r="J180" s="23" t="n">
        <x:f>G180-H180</x:f>
        <x:v>4.340000000000003</x:v>
      </x:c>
      <x:c r="K180" t="str">
        <x:v>HINDCAST</x:v>
      </x:c>
      <x:c r="L180" s="24" t="n">
        <x:v>17.385</x:v>
      </x:c>
      <x:c r="M180" s="24" t="n">
        <x:v>78.4867</x:v>
      </x:c>
      <x:c r="N180" t="str">
        <x:f>IF(I180&gt;70,"70+ dB",IF(I180&gt;55,"56-70 dB","41-55 dB"))</x:f>
        <x:v>70+ dB</x:v>
      </x:c>
      <x:c r="O180" t="str">
        <x:f>IF(I180&gt;70,"High",IF(I180&gt;55,"Moderate","Low"))</x:f>
        <x:v>High</x:v>
      </x:c>
      <x:c r="P180" t="str">
        <x:f>IF(I180&gt;=70,"Yes","No")</x:f>
        <x:v>Yes</x:v>
      </x:c>
      <x:c r="Q180" t="str">
        <x:f>TEXT(B180,"yyyy-mm")</x:f>
        <x:v>2025-12</x:v>
      </x:c>
    </x:row>
    <x:row r="181">
      <x:c r="A181" t="str">
        <x:v>HYD02</x:v>
      </x:c>
      <x:c r="B181" s="22" t="n">
        <x:f>DATE(C181,D181,1)</x:f>
        <x:v>40575</x:v>
      </x:c>
      <x:c r="C181" t="n">
        <x:v>2011</x:v>
      </x:c>
      <x:c r="D181" t="n">
        <x:v>2</x:v>
      </x:c>
      <x:c r="E181" t="str">
        <x:f>TEXT(B181,"mmm")</x:f>
        <x:v>Feb</x:v>
      </x:c>
      <x:c r="F181" t="str">
        <x:f>"Q"&amp;ROUNDUP(D181/3,0)</x:f>
        <x:v>Q1</x:v>
      </x:c>
      <x:c r="G181" s="23" t="n">
        <x:v>63</x:v>
      </x:c>
      <x:c r="H181" s="23" t="n">
        <x:v>57</x:v>
      </x:c>
      <x:c r="I181" s="23" t="n">
        <x:v>60</x:v>
      </x:c>
      <x:c r="J181" s="23" t="n">
        <x:f>G181-H181</x:f>
        <x:v>6</x:v>
      </x:c>
      <x:c r="K181" t="str">
        <x:v>OBSERVED</x:v>
      </x:c>
      <x:c r="L181" s="24" t="n">
        <x:v>17.4065</x:v>
      </x:c>
      <x:c r="M181" s="24" t="n">
        <x:v>78.4772</x:v>
      </x:c>
      <x:c r="N181" t="str">
        <x:f>IF(I181&gt;70,"70+ dB",IF(I181&gt;55,"56-70 dB","41-55 dB"))</x:f>
        <x:v>56-70 dB</x:v>
      </x:c>
      <x:c r="O181" t="str">
        <x:f>IF(I181&gt;70,"High",IF(I181&gt;55,"Moderate","Low"))</x:f>
        <x:v>Moderate</x:v>
      </x:c>
      <x:c r="P181" t="str">
        <x:f>IF(I181&gt;=70,"Yes","No")</x:f>
        <x:v>No</x:v>
      </x:c>
      <x:c r="Q181" t="str">
        <x:f>TEXT(B181,"yyyy-mm")</x:f>
        <x:v>2011-02</x:v>
      </x:c>
    </x:row>
    <x:row r="182">
      <x:c r="A182" t="str">
        <x:v>HYD02</x:v>
      </x:c>
      <x:c r="B182" s="22" t="n">
        <x:f>DATE(C182,D182,1)</x:f>
        <x:v>40603</x:v>
      </x:c>
      <x:c r="C182" t="n">
        <x:v>2011</x:v>
      </x:c>
      <x:c r="D182" t="n">
        <x:v>3</x:v>
      </x:c>
      <x:c r="E182" t="str">
        <x:f>TEXT(B182,"mmm")</x:f>
        <x:v>Mar</x:v>
      </x:c>
      <x:c r="F182" t="str">
        <x:f>"Q"&amp;ROUNDUP(D182/3,0)</x:f>
        <x:v>Q1</x:v>
      </x:c>
      <x:c r="G182" s="23" t="n">
        <x:v>62</x:v>
      </x:c>
      <x:c r="H182" s="23" t="n">
        <x:v>56</x:v>
      </x:c>
      <x:c r="I182" s="23" t="n">
        <x:v>59</x:v>
      </x:c>
      <x:c r="J182" s="23" t="n">
        <x:f>G182-H182</x:f>
        <x:v>6</x:v>
      </x:c>
      <x:c r="K182" t="str">
        <x:v>OBSERVED</x:v>
      </x:c>
      <x:c r="L182" s="24" t="n">
        <x:v>17.4065</x:v>
      </x:c>
      <x:c r="M182" s="24" t="n">
        <x:v>78.4772</x:v>
      </x:c>
      <x:c r="N182" t="str">
        <x:f>IF(I182&gt;70,"70+ dB",IF(I182&gt;55,"56-70 dB","41-55 dB"))</x:f>
        <x:v>56-70 dB</x:v>
      </x:c>
      <x:c r="O182" t="str">
        <x:f>IF(I182&gt;70,"High",IF(I182&gt;55,"Moderate","Low"))</x:f>
        <x:v>Moderate</x:v>
      </x:c>
      <x:c r="P182" t="str">
        <x:f>IF(I182&gt;=70,"Yes","No")</x:f>
        <x:v>No</x:v>
      </x:c>
      <x:c r="Q182" t="str">
        <x:f>TEXT(B182,"yyyy-mm")</x:f>
        <x:v>2011-03</x:v>
      </x:c>
    </x:row>
    <x:row r="183">
      <x:c r="A183" t="str">
        <x:v>HYD02</x:v>
      </x:c>
      <x:c r="B183" s="22" t="n">
        <x:f>DATE(C183,D183,1)</x:f>
        <x:v>40634</x:v>
      </x:c>
      <x:c r="C183" t="n">
        <x:v>2011</x:v>
      </x:c>
      <x:c r="D183" t="n">
        <x:v>4</x:v>
      </x:c>
      <x:c r="E183" t="str">
        <x:f>TEXT(B183,"mmm")</x:f>
        <x:v>Apr</x:v>
      </x:c>
      <x:c r="F183" t="str">
        <x:f>"Q"&amp;ROUNDUP(D183/3,0)</x:f>
        <x:v>Q2</x:v>
      </x:c>
      <x:c r="G183" s="23" t="n">
        <x:v>62</x:v>
      </x:c>
      <x:c r="H183" s="23" t="n">
        <x:v>57</x:v>
      </x:c>
      <x:c r="I183" s="23" t="n">
        <x:v>59.5</x:v>
      </x:c>
      <x:c r="J183" s="23" t="n">
        <x:f>G183-H183</x:f>
        <x:v>5</x:v>
      </x:c>
      <x:c r="K183" t="str">
        <x:v>OBSERVED</x:v>
      </x:c>
      <x:c r="L183" s="24" t="n">
        <x:v>17.4065</x:v>
      </x:c>
      <x:c r="M183" s="24" t="n">
        <x:v>78.4772</x:v>
      </x:c>
      <x:c r="N183" t="str">
        <x:f>IF(I183&gt;70,"70+ dB",IF(I183&gt;55,"56-70 dB","41-55 dB"))</x:f>
        <x:v>56-70 dB</x:v>
      </x:c>
      <x:c r="O183" t="str">
        <x:f>IF(I183&gt;70,"High",IF(I183&gt;55,"Moderate","Low"))</x:f>
        <x:v>Moderate</x:v>
      </x:c>
      <x:c r="P183" t="str">
        <x:f>IF(I183&gt;=70,"Yes","No")</x:f>
        <x:v>No</x:v>
      </x:c>
      <x:c r="Q183" t="str">
        <x:f>TEXT(B183,"yyyy-mm")</x:f>
        <x:v>2011-04</x:v>
      </x:c>
    </x:row>
    <x:row r="184">
      <x:c r="A184" t="str">
        <x:v>HYD02</x:v>
      </x:c>
      <x:c r="B184" s="22" t="n">
        <x:f>DATE(C184,D184,1)</x:f>
        <x:v>40664</x:v>
      </x:c>
      <x:c r="C184" t="n">
        <x:v>2011</x:v>
      </x:c>
      <x:c r="D184" t="n">
        <x:v>5</x:v>
      </x:c>
      <x:c r="E184" t="str">
        <x:f>TEXT(B184,"mmm")</x:f>
        <x:v>May</x:v>
      </x:c>
      <x:c r="F184" t="str">
        <x:f>"Q"&amp;ROUNDUP(D184/3,0)</x:f>
        <x:v>Q2</x:v>
      </x:c>
      <x:c r="G184" s="23" t="n">
        <x:v>62</x:v>
      </x:c>
      <x:c r="H184" s="23" t="n">
        <x:v>56</x:v>
      </x:c>
      <x:c r="I184" s="23" t="n">
        <x:v>59</x:v>
      </x:c>
      <x:c r="J184" s="23" t="n">
        <x:f>G184-H184</x:f>
        <x:v>6</x:v>
      </x:c>
      <x:c r="K184" t="str">
        <x:v>OBSERVED</x:v>
      </x:c>
      <x:c r="L184" s="24" t="n">
        <x:v>17.4065</x:v>
      </x:c>
      <x:c r="M184" s="24" t="n">
        <x:v>78.4772</x:v>
      </x:c>
      <x:c r="N184" t="str">
        <x:f>IF(I184&gt;70,"70+ dB",IF(I184&gt;55,"56-70 dB","41-55 dB"))</x:f>
        <x:v>56-70 dB</x:v>
      </x:c>
      <x:c r="O184" t="str">
        <x:f>IF(I184&gt;70,"High",IF(I184&gt;55,"Moderate","Low"))</x:f>
        <x:v>Moderate</x:v>
      </x:c>
      <x:c r="P184" t="str">
        <x:f>IF(I184&gt;=70,"Yes","No")</x:f>
        <x:v>No</x:v>
      </x:c>
      <x:c r="Q184" t="str">
        <x:f>TEXT(B184,"yyyy-mm")</x:f>
        <x:v>2011-05</x:v>
      </x:c>
    </x:row>
    <x:row r="185">
      <x:c r="A185" t="str">
        <x:v>HYD02</x:v>
      </x:c>
      <x:c r="B185" s="22" t="n">
        <x:f>DATE(C185,D185,1)</x:f>
        <x:v>40695</x:v>
      </x:c>
      <x:c r="C185" t="n">
        <x:v>2011</x:v>
      </x:c>
      <x:c r="D185" t="n">
        <x:v>6</x:v>
      </x:c>
      <x:c r="E185" t="str">
        <x:f>TEXT(B185,"mmm")</x:f>
        <x:v>Jun</x:v>
      </x:c>
      <x:c r="F185" t="str">
        <x:f>"Q"&amp;ROUNDUP(D185/3,0)</x:f>
        <x:v>Q2</x:v>
      </x:c>
      <x:c r="G185" s="23" t="n">
        <x:v>62</x:v>
      </x:c>
      <x:c r="H185" s="23" t="n">
        <x:v>55</x:v>
      </x:c>
      <x:c r="I185" s="23" t="n">
        <x:v>58.5</x:v>
      </x:c>
      <x:c r="J185" s="23" t="n">
        <x:f>G185-H185</x:f>
        <x:v>7</x:v>
      </x:c>
      <x:c r="K185" t="str">
        <x:v>OBSERVED</x:v>
      </x:c>
      <x:c r="L185" s="24" t="n">
        <x:v>17.4065</x:v>
      </x:c>
      <x:c r="M185" s="24" t="n">
        <x:v>78.4772</x:v>
      </x:c>
      <x:c r="N185" t="str">
        <x:f>IF(I185&gt;70,"70+ dB",IF(I185&gt;55,"56-70 dB","41-55 dB"))</x:f>
        <x:v>56-70 dB</x:v>
      </x:c>
      <x:c r="O185" t="str">
        <x:f>IF(I185&gt;70,"High",IF(I185&gt;55,"Moderate","Low"))</x:f>
        <x:v>Moderate</x:v>
      </x:c>
      <x:c r="P185" t="str">
        <x:f>IF(I185&gt;=70,"Yes","No")</x:f>
        <x:v>No</x:v>
      </x:c>
      <x:c r="Q185" t="str">
        <x:f>TEXT(B185,"yyyy-mm")</x:f>
        <x:v>2011-06</x:v>
      </x:c>
    </x:row>
    <x:row r="186">
      <x:c r="A186" t="str">
        <x:v>HYD02</x:v>
      </x:c>
      <x:c r="B186" s="22" t="n">
        <x:f>DATE(C186,D186,1)</x:f>
        <x:v>40725</x:v>
      </x:c>
      <x:c r="C186" t="n">
        <x:v>2011</x:v>
      </x:c>
      <x:c r="D186" t="n">
        <x:v>7</x:v>
      </x:c>
      <x:c r="E186" t="str">
        <x:f>TEXT(B186,"mmm")</x:f>
        <x:v>Jul</x:v>
      </x:c>
      <x:c r="F186" t="str">
        <x:f>"Q"&amp;ROUNDUP(D186/3,0)</x:f>
        <x:v>Q3</x:v>
      </x:c>
      <x:c r="G186" s="23" t="n">
        <x:v>62</x:v>
      </x:c>
      <x:c r="H186" s="23" t="n">
        <x:v>54</x:v>
      </x:c>
      <x:c r="I186" s="23" t="n">
        <x:v>58</x:v>
      </x:c>
      <x:c r="J186" s="23" t="n">
        <x:f>G186-H186</x:f>
        <x:v>8</x:v>
      </x:c>
      <x:c r="K186" t="str">
        <x:v>OBSERVED</x:v>
      </x:c>
      <x:c r="L186" s="24" t="n">
        <x:v>17.4065</x:v>
      </x:c>
      <x:c r="M186" s="24" t="n">
        <x:v>78.4772</x:v>
      </x:c>
      <x:c r="N186" t="str">
        <x:f>IF(I186&gt;70,"70+ dB",IF(I186&gt;55,"56-70 dB","41-55 dB"))</x:f>
        <x:v>56-70 dB</x:v>
      </x:c>
      <x:c r="O186" t="str">
        <x:f>IF(I186&gt;70,"High",IF(I186&gt;55,"Moderate","Low"))</x:f>
        <x:v>Moderate</x:v>
      </x:c>
      <x:c r="P186" t="str">
        <x:f>IF(I186&gt;=70,"Yes","No")</x:f>
        <x:v>No</x:v>
      </x:c>
      <x:c r="Q186" t="str">
        <x:f>TEXT(B186,"yyyy-mm")</x:f>
        <x:v>2011-07</x:v>
      </x:c>
    </x:row>
    <x:row r="187">
      <x:c r="A187" t="str">
        <x:v>HYD02</x:v>
      </x:c>
      <x:c r="B187" s="22" t="n">
        <x:f>DATE(C187,D187,1)</x:f>
        <x:v>40756</x:v>
      </x:c>
      <x:c r="C187" t="n">
        <x:v>2011</x:v>
      </x:c>
      <x:c r="D187" t="n">
        <x:v>8</x:v>
      </x:c>
      <x:c r="E187" t="str">
        <x:f>TEXT(B187,"mmm")</x:f>
        <x:v>Aug</x:v>
      </x:c>
      <x:c r="F187" t="str">
        <x:f>"Q"&amp;ROUNDUP(D187/3,0)</x:f>
        <x:v>Q3</x:v>
      </x:c>
      <x:c r="G187" s="23" t="n">
        <x:v>62</x:v>
      </x:c>
      <x:c r="H187" s="23" t="n">
        <x:v>54</x:v>
      </x:c>
      <x:c r="I187" s="23" t="n">
        <x:v>58</x:v>
      </x:c>
      <x:c r="J187" s="23" t="n">
        <x:f>G187-H187</x:f>
        <x:v>8</x:v>
      </x:c>
      <x:c r="K187" t="str">
        <x:v>OBSERVED</x:v>
      </x:c>
      <x:c r="L187" s="24" t="n">
        <x:v>17.4065</x:v>
      </x:c>
      <x:c r="M187" s="24" t="n">
        <x:v>78.4772</x:v>
      </x:c>
      <x:c r="N187" t="str">
        <x:f>IF(I187&gt;70,"70+ dB",IF(I187&gt;55,"56-70 dB","41-55 dB"))</x:f>
        <x:v>56-70 dB</x:v>
      </x:c>
      <x:c r="O187" t="str">
        <x:f>IF(I187&gt;70,"High",IF(I187&gt;55,"Moderate","Low"))</x:f>
        <x:v>Moderate</x:v>
      </x:c>
      <x:c r="P187" t="str">
        <x:f>IF(I187&gt;=70,"Yes","No")</x:f>
        <x:v>No</x:v>
      </x:c>
      <x:c r="Q187" t="str">
        <x:f>TEXT(B187,"yyyy-mm")</x:f>
        <x:v>2011-08</x:v>
      </x:c>
    </x:row>
    <x:row r="188">
      <x:c r="A188" t="str">
        <x:v>HYD02</x:v>
      </x:c>
      <x:c r="B188" s="22" t="n">
        <x:f>DATE(C188,D188,1)</x:f>
        <x:v>40787</x:v>
      </x:c>
      <x:c r="C188" t="n">
        <x:v>2011</x:v>
      </x:c>
      <x:c r="D188" t="n">
        <x:v>9</x:v>
      </x:c>
      <x:c r="E188" t="str">
        <x:f>TEXT(B188,"mmm")</x:f>
        <x:v>Sep</x:v>
      </x:c>
      <x:c r="F188" t="str">
        <x:f>"Q"&amp;ROUNDUP(D188/3,0)</x:f>
        <x:v>Q3</x:v>
      </x:c>
      <x:c r="G188" s="23" t="n">
        <x:v>63</x:v>
      </x:c>
      <x:c r="H188" s="23" t="n">
        <x:v>56</x:v>
      </x:c>
      <x:c r="I188" s="23" t="n">
        <x:v>59.5</x:v>
      </x:c>
      <x:c r="J188" s="23" t="n">
        <x:f>G188-H188</x:f>
        <x:v>7</x:v>
      </x:c>
      <x:c r="K188" t="str">
        <x:v>OBSERVED</x:v>
      </x:c>
      <x:c r="L188" s="24" t="n">
        <x:v>17.4065</x:v>
      </x:c>
      <x:c r="M188" s="24" t="n">
        <x:v>78.4772</x:v>
      </x:c>
      <x:c r="N188" t="str">
        <x:f>IF(I188&gt;70,"70+ dB",IF(I188&gt;55,"56-70 dB","41-55 dB"))</x:f>
        <x:v>56-70 dB</x:v>
      </x:c>
      <x:c r="O188" t="str">
        <x:f>IF(I188&gt;70,"High",IF(I188&gt;55,"Moderate","Low"))</x:f>
        <x:v>Moderate</x:v>
      </x:c>
      <x:c r="P188" t="str">
        <x:f>IF(I188&gt;=70,"Yes","No")</x:f>
        <x:v>No</x:v>
      </x:c>
      <x:c r="Q188" t="str">
        <x:f>TEXT(B188,"yyyy-mm")</x:f>
        <x:v>2011-09</x:v>
      </x:c>
    </x:row>
    <x:row r="189">
      <x:c r="A189" t="str">
        <x:v>HYD02</x:v>
      </x:c>
      <x:c r="B189" s="22" t="n">
        <x:f>DATE(C189,D189,1)</x:f>
        <x:v>40817</x:v>
      </x:c>
      <x:c r="C189" t="n">
        <x:v>2011</x:v>
      </x:c>
      <x:c r="D189" t="n">
        <x:v>10</x:v>
      </x:c>
      <x:c r="E189" t="str">
        <x:f>TEXT(B189,"mmm")</x:f>
        <x:v>Oct</x:v>
      </x:c>
      <x:c r="F189" t="str">
        <x:f>"Q"&amp;ROUNDUP(D189/3,0)</x:f>
        <x:v>Q4</x:v>
      </x:c>
      <x:c r="G189" s="23" t="n">
        <x:v>62</x:v>
      </x:c>
      <x:c r="H189" s="23" t="n">
        <x:v>58</x:v>
      </x:c>
      <x:c r="I189" s="23" t="n">
        <x:v>60</x:v>
      </x:c>
      <x:c r="J189" s="23" t="n">
        <x:f>G189-H189</x:f>
        <x:v>4</x:v>
      </x:c>
      <x:c r="K189" t="str">
        <x:v>OBSERVED</x:v>
      </x:c>
      <x:c r="L189" s="24" t="n">
        <x:v>17.4065</x:v>
      </x:c>
      <x:c r="M189" s="24" t="n">
        <x:v>78.4772</x:v>
      </x:c>
      <x:c r="N189" t="str">
        <x:f>IF(I189&gt;70,"70+ dB",IF(I189&gt;55,"56-70 dB","41-55 dB"))</x:f>
        <x:v>56-70 dB</x:v>
      </x:c>
      <x:c r="O189" t="str">
        <x:f>IF(I189&gt;70,"High",IF(I189&gt;55,"Moderate","Low"))</x:f>
        <x:v>Moderate</x:v>
      </x:c>
      <x:c r="P189" t="str">
        <x:f>IF(I189&gt;=70,"Yes","No")</x:f>
        <x:v>No</x:v>
      </x:c>
      <x:c r="Q189" t="str">
        <x:f>TEXT(B189,"yyyy-mm")</x:f>
        <x:v>2011-10</x:v>
      </x:c>
    </x:row>
    <x:row r="190">
      <x:c r="A190" t="str">
        <x:v>HYD02</x:v>
      </x:c>
      <x:c r="B190" s="22" t="n">
        <x:f>DATE(C190,D190,1)</x:f>
        <x:v>40848</x:v>
      </x:c>
      <x:c r="C190" t="n">
        <x:v>2011</x:v>
      </x:c>
      <x:c r="D190" t="n">
        <x:v>11</x:v>
      </x:c>
      <x:c r="E190" t="str">
        <x:f>TEXT(B190,"mmm")</x:f>
        <x:v>Nov</x:v>
      </x:c>
      <x:c r="F190" t="str">
        <x:f>"Q"&amp;ROUNDUP(D190/3,0)</x:f>
        <x:v>Q4</x:v>
      </x:c>
      <x:c r="G190" s="23" t="n">
        <x:v>63</x:v>
      </x:c>
      <x:c r="H190" s="23" t="n">
        <x:v>58</x:v>
      </x:c>
      <x:c r="I190" s="23" t="n">
        <x:v>60.5</x:v>
      </x:c>
      <x:c r="J190" s="23" t="n">
        <x:f>G190-H190</x:f>
        <x:v>5</x:v>
      </x:c>
      <x:c r="K190" t="str">
        <x:v>OBSERVED</x:v>
      </x:c>
      <x:c r="L190" s="24" t="n">
        <x:v>17.4065</x:v>
      </x:c>
      <x:c r="M190" s="24" t="n">
        <x:v>78.4772</x:v>
      </x:c>
      <x:c r="N190" t="str">
        <x:f>IF(I190&gt;70,"70+ dB",IF(I190&gt;55,"56-70 dB","41-55 dB"))</x:f>
        <x:v>56-70 dB</x:v>
      </x:c>
      <x:c r="O190" t="str">
        <x:f>IF(I190&gt;70,"High",IF(I190&gt;55,"Moderate","Low"))</x:f>
        <x:v>Moderate</x:v>
      </x:c>
      <x:c r="P190" t="str">
        <x:f>IF(I190&gt;=70,"Yes","No")</x:f>
        <x:v>No</x:v>
      </x:c>
      <x:c r="Q190" t="str">
        <x:f>TEXT(B190,"yyyy-mm")</x:f>
        <x:v>2011-11</x:v>
      </x:c>
    </x:row>
    <x:row r="191">
      <x:c r="A191" t="str">
        <x:v>HYD02</x:v>
      </x:c>
      <x:c r="B191" s="22" t="n">
        <x:f>DATE(C191,D191,1)</x:f>
        <x:v>40878</x:v>
      </x:c>
      <x:c r="C191" t="n">
        <x:v>2011</x:v>
      </x:c>
      <x:c r="D191" t="n">
        <x:v>12</x:v>
      </x:c>
      <x:c r="E191" t="str">
        <x:f>TEXT(B191,"mmm")</x:f>
        <x:v>Dec</x:v>
      </x:c>
      <x:c r="F191" t="str">
        <x:f>"Q"&amp;ROUNDUP(D191/3,0)</x:f>
        <x:v>Q4</x:v>
      </x:c>
      <x:c r="G191" s="23" t="n">
        <x:v>61</x:v>
      </x:c>
      <x:c r="H191" s="23" t="n">
        <x:v>56</x:v>
      </x:c>
      <x:c r="I191" s="23" t="n">
        <x:v>58.5</x:v>
      </x:c>
      <x:c r="J191" s="23" t="n">
        <x:f>G191-H191</x:f>
        <x:v>5</x:v>
      </x:c>
      <x:c r="K191" t="str">
        <x:v>OBSERVED</x:v>
      </x:c>
      <x:c r="L191" s="24" t="n">
        <x:v>17.4065</x:v>
      </x:c>
      <x:c r="M191" s="24" t="n">
        <x:v>78.4772</x:v>
      </x:c>
      <x:c r="N191" t="str">
        <x:f>IF(I191&gt;70,"70+ dB",IF(I191&gt;55,"56-70 dB","41-55 dB"))</x:f>
        <x:v>56-70 dB</x:v>
      </x:c>
      <x:c r="O191" t="str">
        <x:f>IF(I191&gt;70,"High",IF(I191&gt;55,"Moderate","Low"))</x:f>
        <x:v>Moderate</x:v>
      </x:c>
      <x:c r="P191" t="str">
        <x:f>IF(I191&gt;=70,"Yes","No")</x:f>
        <x:v>No</x:v>
      </x:c>
      <x:c r="Q191" t="str">
        <x:f>TEXT(B191,"yyyy-mm")</x:f>
        <x:v>2011-12</x:v>
      </x:c>
    </x:row>
    <x:row r="192">
      <x:c r="A192" t="str">
        <x:v>HYD02</x:v>
      </x:c>
      <x:c r="B192" s="22" t="n">
        <x:f>DATE(C192,D192,1)</x:f>
        <x:v>40909</x:v>
      </x:c>
      <x:c r="C192" t="n">
        <x:v>2012</x:v>
      </x:c>
      <x:c r="D192" t="n">
        <x:v>1</x:v>
      </x:c>
      <x:c r="E192" t="str">
        <x:f>TEXT(B192,"mmm")</x:f>
        <x:v>Jan</x:v>
      </x:c>
      <x:c r="F192" t="str">
        <x:f>"Q"&amp;ROUNDUP(D192/3,0)</x:f>
        <x:v>Q1</x:v>
      </x:c>
      <x:c r="G192" s="23" t="n">
        <x:v>62</x:v>
      </x:c>
      <x:c r="H192" s="23" t="n">
        <x:v>56</x:v>
      </x:c>
      <x:c r="I192" s="23" t="n">
        <x:v>59</x:v>
      </x:c>
      <x:c r="J192" s="23" t="n">
        <x:f>G192-H192</x:f>
        <x:v>6</x:v>
      </x:c>
      <x:c r="K192" t="str">
        <x:v>OBSERVED</x:v>
      </x:c>
      <x:c r="L192" s="24" t="n">
        <x:v>17.4065</x:v>
      </x:c>
      <x:c r="M192" s="24" t="n">
        <x:v>78.4772</x:v>
      </x:c>
      <x:c r="N192" t="str">
        <x:f>IF(I192&gt;70,"70+ dB",IF(I192&gt;55,"56-70 dB","41-55 dB"))</x:f>
        <x:v>56-70 dB</x:v>
      </x:c>
      <x:c r="O192" t="str">
        <x:f>IF(I192&gt;70,"High",IF(I192&gt;55,"Moderate","Low"))</x:f>
        <x:v>Moderate</x:v>
      </x:c>
      <x:c r="P192" t="str">
        <x:f>IF(I192&gt;=70,"Yes","No")</x:f>
        <x:v>No</x:v>
      </x:c>
      <x:c r="Q192" t="str">
        <x:f>TEXT(B192,"yyyy-mm")</x:f>
        <x:v>2012-01</x:v>
      </x:c>
    </x:row>
    <x:row r="193">
      <x:c r="A193" t="str">
        <x:v>HYD02</x:v>
      </x:c>
      <x:c r="B193" s="22" t="n">
        <x:f>DATE(C193,D193,1)</x:f>
        <x:v>40940</x:v>
      </x:c>
      <x:c r="C193" t="n">
        <x:v>2012</x:v>
      </x:c>
      <x:c r="D193" t="n">
        <x:v>2</x:v>
      </x:c>
      <x:c r="E193" t="str">
        <x:f>TEXT(B193,"mmm")</x:f>
        <x:v>Feb</x:v>
      </x:c>
      <x:c r="F193" t="str">
        <x:f>"Q"&amp;ROUNDUP(D193/3,0)</x:f>
        <x:v>Q1</x:v>
      </x:c>
      <x:c r="G193" s="23" t="n">
        <x:v>62</x:v>
      </x:c>
      <x:c r="H193" s="23" t="n">
        <x:v>57</x:v>
      </x:c>
      <x:c r="I193" s="23" t="n">
        <x:v>59.5</x:v>
      </x:c>
      <x:c r="J193" s="23" t="n">
        <x:f>G193-H193</x:f>
        <x:v>5</x:v>
      </x:c>
      <x:c r="K193" t="str">
        <x:v>OBSERVED</x:v>
      </x:c>
      <x:c r="L193" s="24" t="n">
        <x:v>17.4065</x:v>
      </x:c>
      <x:c r="M193" s="24" t="n">
        <x:v>78.4772</x:v>
      </x:c>
      <x:c r="N193" t="str">
        <x:f>IF(I193&gt;70,"70+ dB",IF(I193&gt;55,"56-70 dB","41-55 dB"))</x:f>
        <x:v>56-70 dB</x:v>
      </x:c>
      <x:c r="O193" t="str">
        <x:f>IF(I193&gt;70,"High",IF(I193&gt;55,"Moderate","Low"))</x:f>
        <x:v>Moderate</x:v>
      </x:c>
      <x:c r="P193" t="str">
        <x:f>IF(I193&gt;=70,"Yes","No")</x:f>
        <x:v>No</x:v>
      </x:c>
      <x:c r="Q193" t="str">
        <x:f>TEXT(B193,"yyyy-mm")</x:f>
        <x:v>2012-02</x:v>
      </x:c>
    </x:row>
    <x:row r="194">
      <x:c r="A194" t="str">
        <x:v>HYD02</x:v>
      </x:c>
      <x:c r="B194" s="22" t="n">
        <x:f>DATE(C194,D194,1)</x:f>
        <x:v>40969</x:v>
      </x:c>
      <x:c r="C194" t="n">
        <x:v>2012</x:v>
      </x:c>
      <x:c r="D194" t="n">
        <x:v>3</x:v>
      </x:c>
      <x:c r="E194" t="str">
        <x:f>TEXT(B194,"mmm")</x:f>
        <x:v>Mar</x:v>
      </x:c>
      <x:c r="F194" t="str">
        <x:f>"Q"&amp;ROUNDUP(D194/3,0)</x:f>
        <x:v>Q1</x:v>
      </x:c>
      <x:c r="G194" s="23" t="n">
        <x:v>62</x:v>
      </x:c>
      <x:c r="H194" s="23" t="n">
        <x:v>55</x:v>
      </x:c>
      <x:c r="I194" s="23" t="n">
        <x:v>58.5</x:v>
      </x:c>
      <x:c r="J194" s="23" t="n">
        <x:f>G194-H194</x:f>
        <x:v>7</x:v>
      </x:c>
      <x:c r="K194" t="str">
        <x:v>OBSERVED</x:v>
      </x:c>
      <x:c r="L194" s="24" t="n">
        <x:v>17.4065</x:v>
      </x:c>
      <x:c r="M194" s="24" t="n">
        <x:v>78.4772</x:v>
      </x:c>
      <x:c r="N194" t="str">
        <x:f>IF(I194&gt;70,"70+ dB",IF(I194&gt;55,"56-70 dB","41-55 dB"))</x:f>
        <x:v>56-70 dB</x:v>
      </x:c>
      <x:c r="O194" t="str">
        <x:f>IF(I194&gt;70,"High",IF(I194&gt;55,"Moderate","Low"))</x:f>
        <x:v>Moderate</x:v>
      </x:c>
      <x:c r="P194" t="str">
        <x:f>IF(I194&gt;=70,"Yes","No")</x:f>
        <x:v>No</x:v>
      </x:c>
      <x:c r="Q194" t="str">
        <x:f>TEXT(B194,"yyyy-mm")</x:f>
        <x:v>2012-03</x:v>
      </x:c>
    </x:row>
    <x:row r="195">
      <x:c r="A195" t="str">
        <x:v>HYD02</x:v>
      </x:c>
      <x:c r="B195" s="22" t="n">
        <x:f>DATE(C195,D195,1)</x:f>
        <x:v>41000</x:v>
      </x:c>
      <x:c r="C195" t="n">
        <x:v>2012</x:v>
      </x:c>
      <x:c r="D195" t="n">
        <x:v>4</x:v>
      </x:c>
      <x:c r="E195" t="str">
        <x:f>TEXT(B195,"mmm")</x:f>
        <x:v>Apr</x:v>
      </x:c>
      <x:c r="F195" t="str">
        <x:f>"Q"&amp;ROUNDUP(D195/3,0)</x:f>
        <x:v>Q2</x:v>
      </x:c>
      <x:c r="G195" s="23" t="n">
        <x:v>62</x:v>
      </x:c>
      <x:c r="H195" s="23" t="n">
        <x:v>54</x:v>
      </x:c>
      <x:c r="I195" s="23" t="n">
        <x:v>58</x:v>
      </x:c>
      <x:c r="J195" s="23" t="n">
        <x:f>G195-H195</x:f>
        <x:v>8</x:v>
      </x:c>
      <x:c r="K195" t="str">
        <x:v>OBSERVED</x:v>
      </x:c>
      <x:c r="L195" s="24" t="n">
        <x:v>17.4065</x:v>
      </x:c>
      <x:c r="M195" s="24" t="n">
        <x:v>78.4772</x:v>
      </x:c>
      <x:c r="N195" t="str">
        <x:f>IF(I195&gt;70,"70+ dB",IF(I195&gt;55,"56-70 dB","41-55 dB"))</x:f>
        <x:v>56-70 dB</x:v>
      </x:c>
      <x:c r="O195" t="str">
        <x:f>IF(I195&gt;70,"High",IF(I195&gt;55,"Moderate","Low"))</x:f>
        <x:v>Moderate</x:v>
      </x:c>
      <x:c r="P195" t="str">
        <x:f>IF(I195&gt;=70,"Yes","No")</x:f>
        <x:v>No</x:v>
      </x:c>
      <x:c r="Q195" t="str">
        <x:f>TEXT(B195,"yyyy-mm")</x:f>
        <x:v>2012-04</x:v>
      </x:c>
    </x:row>
    <x:row r="196">
      <x:c r="A196" t="str">
        <x:v>HYD02</x:v>
      </x:c>
      <x:c r="B196" s="22" t="n">
        <x:f>DATE(C196,D196,1)</x:f>
        <x:v>41030</x:v>
      </x:c>
      <x:c r="C196" t="n">
        <x:v>2012</x:v>
      </x:c>
      <x:c r="D196" t="n">
        <x:v>5</x:v>
      </x:c>
      <x:c r="E196" t="str">
        <x:f>TEXT(B196,"mmm")</x:f>
        <x:v>May</x:v>
      </x:c>
      <x:c r="F196" t="str">
        <x:f>"Q"&amp;ROUNDUP(D196/3,0)</x:f>
        <x:v>Q2</x:v>
      </x:c>
      <x:c r="G196" s="23" t="n">
        <x:v>63</x:v>
      </x:c>
      <x:c r="H196" s="23" t="n">
        <x:v>57</x:v>
      </x:c>
      <x:c r="I196" s="23" t="n">
        <x:v>60</x:v>
      </x:c>
      <x:c r="J196" s="23" t="n">
        <x:f>G196-H196</x:f>
        <x:v>6</x:v>
      </x:c>
      <x:c r="K196" t="str">
        <x:v>OBSERVED</x:v>
      </x:c>
      <x:c r="L196" s="24" t="n">
        <x:v>17.4065</x:v>
      </x:c>
      <x:c r="M196" s="24" t="n">
        <x:v>78.4772</x:v>
      </x:c>
      <x:c r="N196" t="str">
        <x:f>IF(I196&gt;70,"70+ dB",IF(I196&gt;55,"56-70 dB","41-55 dB"))</x:f>
        <x:v>56-70 dB</x:v>
      </x:c>
      <x:c r="O196" t="str">
        <x:f>IF(I196&gt;70,"High",IF(I196&gt;55,"Moderate","Low"))</x:f>
        <x:v>Moderate</x:v>
      </x:c>
      <x:c r="P196" t="str">
        <x:f>IF(I196&gt;=70,"Yes","No")</x:f>
        <x:v>No</x:v>
      </x:c>
      <x:c r="Q196" t="str">
        <x:f>TEXT(B196,"yyyy-mm")</x:f>
        <x:v>2012-05</x:v>
      </x:c>
    </x:row>
    <x:row r="197">
      <x:c r="A197" t="str">
        <x:v>HYD02</x:v>
      </x:c>
      <x:c r="B197" s="22" t="n">
        <x:f>DATE(C197,D197,1)</x:f>
        <x:v>41061</x:v>
      </x:c>
      <x:c r="C197" t="n">
        <x:v>2012</x:v>
      </x:c>
      <x:c r="D197" t="n">
        <x:v>6</x:v>
      </x:c>
      <x:c r="E197" t="str">
        <x:f>TEXT(B197,"mmm")</x:f>
        <x:v>Jun</x:v>
      </x:c>
      <x:c r="F197" t="str">
        <x:f>"Q"&amp;ROUNDUP(D197/3,0)</x:f>
        <x:v>Q2</x:v>
      </x:c>
      <x:c r="G197" s="23" t="n">
        <x:v>65</x:v>
      </x:c>
      <x:c r="H197" s="23" t="n">
        <x:v>60</x:v>
      </x:c>
      <x:c r="I197" s="23" t="n">
        <x:v>62.5</x:v>
      </x:c>
      <x:c r="J197" s="23" t="n">
        <x:f>G197-H197</x:f>
        <x:v>5</x:v>
      </x:c>
      <x:c r="K197" t="str">
        <x:v>OBSERVED</x:v>
      </x:c>
      <x:c r="L197" s="24" t="n">
        <x:v>17.4065</x:v>
      </x:c>
      <x:c r="M197" s="24" t="n">
        <x:v>78.4772</x:v>
      </x:c>
      <x:c r="N197" t="str">
        <x:f>IF(I197&gt;70,"70+ dB",IF(I197&gt;55,"56-70 dB","41-55 dB"))</x:f>
        <x:v>56-70 dB</x:v>
      </x:c>
      <x:c r="O197" t="str">
        <x:f>IF(I197&gt;70,"High",IF(I197&gt;55,"Moderate","Low"))</x:f>
        <x:v>Moderate</x:v>
      </x:c>
      <x:c r="P197" t="str">
        <x:f>IF(I197&gt;=70,"Yes","No")</x:f>
        <x:v>No</x:v>
      </x:c>
      <x:c r="Q197" t="str">
        <x:f>TEXT(B197,"yyyy-mm")</x:f>
        <x:v>2012-06</x:v>
      </x:c>
    </x:row>
    <x:row r="198">
      <x:c r="A198" t="str">
        <x:v>HYD02</x:v>
      </x:c>
      <x:c r="B198" s="22" t="n">
        <x:f>DATE(C198,D198,1)</x:f>
        <x:v>41091</x:v>
      </x:c>
      <x:c r="C198" t="n">
        <x:v>2012</x:v>
      </x:c>
      <x:c r="D198" t="n">
        <x:v>7</x:v>
      </x:c>
      <x:c r="E198" t="str">
        <x:f>TEXT(B198,"mmm")</x:f>
        <x:v>Jul</x:v>
      </x:c>
      <x:c r="F198" t="str">
        <x:f>"Q"&amp;ROUNDUP(D198/3,0)</x:f>
        <x:v>Q3</x:v>
      </x:c>
      <x:c r="G198" s="23" t="n">
        <x:v>64</x:v>
      </x:c>
      <x:c r="H198" s="23" t="n">
        <x:v>59</x:v>
      </x:c>
      <x:c r="I198" s="23" t="n">
        <x:v>61.5</x:v>
      </x:c>
      <x:c r="J198" s="23" t="n">
        <x:f>G198-H198</x:f>
        <x:v>5</x:v>
      </x:c>
      <x:c r="K198" t="str">
        <x:v>OBSERVED</x:v>
      </x:c>
      <x:c r="L198" s="24" t="n">
        <x:v>17.4065</x:v>
      </x:c>
      <x:c r="M198" s="24" t="n">
        <x:v>78.4772</x:v>
      </x:c>
      <x:c r="N198" t="str">
        <x:f>IF(I198&gt;70,"70+ dB",IF(I198&gt;55,"56-70 dB","41-55 dB"))</x:f>
        <x:v>56-70 dB</x:v>
      </x:c>
      <x:c r="O198" t="str">
        <x:f>IF(I198&gt;70,"High",IF(I198&gt;55,"Moderate","Low"))</x:f>
        <x:v>Moderate</x:v>
      </x:c>
      <x:c r="P198" t="str">
        <x:f>IF(I198&gt;=70,"Yes","No")</x:f>
        <x:v>No</x:v>
      </x:c>
      <x:c r="Q198" t="str">
        <x:f>TEXT(B198,"yyyy-mm")</x:f>
        <x:v>2012-07</x:v>
      </x:c>
    </x:row>
    <x:row r="199">
      <x:c r="A199" t="str">
        <x:v>HYD02</x:v>
      </x:c>
      <x:c r="B199" s="22" t="n">
        <x:f>DATE(C199,D199,1)</x:f>
        <x:v>41122</x:v>
      </x:c>
      <x:c r="C199" t="n">
        <x:v>2012</x:v>
      </x:c>
      <x:c r="D199" t="n">
        <x:v>8</x:v>
      </x:c>
      <x:c r="E199" t="str">
        <x:f>TEXT(B199,"mmm")</x:f>
        <x:v>Aug</x:v>
      </x:c>
      <x:c r="F199" t="str">
        <x:f>"Q"&amp;ROUNDUP(D199/3,0)</x:f>
        <x:v>Q3</x:v>
      </x:c>
      <x:c r="G199" s="23" t="n">
        <x:v>64</x:v>
      </x:c>
      <x:c r="H199" s="23" t="n">
        <x:v>58</x:v>
      </x:c>
      <x:c r="I199" s="23" t="n">
        <x:v>61</x:v>
      </x:c>
      <x:c r="J199" s="23" t="n">
        <x:f>G199-H199</x:f>
        <x:v>6</x:v>
      </x:c>
      <x:c r="K199" t="str">
        <x:v>OBSERVED</x:v>
      </x:c>
      <x:c r="L199" s="24" t="n">
        <x:v>17.4065</x:v>
      </x:c>
      <x:c r="M199" s="24" t="n">
        <x:v>78.4772</x:v>
      </x:c>
      <x:c r="N199" t="str">
        <x:f>IF(I199&gt;70,"70+ dB",IF(I199&gt;55,"56-70 dB","41-55 dB"))</x:f>
        <x:v>56-70 dB</x:v>
      </x:c>
      <x:c r="O199" t="str">
        <x:f>IF(I199&gt;70,"High",IF(I199&gt;55,"Moderate","Low"))</x:f>
        <x:v>Moderate</x:v>
      </x:c>
      <x:c r="P199" t="str">
        <x:f>IF(I199&gt;=70,"Yes","No")</x:f>
        <x:v>No</x:v>
      </x:c>
      <x:c r="Q199" t="str">
        <x:f>TEXT(B199,"yyyy-mm")</x:f>
        <x:v>2012-08</x:v>
      </x:c>
    </x:row>
    <x:row r="200">
      <x:c r="A200" t="str">
        <x:v>HYD02</x:v>
      </x:c>
      <x:c r="B200" s="22" t="n">
        <x:f>DATE(C200,D200,1)</x:f>
        <x:v>41153</x:v>
      </x:c>
      <x:c r="C200" t="n">
        <x:v>2012</x:v>
      </x:c>
      <x:c r="D200" t="n">
        <x:v>9</x:v>
      </x:c>
      <x:c r="E200" t="str">
        <x:f>TEXT(B200,"mmm")</x:f>
        <x:v>Sep</x:v>
      </x:c>
      <x:c r="F200" t="str">
        <x:f>"Q"&amp;ROUNDUP(D200/3,0)</x:f>
        <x:v>Q3</x:v>
      </x:c>
      <x:c r="G200" s="23" t="n">
        <x:v>64</x:v>
      </x:c>
      <x:c r="H200" s="23" t="n">
        <x:v>57</x:v>
      </x:c>
      <x:c r="I200" s="23" t="n">
        <x:v>60.5</x:v>
      </x:c>
      <x:c r="J200" s="23" t="n">
        <x:f>G200-H200</x:f>
        <x:v>7</x:v>
      </x:c>
      <x:c r="K200" t="str">
        <x:v>OBSERVED</x:v>
      </x:c>
      <x:c r="L200" s="24" t="n">
        <x:v>17.4065</x:v>
      </x:c>
      <x:c r="M200" s="24" t="n">
        <x:v>78.4772</x:v>
      </x:c>
      <x:c r="N200" t="str">
        <x:f>IF(I200&gt;70,"70+ dB",IF(I200&gt;55,"56-70 dB","41-55 dB"))</x:f>
        <x:v>56-70 dB</x:v>
      </x:c>
      <x:c r="O200" t="str">
        <x:f>IF(I200&gt;70,"High",IF(I200&gt;55,"Moderate","Low"))</x:f>
        <x:v>Moderate</x:v>
      </x:c>
      <x:c r="P200" t="str">
        <x:f>IF(I200&gt;=70,"Yes","No")</x:f>
        <x:v>No</x:v>
      </x:c>
      <x:c r="Q200" t="str">
        <x:f>TEXT(B200,"yyyy-mm")</x:f>
        <x:v>2012-09</x:v>
      </x:c>
    </x:row>
    <x:row r="201">
      <x:c r="A201" t="str">
        <x:v>HYD02</x:v>
      </x:c>
      <x:c r="B201" s="22" t="n">
        <x:f>DATE(C201,D201,1)</x:f>
        <x:v>41183</x:v>
      </x:c>
      <x:c r="C201" t="n">
        <x:v>2012</x:v>
      </x:c>
      <x:c r="D201" t="n">
        <x:v>10</x:v>
      </x:c>
      <x:c r="E201" t="str">
        <x:f>TEXT(B201,"mmm")</x:f>
        <x:v>Oct</x:v>
      </x:c>
      <x:c r="F201" t="str">
        <x:f>"Q"&amp;ROUNDUP(D201/3,0)</x:f>
        <x:v>Q4</x:v>
      </x:c>
      <x:c r="G201" s="23" t="n">
        <x:v>63</x:v>
      </x:c>
      <x:c r="H201" s="23" t="n">
        <x:v>56</x:v>
      </x:c>
      <x:c r="I201" s="23" t="n">
        <x:v>59.5</x:v>
      </x:c>
      <x:c r="J201" s="23" t="n">
        <x:f>G201-H201</x:f>
        <x:v>7</x:v>
      </x:c>
      <x:c r="K201" t="str">
        <x:v>OBSERVED</x:v>
      </x:c>
      <x:c r="L201" s="24" t="n">
        <x:v>17.4065</x:v>
      </x:c>
      <x:c r="M201" s="24" t="n">
        <x:v>78.4772</x:v>
      </x:c>
      <x:c r="N201" t="str">
        <x:f>IF(I201&gt;70,"70+ dB",IF(I201&gt;55,"56-70 dB","41-55 dB"))</x:f>
        <x:v>56-70 dB</x:v>
      </x:c>
      <x:c r="O201" t="str">
        <x:f>IF(I201&gt;70,"High",IF(I201&gt;55,"Moderate","Low"))</x:f>
        <x:v>Moderate</x:v>
      </x:c>
      <x:c r="P201" t="str">
        <x:f>IF(I201&gt;=70,"Yes","No")</x:f>
        <x:v>No</x:v>
      </x:c>
      <x:c r="Q201" t="str">
        <x:f>TEXT(B201,"yyyy-mm")</x:f>
        <x:v>2012-10</x:v>
      </x:c>
    </x:row>
    <x:row r="202">
      <x:c r="A202" t="str">
        <x:v>HYD02</x:v>
      </x:c>
      <x:c r="B202" s="22" t="n">
        <x:f>DATE(C202,D202,1)</x:f>
        <x:v>41214</x:v>
      </x:c>
      <x:c r="C202" t="n">
        <x:v>2012</x:v>
      </x:c>
      <x:c r="D202" t="n">
        <x:v>11</x:v>
      </x:c>
      <x:c r="E202" t="str">
        <x:f>TEXT(B202,"mmm")</x:f>
        <x:v>Nov</x:v>
      </x:c>
      <x:c r="F202" t="str">
        <x:f>"Q"&amp;ROUNDUP(D202/3,0)</x:f>
        <x:v>Q4</x:v>
      </x:c>
      <x:c r="G202" s="23" t="n">
        <x:v>62</x:v>
      </x:c>
      <x:c r="H202" s="23" t="n">
        <x:v>54</x:v>
      </x:c>
      <x:c r="I202" s="23" t="n">
        <x:v>58</x:v>
      </x:c>
      <x:c r="J202" s="23" t="n">
        <x:f>G202-H202</x:f>
        <x:v>8</x:v>
      </x:c>
      <x:c r="K202" t="str">
        <x:v>OBSERVED</x:v>
      </x:c>
      <x:c r="L202" s="24" t="n">
        <x:v>17.4065</x:v>
      </x:c>
      <x:c r="M202" s="24" t="n">
        <x:v>78.4772</x:v>
      </x:c>
      <x:c r="N202" t="str">
        <x:f>IF(I202&gt;70,"70+ dB",IF(I202&gt;55,"56-70 dB","41-55 dB"))</x:f>
        <x:v>56-70 dB</x:v>
      </x:c>
      <x:c r="O202" t="str">
        <x:f>IF(I202&gt;70,"High",IF(I202&gt;55,"Moderate","Low"))</x:f>
        <x:v>Moderate</x:v>
      </x:c>
      <x:c r="P202" t="str">
        <x:f>IF(I202&gt;=70,"Yes","No")</x:f>
        <x:v>No</x:v>
      </x:c>
      <x:c r="Q202" t="str">
        <x:f>TEXT(B202,"yyyy-mm")</x:f>
        <x:v>2012-11</x:v>
      </x:c>
    </x:row>
    <x:row r="203">
      <x:c r="A203" t="str">
        <x:v>HYD02</x:v>
      </x:c>
      <x:c r="B203" s="22" t="n">
        <x:f>DATE(C203,D203,1)</x:f>
        <x:v>41244</x:v>
      </x:c>
      <x:c r="C203" t="n">
        <x:v>2012</x:v>
      </x:c>
      <x:c r="D203" t="n">
        <x:v>12</x:v>
      </x:c>
      <x:c r="E203" t="str">
        <x:f>TEXT(B203,"mmm")</x:f>
        <x:v>Dec</x:v>
      </x:c>
      <x:c r="F203" t="str">
        <x:f>"Q"&amp;ROUNDUP(D203/3,0)</x:f>
        <x:v>Q4</x:v>
      </x:c>
      <x:c r="G203" s="23" t="n">
        <x:v>61</x:v>
      </x:c>
      <x:c r="H203" s="23" t="n">
        <x:v>53</x:v>
      </x:c>
      <x:c r="I203" s="23" t="n">
        <x:v>57</x:v>
      </x:c>
      <x:c r="J203" s="23" t="n">
        <x:f>G203-H203</x:f>
        <x:v>8</x:v>
      </x:c>
      <x:c r="K203" t="str">
        <x:v>OBSERVED</x:v>
      </x:c>
      <x:c r="L203" s="24" t="n">
        <x:v>17.4065</x:v>
      </x:c>
      <x:c r="M203" s="24" t="n">
        <x:v>78.4772</x:v>
      </x:c>
      <x:c r="N203" t="str">
        <x:f>IF(I203&gt;70,"70+ dB",IF(I203&gt;55,"56-70 dB","41-55 dB"))</x:f>
        <x:v>56-70 dB</x:v>
      </x:c>
      <x:c r="O203" t="str">
        <x:f>IF(I203&gt;70,"High",IF(I203&gt;55,"Moderate","Low"))</x:f>
        <x:v>Moderate</x:v>
      </x:c>
      <x:c r="P203" t="str">
        <x:f>IF(I203&gt;=70,"Yes","No")</x:f>
        <x:v>No</x:v>
      </x:c>
      <x:c r="Q203" t="str">
        <x:f>TEXT(B203,"yyyy-mm")</x:f>
        <x:v>2012-12</x:v>
      </x:c>
    </x:row>
    <x:row r="204">
      <x:c r="A204" t="str">
        <x:v>HYD02</x:v>
      </x:c>
      <x:c r="B204" s="22" t="n">
        <x:f>DATE(C204,D204,1)</x:f>
        <x:v>41275</x:v>
      </x:c>
      <x:c r="C204" t="n">
        <x:v>2013</x:v>
      </x:c>
      <x:c r="D204" t="n">
        <x:v>1</x:v>
      </x:c>
      <x:c r="E204" t="str">
        <x:f>TEXT(B204,"mmm")</x:f>
        <x:v>Jan</x:v>
      </x:c>
      <x:c r="F204" t="str">
        <x:f>"Q"&amp;ROUNDUP(D204/3,0)</x:f>
        <x:v>Q1</x:v>
      </x:c>
      <x:c r="G204" s="23" t="n">
        <x:v>61</x:v>
      </x:c>
      <x:c r="H204" s="23" t="n">
        <x:v>54</x:v>
      </x:c>
      <x:c r="I204" s="23" t="n">
        <x:v>57.5</x:v>
      </x:c>
      <x:c r="J204" s="23" t="n">
        <x:f>G204-H204</x:f>
        <x:v>7</x:v>
      </x:c>
      <x:c r="K204" t="str">
        <x:v>OBSERVED</x:v>
      </x:c>
      <x:c r="L204" s="24" t="n">
        <x:v>17.4065</x:v>
      </x:c>
      <x:c r="M204" s="24" t="n">
        <x:v>78.4772</x:v>
      </x:c>
      <x:c r="N204" t="str">
        <x:f>IF(I204&gt;70,"70+ dB",IF(I204&gt;55,"56-70 dB","41-55 dB"))</x:f>
        <x:v>56-70 dB</x:v>
      </x:c>
      <x:c r="O204" t="str">
        <x:f>IF(I204&gt;70,"High",IF(I204&gt;55,"Moderate","Low"))</x:f>
        <x:v>Moderate</x:v>
      </x:c>
      <x:c r="P204" t="str">
        <x:f>IF(I204&gt;=70,"Yes","No")</x:f>
        <x:v>No</x:v>
      </x:c>
      <x:c r="Q204" t="str">
        <x:f>TEXT(B204,"yyyy-mm")</x:f>
        <x:v>2013-01</x:v>
      </x:c>
    </x:row>
    <x:row r="205">
      <x:c r="A205" t="str">
        <x:v>HYD02</x:v>
      </x:c>
      <x:c r="B205" s="22" t="n">
        <x:f>DATE(C205,D205,1)</x:f>
        <x:v>41306</x:v>
      </x:c>
      <x:c r="C205" t="n">
        <x:v>2013</x:v>
      </x:c>
      <x:c r="D205" t="n">
        <x:v>2</x:v>
      </x:c>
      <x:c r="E205" t="str">
        <x:f>TEXT(B205,"mmm")</x:f>
        <x:v>Feb</x:v>
      </x:c>
      <x:c r="F205" t="str">
        <x:f>"Q"&amp;ROUNDUP(D205/3,0)</x:f>
        <x:v>Q1</x:v>
      </x:c>
      <x:c r="G205" s="23" t="n">
        <x:v>63</x:v>
      </x:c>
      <x:c r="H205" s="23" t="n">
        <x:v>56</x:v>
      </x:c>
      <x:c r="I205" s="23" t="n">
        <x:v>59.5</x:v>
      </x:c>
      <x:c r="J205" s="23" t="n">
        <x:f>G205-H205</x:f>
        <x:v>7</x:v>
      </x:c>
      <x:c r="K205" t="str">
        <x:v>OBSERVED</x:v>
      </x:c>
      <x:c r="L205" s="24" t="n">
        <x:v>17.4065</x:v>
      </x:c>
      <x:c r="M205" s="24" t="n">
        <x:v>78.4772</x:v>
      </x:c>
      <x:c r="N205" t="str">
        <x:f>IF(I205&gt;70,"70+ dB",IF(I205&gt;55,"56-70 dB","41-55 dB"))</x:f>
        <x:v>56-70 dB</x:v>
      </x:c>
      <x:c r="O205" t="str">
        <x:f>IF(I205&gt;70,"High",IF(I205&gt;55,"Moderate","Low"))</x:f>
        <x:v>Moderate</x:v>
      </x:c>
      <x:c r="P205" t="str">
        <x:f>IF(I205&gt;=70,"Yes","No")</x:f>
        <x:v>No</x:v>
      </x:c>
      <x:c r="Q205" t="str">
        <x:f>TEXT(B205,"yyyy-mm")</x:f>
        <x:v>2013-02</x:v>
      </x:c>
    </x:row>
    <x:row r="206">
      <x:c r="A206" t="str">
        <x:v>HYD02</x:v>
      </x:c>
      <x:c r="B206" s="22" t="n">
        <x:f>DATE(C206,D206,1)</x:f>
        <x:v>41334</x:v>
      </x:c>
      <x:c r="C206" t="n">
        <x:v>2013</x:v>
      </x:c>
      <x:c r="D206" t="n">
        <x:v>3</x:v>
      </x:c>
      <x:c r="E206" t="str">
        <x:f>TEXT(B206,"mmm")</x:f>
        <x:v>Mar</x:v>
      </x:c>
      <x:c r="F206" t="str">
        <x:f>"Q"&amp;ROUNDUP(D206/3,0)</x:f>
        <x:v>Q1</x:v>
      </x:c>
      <x:c r="G206" s="23" t="n">
        <x:v>62</x:v>
      </x:c>
      <x:c r="H206" s="23" t="n">
        <x:v>55</x:v>
      </x:c>
      <x:c r="I206" s="23" t="n">
        <x:v>58.5</x:v>
      </x:c>
      <x:c r="J206" s="23" t="n">
        <x:f>G206-H206</x:f>
        <x:v>7</x:v>
      </x:c>
      <x:c r="K206" t="str">
        <x:v>OBSERVED</x:v>
      </x:c>
      <x:c r="L206" s="24" t="n">
        <x:v>17.4065</x:v>
      </x:c>
      <x:c r="M206" s="24" t="n">
        <x:v>78.4772</x:v>
      </x:c>
      <x:c r="N206" t="str">
        <x:f>IF(I206&gt;70,"70+ dB",IF(I206&gt;55,"56-70 dB","41-55 dB"))</x:f>
        <x:v>56-70 dB</x:v>
      </x:c>
      <x:c r="O206" t="str">
        <x:f>IF(I206&gt;70,"High",IF(I206&gt;55,"Moderate","Low"))</x:f>
        <x:v>Moderate</x:v>
      </x:c>
      <x:c r="P206" t="str">
        <x:f>IF(I206&gt;=70,"Yes","No")</x:f>
        <x:v>No</x:v>
      </x:c>
      <x:c r="Q206" t="str">
        <x:f>TEXT(B206,"yyyy-mm")</x:f>
        <x:v>2013-03</x:v>
      </x:c>
    </x:row>
    <x:row r="207">
      <x:c r="A207" t="str">
        <x:v>HYD02</x:v>
      </x:c>
      <x:c r="B207" s="22" t="n">
        <x:f>DATE(C207,D207,1)</x:f>
        <x:v>41365</x:v>
      </x:c>
      <x:c r="C207" t="n">
        <x:v>2013</x:v>
      </x:c>
      <x:c r="D207" t="n">
        <x:v>4</x:v>
      </x:c>
      <x:c r="E207" t="str">
        <x:f>TEXT(B207,"mmm")</x:f>
        <x:v>Apr</x:v>
      </x:c>
      <x:c r="F207" t="str">
        <x:f>"Q"&amp;ROUNDUP(D207/3,0)</x:f>
        <x:v>Q2</x:v>
      </x:c>
      <x:c r="G207" s="23" t="n">
        <x:v>62</x:v>
      </x:c>
      <x:c r="H207" s="23" t="n">
        <x:v>55</x:v>
      </x:c>
      <x:c r="I207" s="23" t="n">
        <x:v>58.5</x:v>
      </x:c>
      <x:c r="J207" s="23" t="n">
        <x:f>G207-H207</x:f>
        <x:v>7</x:v>
      </x:c>
      <x:c r="K207" t="str">
        <x:v>OBSERVED</x:v>
      </x:c>
      <x:c r="L207" s="24" t="n">
        <x:v>17.4065</x:v>
      </x:c>
      <x:c r="M207" s="24" t="n">
        <x:v>78.4772</x:v>
      </x:c>
      <x:c r="N207" t="str">
        <x:f>IF(I207&gt;70,"70+ dB",IF(I207&gt;55,"56-70 dB","41-55 dB"))</x:f>
        <x:v>56-70 dB</x:v>
      </x:c>
      <x:c r="O207" t="str">
        <x:f>IF(I207&gt;70,"High",IF(I207&gt;55,"Moderate","Low"))</x:f>
        <x:v>Moderate</x:v>
      </x:c>
      <x:c r="P207" t="str">
        <x:f>IF(I207&gt;=70,"Yes","No")</x:f>
        <x:v>No</x:v>
      </x:c>
      <x:c r="Q207" t="str">
        <x:f>TEXT(B207,"yyyy-mm")</x:f>
        <x:v>2013-04</x:v>
      </x:c>
    </x:row>
    <x:row r="208">
      <x:c r="A208" t="str">
        <x:v>HYD02</x:v>
      </x:c>
      <x:c r="B208" s="22" t="n">
        <x:f>DATE(C208,D208,1)</x:f>
        <x:v>41395</x:v>
      </x:c>
      <x:c r="C208" t="n">
        <x:v>2013</x:v>
      </x:c>
      <x:c r="D208" t="n">
        <x:v>5</x:v>
      </x:c>
      <x:c r="E208" t="str">
        <x:f>TEXT(B208,"mmm")</x:f>
        <x:v>May</x:v>
      </x:c>
      <x:c r="F208" t="str">
        <x:f>"Q"&amp;ROUNDUP(D208/3,0)</x:f>
        <x:v>Q2</x:v>
      </x:c>
      <x:c r="G208" s="23" t="n">
        <x:v>62</x:v>
      </x:c>
      <x:c r="H208" s="23" t="n">
        <x:v>56</x:v>
      </x:c>
      <x:c r="I208" s="23" t="n">
        <x:v>59</x:v>
      </x:c>
      <x:c r="J208" s="23" t="n">
        <x:f>G208-H208</x:f>
        <x:v>6</x:v>
      </x:c>
      <x:c r="K208" t="str">
        <x:v>OBSERVED</x:v>
      </x:c>
      <x:c r="L208" s="24" t="n">
        <x:v>17.4065</x:v>
      </x:c>
      <x:c r="M208" s="24" t="n">
        <x:v>78.4772</x:v>
      </x:c>
      <x:c r="N208" t="str">
        <x:f>IF(I208&gt;70,"70+ dB",IF(I208&gt;55,"56-70 dB","41-55 dB"))</x:f>
        <x:v>56-70 dB</x:v>
      </x:c>
      <x:c r="O208" t="str">
        <x:f>IF(I208&gt;70,"High",IF(I208&gt;55,"Moderate","Low"))</x:f>
        <x:v>Moderate</x:v>
      </x:c>
      <x:c r="P208" t="str">
        <x:f>IF(I208&gt;=70,"Yes","No")</x:f>
        <x:v>No</x:v>
      </x:c>
      <x:c r="Q208" t="str">
        <x:f>TEXT(B208,"yyyy-mm")</x:f>
        <x:v>2013-05</x:v>
      </x:c>
    </x:row>
    <x:row r="209">
      <x:c r="A209" t="str">
        <x:v>HYD02</x:v>
      </x:c>
      <x:c r="B209" s="22" t="n">
        <x:f>DATE(C209,D209,1)</x:f>
        <x:v>41426</x:v>
      </x:c>
      <x:c r="C209" t="n">
        <x:v>2013</x:v>
      </x:c>
      <x:c r="D209" t="n">
        <x:v>6</x:v>
      </x:c>
      <x:c r="E209" t="str">
        <x:f>TEXT(B209,"mmm")</x:f>
        <x:v>Jun</x:v>
      </x:c>
      <x:c r="F209" t="str">
        <x:f>"Q"&amp;ROUNDUP(D209/3,0)</x:f>
        <x:v>Q2</x:v>
      </x:c>
      <x:c r="G209" s="23" t="n">
        <x:v>63</x:v>
      </x:c>
      <x:c r="H209" s="23" t="n">
        <x:v>57</x:v>
      </x:c>
      <x:c r="I209" s="23" t="n">
        <x:v>60</x:v>
      </x:c>
      <x:c r="J209" s="23" t="n">
        <x:f>G209-H209</x:f>
        <x:v>6</x:v>
      </x:c>
      <x:c r="K209" t="str">
        <x:v>OBSERVED</x:v>
      </x:c>
      <x:c r="L209" s="24" t="n">
        <x:v>17.4065</x:v>
      </x:c>
      <x:c r="M209" s="24" t="n">
        <x:v>78.4772</x:v>
      </x:c>
      <x:c r="N209" t="str">
        <x:f>IF(I209&gt;70,"70+ dB",IF(I209&gt;55,"56-70 dB","41-55 dB"))</x:f>
        <x:v>56-70 dB</x:v>
      </x:c>
      <x:c r="O209" t="str">
        <x:f>IF(I209&gt;70,"High",IF(I209&gt;55,"Moderate","Low"))</x:f>
        <x:v>Moderate</x:v>
      </x:c>
      <x:c r="P209" t="str">
        <x:f>IF(I209&gt;=70,"Yes","No")</x:f>
        <x:v>No</x:v>
      </x:c>
      <x:c r="Q209" t="str">
        <x:f>TEXT(B209,"yyyy-mm")</x:f>
        <x:v>2013-06</x:v>
      </x:c>
    </x:row>
    <x:row r="210">
      <x:c r="A210" t="str">
        <x:v>HYD02</x:v>
      </x:c>
      <x:c r="B210" s="22" t="n">
        <x:f>DATE(C210,D210,1)</x:f>
        <x:v>41456</x:v>
      </x:c>
      <x:c r="C210" t="n">
        <x:v>2013</x:v>
      </x:c>
      <x:c r="D210" t="n">
        <x:v>7</x:v>
      </x:c>
      <x:c r="E210" t="str">
        <x:f>TEXT(B210,"mmm")</x:f>
        <x:v>Jul</x:v>
      </x:c>
      <x:c r="F210" t="str">
        <x:f>"Q"&amp;ROUNDUP(D210/3,0)</x:f>
        <x:v>Q3</x:v>
      </x:c>
      <x:c r="G210" s="23" t="n">
        <x:v>63</x:v>
      </x:c>
      <x:c r="H210" s="23" t="n">
        <x:v>56</x:v>
      </x:c>
      <x:c r="I210" s="23" t="n">
        <x:v>59.5</x:v>
      </x:c>
      <x:c r="J210" s="23" t="n">
        <x:f>G210-H210</x:f>
        <x:v>7</x:v>
      </x:c>
      <x:c r="K210" t="str">
        <x:v>OBSERVED</x:v>
      </x:c>
      <x:c r="L210" s="24" t="n">
        <x:v>17.4065</x:v>
      </x:c>
      <x:c r="M210" s="24" t="n">
        <x:v>78.4772</x:v>
      </x:c>
      <x:c r="N210" t="str">
        <x:f>IF(I210&gt;70,"70+ dB",IF(I210&gt;55,"56-70 dB","41-55 dB"))</x:f>
        <x:v>56-70 dB</x:v>
      </x:c>
      <x:c r="O210" t="str">
        <x:f>IF(I210&gt;70,"High",IF(I210&gt;55,"Moderate","Low"))</x:f>
        <x:v>Moderate</x:v>
      </x:c>
      <x:c r="P210" t="str">
        <x:f>IF(I210&gt;=70,"Yes","No")</x:f>
        <x:v>No</x:v>
      </x:c>
      <x:c r="Q210" t="str">
        <x:f>TEXT(B210,"yyyy-mm")</x:f>
        <x:v>2013-07</x:v>
      </x:c>
    </x:row>
    <x:row r="211">
      <x:c r="A211" t="str">
        <x:v>HYD02</x:v>
      </x:c>
      <x:c r="B211" s="22" t="n">
        <x:f>DATE(C211,D211,1)</x:f>
        <x:v>41487</x:v>
      </x:c>
      <x:c r="C211" t="n">
        <x:v>2013</x:v>
      </x:c>
      <x:c r="D211" t="n">
        <x:v>8</x:v>
      </x:c>
      <x:c r="E211" t="str">
        <x:f>TEXT(B211,"mmm")</x:f>
        <x:v>Aug</x:v>
      </x:c>
      <x:c r="F211" t="str">
        <x:f>"Q"&amp;ROUNDUP(D211/3,0)</x:f>
        <x:v>Q3</x:v>
      </x:c>
      <x:c r="G211" s="23" t="n">
        <x:v>62</x:v>
      </x:c>
      <x:c r="H211" s="23" t="n">
        <x:v>55</x:v>
      </x:c>
      <x:c r="I211" s="23" t="n">
        <x:v>58.5</x:v>
      </x:c>
      <x:c r="J211" s="23" t="n">
        <x:f>G211-H211</x:f>
        <x:v>7</x:v>
      </x:c>
      <x:c r="K211" t="str">
        <x:v>OBSERVED</x:v>
      </x:c>
      <x:c r="L211" s="24" t="n">
        <x:v>17.4065</x:v>
      </x:c>
      <x:c r="M211" s="24" t="n">
        <x:v>78.4772</x:v>
      </x:c>
      <x:c r="N211" t="str">
        <x:f>IF(I211&gt;70,"70+ dB",IF(I211&gt;55,"56-70 dB","41-55 dB"))</x:f>
        <x:v>56-70 dB</x:v>
      </x:c>
      <x:c r="O211" t="str">
        <x:f>IF(I211&gt;70,"High",IF(I211&gt;55,"Moderate","Low"))</x:f>
        <x:v>Moderate</x:v>
      </x:c>
      <x:c r="P211" t="str">
        <x:f>IF(I211&gt;=70,"Yes","No")</x:f>
        <x:v>No</x:v>
      </x:c>
      <x:c r="Q211" t="str">
        <x:f>TEXT(B211,"yyyy-mm")</x:f>
        <x:v>2013-08</x:v>
      </x:c>
    </x:row>
    <x:row r="212">
      <x:c r="A212" t="str">
        <x:v>HYD02</x:v>
      </x:c>
      <x:c r="B212" s="22" t="n">
        <x:f>DATE(C212,D212,1)</x:f>
        <x:v>41518</x:v>
      </x:c>
      <x:c r="C212" t="n">
        <x:v>2013</x:v>
      </x:c>
      <x:c r="D212" t="n">
        <x:v>9</x:v>
      </x:c>
      <x:c r="E212" t="str">
        <x:f>TEXT(B212,"mmm")</x:f>
        <x:v>Sep</x:v>
      </x:c>
      <x:c r="F212" t="str">
        <x:f>"Q"&amp;ROUNDUP(D212/3,0)</x:f>
        <x:v>Q3</x:v>
      </x:c>
      <x:c r="G212" s="23" t="n">
        <x:v>62</x:v>
      </x:c>
      <x:c r="H212" s="23" t="n">
        <x:v>56</x:v>
      </x:c>
      <x:c r="I212" s="23" t="n">
        <x:v>59</x:v>
      </x:c>
      <x:c r="J212" s="23" t="n">
        <x:f>G212-H212</x:f>
        <x:v>6</x:v>
      </x:c>
      <x:c r="K212" t="str">
        <x:v>OBSERVED</x:v>
      </x:c>
      <x:c r="L212" s="24" t="n">
        <x:v>17.4065</x:v>
      </x:c>
      <x:c r="M212" s="24" t="n">
        <x:v>78.4772</x:v>
      </x:c>
      <x:c r="N212" t="str">
        <x:f>IF(I212&gt;70,"70+ dB",IF(I212&gt;55,"56-70 dB","41-55 dB"))</x:f>
        <x:v>56-70 dB</x:v>
      </x:c>
      <x:c r="O212" t="str">
        <x:f>IF(I212&gt;70,"High",IF(I212&gt;55,"Moderate","Low"))</x:f>
        <x:v>Moderate</x:v>
      </x:c>
      <x:c r="P212" t="str">
        <x:f>IF(I212&gt;=70,"Yes","No")</x:f>
        <x:v>No</x:v>
      </x:c>
      <x:c r="Q212" t="str">
        <x:f>TEXT(B212,"yyyy-mm")</x:f>
        <x:v>2013-09</x:v>
      </x:c>
    </x:row>
    <x:row r="213">
      <x:c r="A213" t="str">
        <x:v>HYD02</x:v>
      </x:c>
      <x:c r="B213" s="22" t="n">
        <x:f>DATE(C213,D213,1)</x:f>
        <x:v>41548</x:v>
      </x:c>
      <x:c r="C213" t="n">
        <x:v>2013</x:v>
      </x:c>
      <x:c r="D213" t="n">
        <x:v>10</x:v>
      </x:c>
      <x:c r="E213" t="str">
        <x:f>TEXT(B213,"mmm")</x:f>
        <x:v>Oct</x:v>
      </x:c>
      <x:c r="F213" t="str">
        <x:f>"Q"&amp;ROUNDUP(D213/3,0)</x:f>
        <x:v>Q4</x:v>
      </x:c>
      <x:c r="G213" s="23" t="n">
        <x:v>64</x:v>
      </x:c>
      <x:c r="H213" s="23" t="n">
        <x:v>59</x:v>
      </x:c>
      <x:c r="I213" s="23" t="n">
        <x:v>61.5</x:v>
      </x:c>
      <x:c r="J213" s="23" t="n">
        <x:f>G213-H213</x:f>
        <x:v>5</x:v>
      </x:c>
      <x:c r="K213" t="str">
        <x:v>OBSERVED</x:v>
      </x:c>
      <x:c r="L213" s="24" t="n">
        <x:v>17.4065</x:v>
      </x:c>
      <x:c r="M213" s="24" t="n">
        <x:v>78.4772</x:v>
      </x:c>
      <x:c r="N213" t="str">
        <x:f>IF(I213&gt;70,"70+ dB",IF(I213&gt;55,"56-70 dB","41-55 dB"))</x:f>
        <x:v>56-70 dB</x:v>
      </x:c>
      <x:c r="O213" t="str">
        <x:f>IF(I213&gt;70,"High",IF(I213&gt;55,"Moderate","Low"))</x:f>
        <x:v>Moderate</x:v>
      </x:c>
      <x:c r="P213" t="str">
        <x:f>IF(I213&gt;=70,"Yes","No")</x:f>
        <x:v>No</x:v>
      </x:c>
      <x:c r="Q213" t="str">
        <x:f>TEXT(B213,"yyyy-mm")</x:f>
        <x:v>2013-10</x:v>
      </x:c>
    </x:row>
    <x:row r="214">
      <x:c r="A214" t="str">
        <x:v>HYD02</x:v>
      </x:c>
      <x:c r="B214" s="22" t="n">
        <x:f>DATE(C214,D214,1)</x:f>
        <x:v>41579</x:v>
      </x:c>
      <x:c r="C214" t="n">
        <x:v>2013</x:v>
      </x:c>
      <x:c r="D214" t="n">
        <x:v>11</x:v>
      </x:c>
      <x:c r="E214" t="str">
        <x:f>TEXT(B214,"mmm")</x:f>
        <x:v>Nov</x:v>
      </x:c>
      <x:c r="F214" t="str">
        <x:f>"Q"&amp;ROUNDUP(D214/3,0)</x:f>
        <x:v>Q4</x:v>
      </x:c>
      <x:c r="G214" s="23" t="n">
        <x:v>65</x:v>
      </x:c>
      <x:c r="H214" s="23" t="n">
        <x:v>57</x:v>
      </x:c>
      <x:c r="I214" s="23" t="n">
        <x:v>61</x:v>
      </x:c>
      <x:c r="J214" s="23" t="n">
        <x:f>G214-H214</x:f>
        <x:v>8</x:v>
      </x:c>
      <x:c r="K214" t="str">
        <x:v>OBSERVED</x:v>
      </x:c>
      <x:c r="L214" s="24" t="n">
        <x:v>17.4065</x:v>
      </x:c>
      <x:c r="M214" s="24" t="n">
        <x:v>78.4772</x:v>
      </x:c>
      <x:c r="N214" t="str">
        <x:f>IF(I214&gt;70,"70+ dB",IF(I214&gt;55,"56-70 dB","41-55 dB"))</x:f>
        <x:v>56-70 dB</x:v>
      </x:c>
      <x:c r="O214" t="str">
        <x:f>IF(I214&gt;70,"High",IF(I214&gt;55,"Moderate","Low"))</x:f>
        <x:v>Moderate</x:v>
      </x:c>
      <x:c r="P214" t="str">
        <x:f>IF(I214&gt;=70,"Yes","No")</x:f>
        <x:v>No</x:v>
      </x:c>
      <x:c r="Q214" t="str">
        <x:f>TEXT(B214,"yyyy-mm")</x:f>
        <x:v>2013-11</x:v>
      </x:c>
    </x:row>
    <x:row r="215">
      <x:c r="A215" t="str">
        <x:v>HYD02</x:v>
      </x:c>
      <x:c r="B215" s="22" t="n">
        <x:f>DATE(C215,D215,1)</x:f>
        <x:v>41609</x:v>
      </x:c>
      <x:c r="C215" t="n">
        <x:v>2013</x:v>
      </x:c>
      <x:c r="D215" t="n">
        <x:v>12</x:v>
      </x:c>
      <x:c r="E215" t="str">
        <x:f>TEXT(B215,"mmm")</x:f>
        <x:v>Dec</x:v>
      </x:c>
      <x:c r="F215" t="str">
        <x:f>"Q"&amp;ROUNDUP(D215/3,0)</x:f>
        <x:v>Q4</x:v>
      </x:c>
      <x:c r="G215" s="23" t="n">
        <x:v>65</x:v>
      </x:c>
      <x:c r="H215" s="23" t="n">
        <x:v>59</x:v>
      </x:c>
      <x:c r="I215" s="23" t="n">
        <x:v>62</x:v>
      </x:c>
      <x:c r="J215" s="23" t="n">
        <x:f>G215-H215</x:f>
        <x:v>6</x:v>
      </x:c>
      <x:c r="K215" t="str">
        <x:v>OBSERVED</x:v>
      </x:c>
      <x:c r="L215" s="24" t="n">
        <x:v>17.4065</x:v>
      </x:c>
      <x:c r="M215" s="24" t="n">
        <x:v>78.4772</x:v>
      </x:c>
      <x:c r="N215" t="str">
        <x:f>IF(I215&gt;70,"70+ dB",IF(I215&gt;55,"56-70 dB","41-55 dB"))</x:f>
        <x:v>56-70 dB</x:v>
      </x:c>
      <x:c r="O215" t="str">
        <x:f>IF(I215&gt;70,"High",IF(I215&gt;55,"Moderate","Low"))</x:f>
        <x:v>Moderate</x:v>
      </x:c>
      <x:c r="P215" t="str">
        <x:f>IF(I215&gt;=70,"Yes","No")</x:f>
        <x:v>No</x:v>
      </x:c>
      <x:c r="Q215" t="str">
        <x:f>TEXT(B215,"yyyy-mm")</x:f>
        <x:v>2013-12</x:v>
      </x:c>
    </x:row>
    <x:row r="216">
      <x:c r="A216" t="str">
        <x:v>HYD02</x:v>
      </x:c>
      <x:c r="B216" s="22" t="n">
        <x:f>DATE(C216,D216,1)</x:f>
        <x:v>41640</x:v>
      </x:c>
      <x:c r="C216" t="n">
        <x:v>2014</x:v>
      </x:c>
      <x:c r="D216" t="n">
        <x:v>1</x:v>
      </x:c>
      <x:c r="E216" t="str">
        <x:f>TEXT(B216,"mmm")</x:f>
        <x:v>Jan</x:v>
      </x:c>
      <x:c r="F216" t="str">
        <x:f>"Q"&amp;ROUNDUP(D216/3,0)</x:f>
        <x:v>Q1</x:v>
      </x:c>
      <x:c r="G216" s="23" t="n">
        <x:v>64</x:v>
      </x:c>
      <x:c r="H216" s="23" t="n">
        <x:v>58</x:v>
      </x:c>
      <x:c r="I216" s="23" t="n">
        <x:v>61</x:v>
      </x:c>
      <x:c r="J216" s="23" t="n">
        <x:f>G216-H216</x:f>
        <x:v>6</x:v>
      </x:c>
      <x:c r="K216" t="str">
        <x:v>OBSERVED</x:v>
      </x:c>
      <x:c r="L216" s="24" t="n">
        <x:v>17.4065</x:v>
      </x:c>
      <x:c r="M216" s="24" t="n">
        <x:v>78.4772</x:v>
      </x:c>
      <x:c r="N216" t="str">
        <x:f>IF(I216&gt;70,"70+ dB",IF(I216&gt;55,"56-70 dB","41-55 dB"))</x:f>
        <x:v>56-70 dB</x:v>
      </x:c>
      <x:c r="O216" t="str">
        <x:f>IF(I216&gt;70,"High",IF(I216&gt;55,"Moderate","Low"))</x:f>
        <x:v>Moderate</x:v>
      </x:c>
      <x:c r="P216" t="str">
        <x:f>IF(I216&gt;=70,"Yes","No")</x:f>
        <x:v>No</x:v>
      </x:c>
      <x:c r="Q216" t="str">
        <x:f>TEXT(B216,"yyyy-mm")</x:f>
        <x:v>2014-01</x:v>
      </x:c>
    </x:row>
    <x:row r="217">
      <x:c r="A217" t="str">
        <x:v>HYD02</x:v>
      </x:c>
      <x:c r="B217" s="22" t="n">
        <x:f>DATE(C217,D217,1)</x:f>
        <x:v>41671</x:v>
      </x:c>
      <x:c r="C217" t="n">
        <x:v>2014</x:v>
      </x:c>
      <x:c r="D217" t="n">
        <x:v>2</x:v>
      </x:c>
      <x:c r="E217" t="str">
        <x:f>TEXT(B217,"mmm")</x:f>
        <x:v>Feb</x:v>
      </x:c>
      <x:c r="F217" t="str">
        <x:f>"Q"&amp;ROUNDUP(D217/3,0)</x:f>
        <x:v>Q1</x:v>
      </x:c>
      <x:c r="G217" s="23" t="n">
        <x:v>65</x:v>
      </x:c>
      <x:c r="H217" s="23" t="n">
        <x:v>59</x:v>
      </x:c>
      <x:c r="I217" s="23" t="n">
        <x:v>62</x:v>
      </x:c>
      <x:c r="J217" s="23" t="n">
        <x:f>G217-H217</x:f>
        <x:v>6</x:v>
      </x:c>
      <x:c r="K217" t="str">
        <x:v>OBSERVED</x:v>
      </x:c>
      <x:c r="L217" s="24" t="n">
        <x:v>17.4065</x:v>
      </x:c>
      <x:c r="M217" s="24" t="n">
        <x:v>78.4772</x:v>
      </x:c>
      <x:c r="N217" t="str">
        <x:f>IF(I217&gt;70,"70+ dB",IF(I217&gt;55,"56-70 dB","41-55 dB"))</x:f>
        <x:v>56-70 dB</x:v>
      </x:c>
      <x:c r="O217" t="str">
        <x:f>IF(I217&gt;70,"High",IF(I217&gt;55,"Moderate","Low"))</x:f>
        <x:v>Moderate</x:v>
      </x:c>
      <x:c r="P217" t="str">
        <x:f>IF(I217&gt;=70,"Yes","No")</x:f>
        <x:v>No</x:v>
      </x:c>
      <x:c r="Q217" t="str">
        <x:f>TEXT(B217,"yyyy-mm")</x:f>
        <x:v>2014-02</x:v>
      </x:c>
    </x:row>
    <x:row r="218">
      <x:c r="A218" t="str">
        <x:v>HYD02</x:v>
      </x:c>
      <x:c r="B218" s="22" t="n">
        <x:f>DATE(C218,D218,1)</x:f>
        <x:v>41699</x:v>
      </x:c>
      <x:c r="C218" t="n">
        <x:v>2014</x:v>
      </x:c>
      <x:c r="D218" t="n">
        <x:v>3</x:v>
      </x:c>
      <x:c r="E218" t="str">
        <x:f>TEXT(B218,"mmm")</x:f>
        <x:v>Mar</x:v>
      </x:c>
      <x:c r="F218" t="str">
        <x:f>"Q"&amp;ROUNDUP(D218/3,0)</x:f>
        <x:v>Q1</x:v>
      </x:c>
      <x:c r="G218" s="23" t="n">
        <x:v>66</x:v>
      </x:c>
      <x:c r="H218" s="23" t="n">
        <x:v>60</x:v>
      </x:c>
      <x:c r="I218" s="23" t="n">
        <x:v>63</x:v>
      </x:c>
      <x:c r="J218" s="23" t="n">
        <x:f>G218-H218</x:f>
        <x:v>6</x:v>
      </x:c>
      <x:c r="K218" t="str">
        <x:v>OBSERVED</x:v>
      </x:c>
      <x:c r="L218" s="24" t="n">
        <x:v>17.4065</x:v>
      </x:c>
      <x:c r="M218" s="24" t="n">
        <x:v>78.4772</x:v>
      </x:c>
      <x:c r="N218" t="str">
        <x:f>IF(I218&gt;70,"70+ dB",IF(I218&gt;55,"56-70 dB","41-55 dB"))</x:f>
        <x:v>56-70 dB</x:v>
      </x:c>
      <x:c r="O218" t="str">
        <x:f>IF(I218&gt;70,"High",IF(I218&gt;55,"Moderate","Low"))</x:f>
        <x:v>Moderate</x:v>
      </x:c>
      <x:c r="P218" t="str">
        <x:f>IF(I218&gt;=70,"Yes","No")</x:f>
        <x:v>No</x:v>
      </x:c>
      <x:c r="Q218" t="str">
        <x:f>TEXT(B218,"yyyy-mm")</x:f>
        <x:v>2014-03</x:v>
      </x:c>
    </x:row>
    <x:row r="219">
      <x:c r="A219" t="str">
        <x:v>HYD02</x:v>
      </x:c>
      <x:c r="B219" s="22" t="n">
        <x:f>DATE(C219,D219,1)</x:f>
        <x:v>41730</x:v>
      </x:c>
      <x:c r="C219" t="n">
        <x:v>2014</x:v>
      </x:c>
      <x:c r="D219" t="n">
        <x:v>4</x:v>
      </x:c>
      <x:c r="E219" t="str">
        <x:f>TEXT(B219,"mmm")</x:f>
        <x:v>Apr</x:v>
      </x:c>
      <x:c r="F219" t="str">
        <x:f>"Q"&amp;ROUNDUP(D219/3,0)</x:f>
        <x:v>Q2</x:v>
      </x:c>
      <x:c r="G219" s="23" t="n">
        <x:v>65</x:v>
      </x:c>
      <x:c r="H219" s="23" t="n">
        <x:v>57</x:v>
      </x:c>
      <x:c r="I219" s="23" t="n">
        <x:v>61</x:v>
      </x:c>
      <x:c r="J219" s="23" t="n">
        <x:f>G219-H219</x:f>
        <x:v>8</x:v>
      </x:c>
      <x:c r="K219" t="str">
        <x:v>OBSERVED</x:v>
      </x:c>
      <x:c r="L219" s="24" t="n">
        <x:v>17.4065</x:v>
      </x:c>
      <x:c r="M219" s="24" t="n">
        <x:v>78.4772</x:v>
      </x:c>
      <x:c r="N219" t="str">
        <x:f>IF(I219&gt;70,"70+ dB",IF(I219&gt;55,"56-70 dB","41-55 dB"))</x:f>
        <x:v>56-70 dB</x:v>
      </x:c>
      <x:c r="O219" t="str">
        <x:f>IF(I219&gt;70,"High",IF(I219&gt;55,"Moderate","Low"))</x:f>
        <x:v>Moderate</x:v>
      </x:c>
      <x:c r="P219" t="str">
        <x:f>IF(I219&gt;=70,"Yes","No")</x:f>
        <x:v>No</x:v>
      </x:c>
      <x:c r="Q219" t="str">
        <x:f>TEXT(B219,"yyyy-mm")</x:f>
        <x:v>2014-04</x:v>
      </x:c>
    </x:row>
    <x:row r="220">
      <x:c r="A220" t="str">
        <x:v>HYD02</x:v>
      </x:c>
      <x:c r="B220" s="22" t="n">
        <x:f>DATE(C220,D220,1)</x:f>
        <x:v>41760</x:v>
      </x:c>
      <x:c r="C220" t="n">
        <x:v>2014</x:v>
      </x:c>
      <x:c r="D220" t="n">
        <x:v>5</x:v>
      </x:c>
      <x:c r="E220" t="str">
        <x:f>TEXT(B220,"mmm")</x:f>
        <x:v>May</x:v>
      </x:c>
      <x:c r="F220" t="str">
        <x:f>"Q"&amp;ROUNDUP(D220/3,0)</x:f>
        <x:v>Q2</x:v>
      </x:c>
      <x:c r="G220" s="23" t="n">
        <x:v>65</x:v>
      </x:c>
      <x:c r="H220" s="23" t="n">
        <x:v>58</x:v>
      </x:c>
      <x:c r="I220" s="23" t="n">
        <x:v>61.5</x:v>
      </x:c>
      <x:c r="J220" s="23" t="n">
        <x:f>G220-H220</x:f>
        <x:v>7</x:v>
      </x:c>
      <x:c r="K220" t="str">
        <x:v>OBSERVED</x:v>
      </x:c>
      <x:c r="L220" s="24" t="n">
        <x:v>17.4065</x:v>
      </x:c>
      <x:c r="M220" s="24" t="n">
        <x:v>78.4772</x:v>
      </x:c>
      <x:c r="N220" t="str">
        <x:f>IF(I220&gt;70,"70+ dB",IF(I220&gt;55,"56-70 dB","41-55 dB"))</x:f>
        <x:v>56-70 dB</x:v>
      </x:c>
      <x:c r="O220" t="str">
        <x:f>IF(I220&gt;70,"High",IF(I220&gt;55,"Moderate","Low"))</x:f>
        <x:v>Moderate</x:v>
      </x:c>
      <x:c r="P220" t="str">
        <x:f>IF(I220&gt;=70,"Yes","No")</x:f>
        <x:v>No</x:v>
      </x:c>
      <x:c r="Q220" t="str">
        <x:f>TEXT(B220,"yyyy-mm")</x:f>
        <x:v>2014-05</x:v>
      </x:c>
    </x:row>
    <x:row r="221">
      <x:c r="A221" t="str">
        <x:v>HYD02</x:v>
      </x:c>
      <x:c r="B221" s="22" t="n">
        <x:f>DATE(C221,D221,1)</x:f>
        <x:v>41791</x:v>
      </x:c>
      <x:c r="C221" t="n">
        <x:v>2014</x:v>
      </x:c>
      <x:c r="D221" t="n">
        <x:v>6</x:v>
      </x:c>
      <x:c r="E221" t="str">
        <x:f>TEXT(B221,"mmm")</x:f>
        <x:v>Jun</x:v>
      </x:c>
      <x:c r="F221" t="str">
        <x:f>"Q"&amp;ROUNDUP(D221/3,0)</x:f>
        <x:v>Q2</x:v>
      </x:c>
      <x:c r="G221" s="23" t="n">
        <x:v>65</x:v>
      </x:c>
      <x:c r="H221" s="23" t="n">
        <x:v>59</x:v>
      </x:c>
      <x:c r="I221" s="23" t="n">
        <x:v>62</x:v>
      </x:c>
      <x:c r="J221" s="23" t="n">
        <x:f>G221-H221</x:f>
        <x:v>6</x:v>
      </x:c>
      <x:c r="K221" t="str">
        <x:v>OBSERVED</x:v>
      </x:c>
      <x:c r="L221" s="24" t="n">
        <x:v>17.4065</x:v>
      </x:c>
      <x:c r="M221" s="24" t="n">
        <x:v>78.4772</x:v>
      </x:c>
      <x:c r="N221" t="str">
        <x:f>IF(I221&gt;70,"70+ dB",IF(I221&gt;55,"56-70 dB","41-55 dB"))</x:f>
        <x:v>56-70 dB</x:v>
      </x:c>
      <x:c r="O221" t="str">
        <x:f>IF(I221&gt;70,"High",IF(I221&gt;55,"Moderate","Low"))</x:f>
        <x:v>Moderate</x:v>
      </x:c>
      <x:c r="P221" t="str">
        <x:f>IF(I221&gt;=70,"Yes","No")</x:f>
        <x:v>No</x:v>
      </x:c>
      <x:c r="Q221" t="str">
        <x:f>TEXT(B221,"yyyy-mm")</x:f>
        <x:v>2014-06</x:v>
      </x:c>
    </x:row>
    <x:row r="222">
      <x:c r="A222" t="str">
        <x:v>HYD02</x:v>
      </x:c>
      <x:c r="B222" s="22" t="n">
        <x:f>DATE(C222,D222,1)</x:f>
        <x:v>41821</x:v>
      </x:c>
      <x:c r="C222" t="n">
        <x:v>2014</x:v>
      </x:c>
      <x:c r="D222" t="n">
        <x:v>7</x:v>
      </x:c>
      <x:c r="E222" t="str">
        <x:f>TEXT(B222,"mmm")</x:f>
        <x:v>Jul</x:v>
      </x:c>
      <x:c r="F222" t="str">
        <x:f>"Q"&amp;ROUNDUP(D222/3,0)</x:f>
        <x:v>Q3</x:v>
      </x:c>
      <x:c r="G222" s="23" t="n">
        <x:v>66</x:v>
      </x:c>
      <x:c r="H222" s="23" t="n">
        <x:v>59</x:v>
      </x:c>
      <x:c r="I222" s="23" t="n">
        <x:v>62.5</x:v>
      </x:c>
      <x:c r="J222" s="23" t="n">
        <x:f>G222-H222</x:f>
        <x:v>7</x:v>
      </x:c>
      <x:c r="K222" t="str">
        <x:v>OBSERVED</x:v>
      </x:c>
      <x:c r="L222" s="24" t="n">
        <x:v>17.4065</x:v>
      </x:c>
      <x:c r="M222" s="24" t="n">
        <x:v>78.4772</x:v>
      </x:c>
      <x:c r="N222" t="str">
        <x:f>IF(I222&gt;70,"70+ dB",IF(I222&gt;55,"56-70 dB","41-55 dB"))</x:f>
        <x:v>56-70 dB</x:v>
      </x:c>
      <x:c r="O222" t="str">
        <x:f>IF(I222&gt;70,"High",IF(I222&gt;55,"Moderate","Low"))</x:f>
        <x:v>Moderate</x:v>
      </x:c>
      <x:c r="P222" t="str">
        <x:f>IF(I222&gt;=70,"Yes","No")</x:f>
        <x:v>No</x:v>
      </x:c>
      <x:c r="Q222" t="str">
        <x:f>TEXT(B222,"yyyy-mm")</x:f>
        <x:v>2014-07</x:v>
      </x:c>
    </x:row>
    <x:row r="223">
      <x:c r="A223" t="str">
        <x:v>HYD02</x:v>
      </x:c>
      <x:c r="B223" s="22" t="n">
        <x:f>DATE(C223,D223,1)</x:f>
        <x:v>41852</x:v>
      </x:c>
      <x:c r="C223" t="n">
        <x:v>2014</x:v>
      </x:c>
      <x:c r="D223" t="n">
        <x:v>8</x:v>
      </x:c>
      <x:c r="E223" t="str">
        <x:f>TEXT(B223,"mmm")</x:f>
        <x:v>Aug</x:v>
      </x:c>
      <x:c r="F223" t="str">
        <x:f>"Q"&amp;ROUNDUP(D223/3,0)</x:f>
        <x:v>Q3</x:v>
      </x:c>
      <x:c r="G223" s="23" t="n">
        <x:v>65</x:v>
      </x:c>
      <x:c r="H223" s="23" t="n">
        <x:v>59</x:v>
      </x:c>
      <x:c r="I223" s="23" t="n">
        <x:v>62</x:v>
      </x:c>
      <x:c r="J223" s="23" t="n">
        <x:f>G223-H223</x:f>
        <x:v>6</x:v>
      </x:c>
      <x:c r="K223" t="str">
        <x:v>OBSERVED</x:v>
      </x:c>
      <x:c r="L223" s="24" t="n">
        <x:v>17.4065</x:v>
      </x:c>
      <x:c r="M223" s="24" t="n">
        <x:v>78.4772</x:v>
      </x:c>
      <x:c r="N223" t="str">
        <x:f>IF(I223&gt;70,"70+ dB",IF(I223&gt;55,"56-70 dB","41-55 dB"))</x:f>
        <x:v>56-70 dB</x:v>
      </x:c>
      <x:c r="O223" t="str">
        <x:f>IF(I223&gt;70,"High",IF(I223&gt;55,"Moderate","Low"))</x:f>
        <x:v>Moderate</x:v>
      </x:c>
      <x:c r="P223" t="str">
        <x:f>IF(I223&gt;=70,"Yes","No")</x:f>
        <x:v>No</x:v>
      </x:c>
      <x:c r="Q223" t="str">
        <x:f>TEXT(B223,"yyyy-mm")</x:f>
        <x:v>2014-08</x:v>
      </x:c>
    </x:row>
    <x:row r="224">
      <x:c r="A224" t="str">
        <x:v>HYD02</x:v>
      </x:c>
      <x:c r="B224" s="22" t="n">
        <x:f>DATE(C224,D224,1)</x:f>
        <x:v>41883</x:v>
      </x:c>
      <x:c r="C224" t="n">
        <x:v>2014</x:v>
      </x:c>
      <x:c r="D224" t="n">
        <x:v>9</x:v>
      </x:c>
      <x:c r="E224" t="str">
        <x:f>TEXT(B224,"mmm")</x:f>
        <x:v>Sep</x:v>
      </x:c>
      <x:c r="F224" t="str">
        <x:f>"Q"&amp;ROUNDUP(D224/3,0)</x:f>
        <x:v>Q3</x:v>
      </x:c>
      <x:c r="G224" s="23" t="n">
        <x:v>65</x:v>
      </x:c>
      <x:c r="H224" s="23" t="n">
        <x:v>58</x:v>
      </x:c>
      <x:c r="I224" s="23" t="n">
        <x:v>61.5</x:v>
      </x:c>
      <x:c r="J224" s="23" t="n">
        <x:f>G224-H224</x:f>
        <x:v>7</x:v>
      </x:c>
      <x:c r="K224" t="str">
        <x:v>OBSERVED</x:v>
      </x:c>
      <x:c r="L224" s="24" t="n">
        <x:v>17.4065</x:v>
      </x:c>
      <x:c r="M224" s="24" t="n">
        <x:v>78.4772</x:v>
      </x:c>
      <x:c r="N224" t="str">
        <x:f>IF(I224&gt;70,"70+ dB",IF(I224&gt;55,"56-70 dB","41-55 dB"))</x:f>
        <x:v>56-70 dB</x:v>
      </x:c>
      <x:c r="O224" t="str">
        <x:f>IF(I224&gt;70,"High",IF(I224&gt;55,"Moderate","Low"))</x:f>
        <x:v>Moderate</x:v>
      </x:c>
      <x:c r="P224" t="str">
        <x:f>IF(I224&gt;=70,"Yes","No")</x:f>
        <x:v>No</x:v>
      </x:c>
      <x:c r="Q224" t="str">
        <x:f>TEXT(B224,"yyyy-mm")</x:f>
        <x:v>2014-09</x:v>
      </x:c>
    </x:row>
    <x:row r="225">
      <x:c r="A225" t="str">
        <x:v>HYD02</x:v>
      </x:c>
      <x:c r="B225" s="22" t="n">
        <x:f>DATE(C225,D225,1)</x:f>
        <x:v>41913</x:v>
      </x:c>
      <x:c r="C225" t="n">
        <x:v>2014</x:v>
      </x:c>
      <x:c r="D225" t="n">
        <x:v>10</x:v>
      </x:c>
      <x:c r="E225" t="str">
        <x:f>TEXT(B225,"mmm")</x:f>
        <x:v>Oct</x:v>
      </x:c>
      <x:c r="F225" t="str">
        <x:f>"Q"&amp;ROUNDUP(D225/3,0)</x:f>
        <x:v>Q4</x:v>
      </x:c>
      <x:c r="G225" s="23" t="n">
        <x:v>64</x:v>
      </x:c>
      <x:c r="H225" s="23" t="n">
        <x:v>58</x:v>
      </x:c>
      <x:c r="I225" s="23" t="n">
        <x:v>61</x:v>
      </x:c>
      <x:c r="J225" s="23" t="n">
        <x:f>G225-H225</x:f>
        <x:v>6</x:v>
      </x:c>
      <x:c r="K225" t="str">
        <x:v>OBSERVED</x:v>
      </x:c>
      <x:c r="L225" s="24" t="n">
        <x:v>17.4065</x:v>
      </x:c>
      <x:c r="M225" s="24" t="n">
        <x:v>78.4772</x:v>
      </x:c>
      <x:c r="N225" t="str">
        <x:f>IF(I225&gt;70,"70+ dB",IF(I225&gt;55,"56-70 dB","41-55 dB"))</x:f>
        <x:v>56-70 dB</x:v>
      </x:c>
      <x:c r="O225" t="str">
        <x:f>IF(I225&gt;70,"High",IF(I225&gt;55,"Moderate","Low"))</x:f>
        <x:v>Moderate</x:v>
      </x:c>
      <x:c r="P225" t="str">
        <x:f>IF(I225&gt;=70,"Yes","No")</x:f>
        <x:v>No</x:v>
      </x:c>
      <x:c r="Q225" t="str">
        <x:f>TEXT(B225,"yyyy-mm")</x:f>
        <x:v>2014-10</x:v>
      </x:c>
    </x:row>
    <x:row r="226">
      <x:c r="A226" t="str">
        <x:v>HYD02</x:v>
      </x:c>
      <x:c r="B226" s="22" t="n">
        <x:f>DATE(C226,D226,1)</x:f>
        <x:v>41944</x:v>
      </x:c>
      <x:c r="C226" t="n">
        <x:v>2014</x:v>
      </x:c>
      <x:c r="D226" t="n">
        <x:v>11</x:v>
      </x:c>
      <x:c r="E226" t="str">
        <x:f>TEXT(B226,"mmm")</x:f>
        <x:v>Nov</x:v>
      </x:c>
      <x:c r="F226" t="str">
        <x:f>"Q"&amp;ROUNDUP(D226/3,0)</x:f>
        <x:v>Q4</x:v>
      </x:c>
      <x:c r="G226" s="23" t="n">
        <x:v>65</x:v>
      </x:c>
      <x:c r="H226" s="23" t="n">
        <x:v>59</x:v>
      </x:c>
      <x:c r="I226" s="23" t="n">
        <x:v>62</x:v>
      </x:c>
      <x:c r="J226" s="23" t="n">
        <x:f>G226-H226</x:f>
        <x:v>6</x:v>
      </x:c>
      <x:c r="K226" t="str">
        <x:v>OBSERVED</x:v>
      </x:c>
      <x:c r="L226" s="24" t="n">
        <x:v>17.4065</x:v>
      </x:c>
      <x:c r="M226" s="24" t="n">
        <x:v>78.4772</x:v>
      </x:c>
      <x:c r="N226" t="str">
        <x:f>IF(I226&gt;70,"70+ dB",IF(I226&gt;55,"56-70 dB","41-55 dB"))</x:f>
        <x:v>56-70 dB</x:v>
      </x:c>
      <x:c r="O226" t="str">
        <x:f>IF(I226&gt;70,"High",IF(I226&gt;55,"Moderate","Low"))</x:f>
        <x:v>Moderate</x:v>
      </x:c>
      <x:c r="P226" t="str">
        <x:f>IF(I226&gt;=70,"Yes","No")</x:f>
        <x:v>No</x:v>
      </x:c>
      <x:c r="Q226" t="str">
        <x:f>TEXT(B226,"yyyy-mm")</x:f>
        <x:v>2014-11</x:v>
      </x:c>
    </x:row>
    <x:row r="227">
      <x:c r="A227" t="str">
        <x:v>HYD02</x:v>
      </x:c>
      <x:c r="B227" s="22" t="n">
        <x:f>DATE(C227,D227,1)</x:f>
        <x:v>41974</x:v>
      </x:c>
      <x:c r="C227" t="n">
        <x:v>2014</x:v>
      </x:c>
      <x:c r="D227" t="n">
        <x:v>12</x:v>
      </x:c>
      <x:c r="E227" t="str">
        <x:f>TEXT(B227,"mmm")</x:f>
        <x:v>Dec</x:v>
      </x:c>
      <x:c r="F227" t="str">
        <x:f>"Q"&amp;ROUNDUP(D227/3,0)</x:f>
        <x:v>Q4</x:v>
      </x:c>
      <x:c r="G227" s="23" t="n">
        <x:v>65</x:v>
      </x:c>
      <x:c r="H227" s="23" t="n">
        <x:v>58</x:v>
      </x:c>
      <x:c r="I227" s="23" t="n">
        <x:v>61.5</x:v>
      </x:c>
      <x:c r="J227" s="23" t="n">
        <x:f>G227-H227</x:f>
        <x:v>7</x:v>
      </x:c>
      <x:c r="K227" t="str">
        <x:v>OBSERVED</x:v>
      </x:c>
      <x:c r="L227" s="24" t="n">
        <x:v>17.4065</x:v>
      </x:c>
      <x:c r="M227" s="24" t="n">
        <x:v>78.4772</x:v>
      </x:c>
      <x:c r="N227" t="str">
        <x:f>IF(I227&gt;70,"70+ dB",IF(I227&gt;55,"56-70 dB","41-55 dB"))</x:f>
        <x:v>56-70 dB</x:v>
      </x:c>
      <x:c r="O227" t="str">
        <x:f>IF(I227&gt;70,"High",IF(I227&gt;55,"Moderate","Low"))</x:f>
        <x:v>Moderate</x:v>
      </x:c>
      <x:c r="P227" t="str">
        <x:f>IF(I227&gt;=70,"Yes","No")</x:f>
        <x:v>No</x:v>
      </x:c>
      <x:c r="Q227" t="str">
        <x:f>TEXT(B227,"yyyy-mm")</x:f>
        <x:v>2014-12</x:v>
      </x:c>
    </x:row>
    <x:row r="228">
      <x:c r="A228" t="str">
        <x:v>HYD02</x:v>
      </x:c>
      <x:c r="B228" s="22" t="n">
        <x:f>DATE(C228,D228,1)</x:f>
        <x:v>42005</x:v>
      </x:c>
      <x:c r="C228" t="n">
        <x:v>2015</x:v>
      </x:c>
      <x:c r="D228" t="n">
        <x:v>1</x:v>
      </x:c>
      <x:c r="E228" t="str">
        <x:f>TEXT(B228,"mmm")</x:f>
        <x:v>Jan</x:v>
      </x:c>
      <x:c r="F228" t="str">
        <x:f>"Q"&amp;ROUNDUP(D228/3,0)</x:f>
        <x:v>Q1</x:v>
      </x:c>
      <x:c r="G228" s="23" t="n">
        <x:v>59</x:v>
      </x:c>
      <x:c r="H228" s="23" t="n">
        <x:v>52</x:v>
      </x:c>
      <x:c r="I228" s="23" t="n">
        <x:v>55.5</x:v>
      </x:c>
      <x:c r="J228" s="23" t="n">
        <x:f>G228-H228</x:f>
        <x:v>7</x:v>
      </x:c>
      <x:c r="K228" t="str">
        <x:v>OBSERVED</x:v>
      </x:c>
      <x:c r="L228" s="24" t="n">
        <x:v>17.4065</x:v>
      </x:c>
      <x:c r="M228" s="24" t="n">
        <x:v>78.4772</x:v>
      </x:c>
      <x:c r="N228" t="str">
        <x:f>IF(I228&gt;70,"70+ dB",IF(I228&gt;55,"56-70 dB","41-55 dB"))</x:f>
        <x:v>56-70 dB</x:v>
      </x:c>
      <x:c r="O228" t="str">
        <x:f>IF(I228&gt;70,"High",IF(I228&gt;55,"Moderate","Low"))</x:f>
        <x:v>Moderate</x:v>
      </x:c>
      <x:c r="P228" t="str">
        <x:f>IF(I228&gt;=70,"Yes","No")</x:f>
        <x:v>No</x:v>
      </x:c>
      <x:c r="Q228" t="str">
        <x:f>TEXT(B228,"yyyy-mm")</x:f>
        <x:v>2015-01</x:v>
      </x:c>
    </x:row>
    <x:row r="229">
      <x:c r="A229" t="str">
        <x:v>HYD02</x:v>
      </x:c>
      <x:c r="B229" s="22" t="n">
        <x:f>DATE(C229,D229,1)</x:f>
        <x:v>42036</x:v>
      </x:c>
      <x:c r="C229" t="n">
        <x:v>2015</x:v>
      </x:c>
      <x:c r="D229" t="n">
        <x:v>2</x:v>
      </x:c>
      <x:c r="E229" t="str">
        <x:f>TEXT(B229,"mmm")</x:f>
        <x:v>Feb</x:v>
      </x:c>
      <x:c r="F229" t="str">
        <x:f>"Q"&amp;ROUNDUP(D229/3,0)</x:f>
        <x:v>Q1</x:v>
      </x:c>
      <x:c r="G229" s="23" t="n">
        <x:v>59</x:v>
      </x:c>
      <x:c r="H229" s="23" t="n">
        <x:v>52</x:v>
      </x:c>
      <x:c r="I229" s="23" t="n">
        <x:v>55.5</x:v>
      </x:c>
      <x:c r="J229" s="23" t="n">
        <x:f>G229-H229</x:f>
        <x:v>7</x:v>
      </x:c>
      <x:c r="K229" t="str">
        <x:v>OBSERVED</x:v>
      </x:c>
      <x:c r="L229" s="24" t="n">
        <x:v>17.4065</x:v>
      </x:c>
      <x:c r="M229" s="24" t="n">
        <x:v>78.4772</x:v>
      </x:c>
      <x:c r="N229" t="str">
        <x:f>IF(I229&gt;70,"70+ dB",IF(I229&gt;55,"56-70 dB","41-55 dB"))</x:f>
        <x:v>56-70 dB</x:v>
      </x:c>
      <x:c r="O229" t="str">
        <x:f>IF(I229&gt;70,"High",IF(I229&gt;55,"Moderate","Low"))</x:f>
        <x:v>Moderate</x:v>
      </x:c>
      <x:c r="P229" t="str">
        <x:f>IF(I229&gt;=70,"Yes","No")</x:f>
        <x:v>No</x:v>
      </x:c>
      <x:c r="Q229" t="str">
        <x:f>TEXT(B229,"yyyy-mm")</x:f>
        <x:v>2015-02</x:v>
      </x:c>
    </x:row>
    <x:row r="230">
      <x:c r="A230" t="str">
        <x:v>HYD02</x:v>
      </x:c>
      <x:c r="B230" s="22" t="n">
        <x:f>DATE(C230,D230,1)</x:f>
        <x:v>42064</x:v>
      </x:c>
      <x:c r="C230" t="n">
        <x:v>2015</x:v>
      </x:c>
      <x:c r="D230" t="n">
        <x:v>3</x:v>
      </x:c>
      <x:c r="E230" t="str">
        <x:f>TEXT(B230,"mmm")</x:f>
        <x:v>Mar</x:v>
      </x:c>
      <x:c r="F230" t="str">
        <x:f>"Q"&amp;ROUNDUP(D230/3,0)</x:f>
        <x:v>Q1</x:v>
      </x:c>
      <x:c r="G230" s="23" t="n">
        <x:v>59</x:v>
      </x:c>
      <x:c r="H230" s="23" t="n">
        <x:v>52</x:v>
      </x:c>
      <x:c r="I230" s="23" t="n">
        <x:v>55.5</x:v>
      </x:c>
      <x:c r="J230" s="23" t="n">
        <x:f>G230-H230</x:f>
        <x:v>7</x:v>
      </x:c>
      <x:c r="K230" t="str">
        <x:v>OBSERVED</x:v>
      </x:c>
      <x:c r="L230" s="24" t="n">
        <x:v>17.4065</x:v>
      </x:c>
      <x:c r="M230" s="24" t="n">
        <x:v>78.4772</x:v>
      </x:c>
      <x:c r="N230" t="str">
        <x:f>IF(I230&gt;70,"70+ dB",IF(I230&gt;55,"56-70 dB","41-55 dB"))</x:f>
        <x:v>56-70 dB</x:v>
      </x:c>
      <x:c r="O230" t="str">
        <x:f>IF(I230&gt;70,"High",IF(I230&gt;55,"Moderate","Low"))</x:f>
        <x:v>Moderate</x:v>
      </x:c>
      <x:c r="P230" t="str">
        <x:f>IF(I230&gt;=70,"Yes","No")</x:f>
        <x:v>No</x:v>
      </x:c>
      <x:c r="Q230" t="str">
        <x:f>TEXT(B230,"yyyy-mm")</x:f>
        <x:v>2015-03</x:v>
      </x:c>
    </x:row>
    <x:row r="231">
      <x:c r="A231" t="str">
        <x:v>HYD02</x:v>
      </x:c>
      <x:c r="B231" s="22" t="n">
        <x:f>DATE(C231,D231,1)</x:f>
        <x:v>42095</x:v>
      </x:c>
      <x:c r="C231" t="n">
        <x:v>2015</x:v>
      </x:c>
      <x:c r="D231" t="n">
        <x:v>4</x:v>
      </x:c>
      <x:c r="E231" t="str">
        <x:f>TEXT(B231,"mmm")</x:f>
        <x:v>Apr</x:v>
      </x:c>
      <x:c r="F231" t="str">
        <x:f>"Q"&amp;ROUNDUP(D231/3,0)</x:f>
        <x:v>Q2</x:v>
      </x:c>
      <x:c r="G231" s="23" t="n">
        <x:v>60</x:v>
      </x:c>
      <x:c r="H231" s="23" t="n">
        <x:v>53</x:v>
      </x:c>
      <x:c r="I231" s="23" t="n">
        <x:v>56.5</x:v>
      </x:c>
      <x:c r="J231" s="23" t="n">
        <x:f>G231-H231</x:f>
        <x:v>7</x:v>
      </x:c>
      <x:c r="K231" t="str">
        <x:v>OBSERVED</x:v>
      </x:c>
      <x:c r="L231" s="24" t="n">
        <x:v>17.4065</x:v>
      </x:c>
      <x:c r="M231" s="24" t="n">
        <x:v>78.4772</x:v>
      </x:c>
      <x:c r="N231" t="str">
        <x:f>IF(I231&gt;70,"70+ dB",IF(I231&gt;55,"56-70 dB","41-55 dB"))</x:f>
        <x:v>56-70 dB</x:v>
      </x:c>
      <x:c r="O231" t="str">
        <x:f>IF(I231&gt;70,"High",IF(I231&gt;55,"Moderate","Low"))</x:f>
        <x:v>Moderate</x:v>
      </x:c>
      <x:c r="P231" t="str">
        <x:f>IF(I231&gt;=70,"Yes","No")</x:f>
        <x:v>No</x:v>
      </x:c>
      <x:c r="Q231" t="str">
        <x:f>TEXT(B231,"yyyy-mm")</x:f>
        <x:v>2015-04</x:v>
      </x:c>
    </x:row>
    <x:row r="232">
      <x:c r="A232" t="str">
        <x:v>HYD02</x:v>
      </x:c>
      <x:c r="B232" s="22" t="n">
        <x:f>DATE(C232,D232,1)</x:f>
        <x:v>42125</x:v>
      </x:c>
      <x:c r="C232" t="n">
        <x:v>2015</x:v>
      </x:c>
      <x:c r="D232" t="n">
        <x:v>5</x:v>
      </x:c>
      <x:c r="E232" t="str">
        <x:f>TEXT(B232,"mmm")</x:f>
        <x:v>May</x:v>
      </x:c>
      <x:c r="F232" t="str">
        <x:f>"Q"&amp;ROUNDUP(D232/3,0)</x:f>
        <x:v>Q2</x:v>
      </x:c>
      <x:c r="G232" s="23" t="n">
        <x:v>60</x:v>
      </x:c>
      <x:c r="H232" s="23" t="n">
        <x:v>54</x:v>
      </x:c>
      <x:c r="I232" s="23" t="n">
        <x:v>57</x:v>
      </x:c>
      <x:c r="J232" s="23" t="n">
        <x:f>G232-H232</x:f>
        <x:v>6</x:v>
      </x:c>
      <x:c r="K232" t="str">
        <x:v>OBSERVED</x:v>
      </x:c>
      <x:c r="L232" s="24" t="n">
        <x:v>17.4065</x:v>
      </x:c>
      <x:c r="M232" s="24" t="n">
        <x:v>78.4772</x:v>
      </x:c>
      <x:c r="N232" t="str">
        <x:f>IF(I232&gt;70,"70+ dB",IF(I232&gt;55,"56-70 dB","41-55 dB"))</x:f>
        <x:v>56-70 dB</x:v>
      </x:c>
      <x:c r="O232" t="str">
        <x:f>IF(I232&gt;70,"High",IF(I232&gt;55,"Moderate","Low"))</x:f>
        <x:v>Moderate</x:v>
      </x:c>
      <x:c r="P232" t="str">
        <x:f>IF(I232&gt;=70,"Yes","No")</x:f>
        <x:v>No</x:v>
      </x:c>
      <x:c r="Q232" t="str">
        <x:f>TEXT(B232,"yyyy-mm")</x:f>
        <x:v>2015-05</x:v>
      </x:c>
    </x:row>
    <x:row r="233">
      <x:c r="A233" t="str">
        <x:v>HYD02</x:v>
      </x:c>
      <x:c r="B233" s="22" t="n">
        <x:f>DATE(C233,D233,1)</x:f>
        <x:v>42156</x:v>
      </x:c>
      <x:c r="C233" t="n">
        <x:v>2015</x:v>
      </x:c>
      <x:c r="D233" t="n">
        <x:v>6</x:v>
      </x:c>
      <x:c r="E233" t="str">
        <x:f>TEXT(B233,"mmm")</x:f>
        <x:v>Jun</x:v>
      </x:c>
      <x:c r="F233" t="str">
        <x:f>"Q"&amp;ROUNDUP(D233/3,0)</x:f>
        <x:v>Q2</x:v>
      </x:c>
      <x:c r="G233" s="23" t="n">
        <x:v>60</x:v>
      </x:c>
      <x:c r="H233" s="23" t="n">
        <x:v>54</x:v>
      </x:c>
      <x:c r="I233" s="23" t="n">
        <x:v>57</x:v>
      </x:c>
      <x:c r="J233" s="23" t="n">
        <x:f>G233-H233</x:f>
        <x:v>6</x:v>
      </x:c>
      <x:c r="K233" t="str">
        <x:v>OBSERVED</x:v>
      </x:c>
      <x:c r="L233" s="24" t="n">
        <x:v>17.4065</x:v>
      </x:c>
      <x:c r="M233" s="24" t="n">
        <x:v>78.4772</x:v>
      </x:c>
      <x:c r="N233" t="str">
        <x:f>IF(I233&gt;70,"70+ dB",IF(I233&gt;55,"56-70 dB","41-55 dB"))</x:f>
        <x:v>56-70 dB</x:v>
      </x:c>
      <x:c r="O233" t="str">
        <x:f>IF(I233&gt;70,"High",IF(I233&gt;55,"Moderate","Low"))</x:f>
        <x:v>Moderate</x:v>
      </x:c>
      <x:c r="P233" t="str">
        <x:f>IF(I233&gt;=70,"Yes","No")</x:f>
        <x:v>No</x:v>
      </x:c>
      <x:c r="Q233" t="str">
        <x:f>TEXT(B233,"yyyy-mm")</x:f>
        <x:v>2015-06</x:v>
      </x:c>
    </x:row>
    <x:row r="234">
      <x:c r="A234" t="str">
        <x:v>HYD02</x:v>
      </x:c>
      <x:c r="B234" s="22" t="n">
        <x:f>DATE(C234,D234,1)</x:f>
        <x:v>42186</x:v>
      </x:c>
      <x:c r="C234" t="n">
        <x:v>2015</x:v>
      </x:c>
      <x:c r="D234" t="n">
        <x:v>7</x:v>
      </x:c>
      <x:c r="E234" t="str">
        <x:f>TEXT(B234,"mmm")</x:f>
        <x:v>Jul</x:v>
      </x:c>
      <x:c r="F234" t="str">
        <x:f>"Q"&amp;ROUNDUP(D234/3,0)</x:f>
        <x:v>Q3</x:v>
      </x:c>
      <x:c r="G234" s="23" t="n">
        <x:v>60</x:v>
      </x:c>
      <x:c r="H234" s="23" t="n">
        <x:v>53</x:v>
      </x:c>
      <x:c r="I234" s="23" t="n">
        <x:v>56.5</x:v>
      </x:c>
      <x:c r="J234" s="23" t="n">
        <x:f>G234-H234</x:f>
        <x:v>7</x:v>
      </x:c>
      <x:c r="K234" t="str">
        <x:v>OBSERVED</x:v>
      </x:c>
      <x:c r="L234" s="24" t="n">
        <x:v>17.4065</x:v>
      </x:c>
      <x:c r="M234" s="24" t="n">
        <x:v>78.4772</x:v>
      </x:c>
      <x:c r="N234" t="str">
        <x:f>IF(I234&gt;70,"70+ dB",IF(I234&gt;55,"56-70 dB","41-55 dB"))</x:f>
        <x:v>56-70 dB</x:v>
      </x:c>
      <x:c r="O234" t="str">
        <x:f>IF(I234&gt;70,"High",IF(I234&gt;55,"Moderate","Low"))</x:f>
        <x:v>Moderate</x:v>
      </x:c>
      <x:c r="P234" t="str">
        <x:f>IF(I234&gt;=70,"Yes","No")</x:f>
        <x:v>No</x:v>
      </x:c>
      <x:c r="Q234" t="str">
        <x:f>TEXT(B234,"yyyy-mm")</x:f>
        <x:v>2015-07</x:v>
      </x:c>
    </x:row>
    <x:row r="235">
      <x:c r="A235" t="str">
        <x:v>HYD02</x:v>
      </x:c>
      <x:c r="B235" s="22" t="n">
        <x:f>DATE(C235,D235,1)</x:f>
        <x:v>42217</x:v>
      </x:c>
      <x:c r="C235" t="n">
        <x:v>2015</x:v>
      </x:c>
      <x:c r="D235" t="n">
        <x:v>8</x:v>
      </x:c>
      <x:c r="E235" t="str">
        <x:f>TEXT(B235,"mmm")</x:f>
        <x:v>Aug</x:v>
      </x:c>
      <x:c r="F235" t="str">
        <x:f>"Q"&amp;ROUNDUP(D235/3,0)</x:f>
        <x:v>Q3</x:v>
      </x:c>
      <x:c r="G235" s="23" t="n">
        <x:v>60</x:v>
      </x:c>
      <x:c r="H235" s="23" t="n">
        <x:v>54</x:v>
      </x:c>
      <x:c r="I235" s="23" t="n">
        <x:v>57</x:v>
      </x:c>
      <x:c r="J235" s="23" t="n">
        <x:f>G235-H235</x:f>
        <x:v>6</x:v>
      </x:c>
      <x:c r="K235" t="str">
        <x:v>OBSERVED</x:v>
      </x:c>
      <x:c r="L235" s="24" t="n">
        <x:v>17.4065</x:v>
      </x:c>
      <x:c r="M235" s="24" t="n">
        <x:v>78.4772</x:v>
      </x:c>
      <x:c r="N235" t="str">
        <x:f>IF(I235&gt;70,"70+ dB",IF(I235&gt;55,"56-70 dB","41-55 dB"))</x:f>
        <x:v>56-70 dB</x:v>
      </x:c>
      <x:c r="O235" t="str">
        <x:f>IF(I235&gt;70,"High",IF(I235&gt;55,"Moderate","Low"))</x:f>
        <x:v>Moderate</x:v>
      </x:c>
      <x:c r="P235" t="str">
        <x:f>IF(I235&gt;=70,"Yes","No")</x:f>
        <x:v>No</x:v>
      </x:c>
      <x:c r="Q235" t="str">
        <x:f>TEXT(B235,"yyyy-mm")</x:f>
        <x:v>2015-08</x:v>
      </x:c>
    </x:row>
    <x:row r="236">
      <x:c r="A236" t="str">
        <x:v>HYD02</x:v>
      </x:c>
      <x:c r="B236" s="22" t="n">
        <x:f>DATE(C236,D236,1)</x:f>
        <x:v>42248</x:v>
      </x:c>
      <x:c r="C236" t="n">
        <x:v>2015</x:v>
      </x:c>
      <x:c r="D236" t="n">
        <x:v>9</x:v>
      </x:c>
      <x:c r="E236" t="str">
        <x:f>TEXT(B236,"mmm")</x:f>
        <x:v>Sep</x:v>
      </x:c>
      <x:c r="F236" t="str">
        <x:f>"Q"&amp;ROUNDUP(D236/3,0)</x:f>
        <x:v>Q3</x:v>
      </x:c>
      <x:c r="G236" s="23" t="n">
        <x:v>60</x:v>
      </x:c>
      <x:c r="H236" s="23" t="n">
        <x:v>53</x:v>
      </x:c>
      <x:c r="I236" s="23" t="n">
        <x:v>56.5</x:v>
      </x:c>
      <x:c r="J236" s="23" t="n">
        <x:f>G236-H236</x:f>
        <x:v>7</x:v>
      </x:c>
      <x:c r="K236" t="str">
        <x:v>OBSERVED</x:v>
      </x:c>
      <x:c r="L236" s="24" t="n">
        <x:v>17.4065</x:v>
      </x:c>
      <x:c r="M236" s="24" t="n">
        <x:v>78.4772</x:v>
      </x:c>
      <x:c r="N236" t="str">
        <x:f>IF(I236&gt;70,"70+ dB",IF(I236&gt;55,"56-70 dB","41-55 dB"))</x:f>
        <x:v>56-70 dB</x:v>
      </x:c>
      <x:c r="O236" t="str">
        <x:f>IF(I236&gt;70,"High",IF(I236&gt;55,"Moderate","Low"))</x:f>
        <x:v>Moderate</x:v>
      </x:c>
      <x:c r="P236" t="str">
        <x:f>IF(I236&gt;=70,"Yes","No")</x:f>
        <x:v>No</x:v>
      </x:c>
      <x:c r="Q236" t="str">
        <x:f>TEXT(B236,"yyyy-mm")</x:f>
        <x:v>2015-09</x:v>
      </x:c>
    </x:row>
    <x:row r="237">
      <x:c r="A237" t="str">
        <x:v>HYD02</x:v>
      </x:c>
      <x:c r="B237" s="22" t="n">
        <x:f>DATE(C237,D237,1)</x:f>
        <x:v>42278</x:v>
      </x:c>
      <x:c r="C237" t="n">
        <x:v>2015</x:v>
      </x:c>
      <x:c r="D237" t="n">
        <x:v>10</x:v>
      </x:c>
      <x:c r="E237" t="str">
        <x:f>TEXT(B237,"mmm")</x:f>
        <x:v>Oct</x:v>
      </x:c>
      <x:c r="F237" t="str">
        <x:f>"Q"&amp;ROUNDUP(D237/3,0)</x:f>
        <x:v>Q4</x:v>
      </x:c>
      <x:c r="G237" s="23" t="n">
        <x:v>60</x:v>
      </x:c>
      <x:c r="H237" s="23" t="n">
        <x:v>54</x:v>
      </x:c>
      <x:c r="I237" s="23" t="n">
        <x:v>57</x:v>
      </x:c>
      <x:c r="J237" s="23" t="n">
        <x:f>G237-H237</x:f>
        <x:v>6</x:v>
      </x:c>
      <x:c r="K237" t="str">
        <x:v>OBSERVED</x:v>
      </x:c>
      <x:c r="L237" s="24" t="n">
        <x:v>17.4065</x:v>
      </x:c>
      <x:c r="M237" s="24" t="n">
        <x:v>78.4772</x:v>
      </x:c>
      <x:c r="N237" t="str">
        <x:f>IF(I237&gt;70,"70+ dB",IF(I237&gt;55,"56-70 dB","41-55 dB"))</x:f>
        <x:v>56-70 dB</x:v>
      </x:c>
      <x:c r="O237" t="str">
        <x:f>IF(I237&gt;70,"High",IF(I237&gt;55,"Moderate","Low"))</x:f>
        <x:v>Moderate</x:v>
      </x:c>
      <x:c r="P237" t="str">
        <x:f>IF(I237&gt;=70,"Yes","No")</x:f>
        <x:v>No</x:v>
      </x:c>
      <x:c r="Q237" t="str">
        <x:f>TEXT(B237,"yyyy-mm")</x:f>
        <x:v>2015-10</x:v>
      </x:c>
    </x:row>
    <x:row r="238">
      <x:c r="A238" t="str">
        <x:v>HYD02</x:v>
      </x:c>
      <x:c r="B238" s="22" t="n">
        <x:f>DATE(C238,D238,1)</x:f>
        <x:v>42309</x:v>
      </x:c>
      <x:c r="C238" t="n">
        <x:v>2015</x:v>
      </x:c>
      <x:c r="D238" t="n">
        <x:v>11</x:v>
      </x:c>
      <x:c r="E238" t="str">
        <x:f>TEXT(B238,"mmm")</x:f>
        <x:v>Nov</x:v>
      </x:c>
      <x:c r="F238" t="str">
        <x:f>"Q"&amp;ROUNDUP(D238/3,0)</x:f>
        <x:v>Q4</x:v>
      </x:c>
      <x:c r="G238" s="23" t="n">
        <x:v>61</x:v>
      </x:c>
      <x:c r="H238" s="23" t="n">
        <x:v>54</x:v>
      </x:c>
      <x:c r="I238" s="23" t="n">
        <x:v>57.5</x:v>
      </x:c>
      <x:c r="J238" s="23" t="n">
        <x:f>G238-H238</x:f>
        <x:v>7</x:v>
      </x:c>
      <x:c r="K238" t="str">
        <x:v>OBSERVED</x:v>
      </x:c>
      <x:c r="L238" s="24" t="n">
        <x:v>17.4065</x:v>
      </x:c>
      <x:c r="M238" s="24" t="n">
        <x:v>78.4772</x:v>
      </x:c>
      <x:c r="N238" t="str">
        <x:f>IF(I238&gt;70,"70+ dB",IF(I238&gt;55,"56-70 dB","41-55 dB"))</x:f>
        <x:v>56-70 dB</x:v>
      </x:c>
      <x:c r="O238" t="str">
        <x:f>IF(I238&gt;70,"High",IF(I238&gt;55,"Moderate","Low"))</x:f>
        <x:v>Moderate</x:v>
      </x:c>
      <x:c r="P238" t="str">
        <x:f>IF(I238&gt;=70,"Yes","No")</x:f>
        <x:v>No</x:v>
      </x:c>
      <x:c r="Q238" t="str">
        <x:f>TEXT(B238,"yyyy-mm")</x:f>
        <x:v>2015-11</x:v>
      </x:c>
    </x:row>
    <x:row r="239">
      <x:c r="A239" t="str">
        <x:v>HYD02</x:v>
      </x:c>
      <x:c r="B239" s="22" t="n">
        <x:f>DATE(C239,D239,1)</x:f>
        <x:v>42339</x:v>
      </x:c>
      <x:c r="C239" t="n">
        <x:v>2015</x:v>
      </x:c>
      <x:c r="D239" t="n">
        <x:v>12</x:v>
      </x:c>
      <x:c r="E239" t="str">
        <x:f>TEXT(B239,"mmm")</x:f>
        <x:v>Dec</x:v>
      </x:c>
      <x:c r="F239" t="str">
        <x:f>"Q"&amp;ROUNDUP(D239/3,0)</x:f>
        <x:v>Q4</x:v>
      </x:c>
      <x:c r="G239" s="23" t="n">
        <x:v>60</x:v>
      </x:c>
      <x:c r="H239" s="23" t="n">
        <x:v>54</x:v>
      </x:c>
      <x:c r="I239" s="23" t="n">
        <x:v>57</x:v>
      </x:c>
      <x:c r="J239" s="23" t="n">
        <x:f>G239-H239</x:f>
        <x:v>6</x:v>
      </x:c>
      <x:c r="K239" t="str">
        <x:v>OBSERVED</x:v>
      </x:c>
      <x:c r="L239" s="24" t="n">
        <x:v>17.4065</x:v>
      </x:c>
      <x:c r="M239" s="24" t="n">
        <x:v>78.4772</x:v>
      </x:c>
      <x:c r="N239" t="str">
        <x:f>IF(I239&gt;70,"70+ dB",IF(I239&gt;55,"56-70 dB","41-55 dB"))</x:f>
        <x:v>56-70 dB</x:v>
      </x:c>
      <x:c r="O239" t="str">
        <x:f>IF(I239&gt;70,"High",IF(I239&gt;55,"Moderate","Low"))</x:f>
        <x:v>Moderate</x:v>
      </x:c>
      <x:c r="P239" t="str">
        <x:f>IF(I239&gt;=70,"Yes","No")</x:f>
        <x:v>No</x:v>
      </x:c>
      <x:c r="Q239" t="str">
        <x:f>TEXT(B239,"yyyy-mm")</x:f>
        <x:v>2015-12</x:v>
      </x:c>
    </x:row>
    <x:row r="240">
      <x:c r="A240" t="str">
        <x:v>HYD02</x:v>
      </x:c>
      <x:c r="B240" s="22" t="n">
        <x:f>DATE(C240,D240,1)</x:f>
        <x:v>42370</x:v>
      </x:c>
      <x:c r="C240" t="n">
        <x:v>2016</x:v>
      </x:c>
      <x:c r="D240" t="n">
        <x:v>1</x:v>
      </x:c>
      <x:c r="E240" t="str">
        <x:f>TEXT(B240,"mmm")</x:f>
        <x:v>Jan</x:v>
      </x:c>
      <x:c r="F240" t="str">
        <x:f>"Q"&amp;ROUNDUP(D240/3,0)</x:f>
        <x:v>Q1</x:v>
      </x:c>
      <x:c r="G240" s="23" t="n">
        <x:v>59</x:v>
      </x:c>
      <x:c r="H240" s="23" t="n">
        <x:v>53</x:v>
      </x:c>
      <x:c r="I240" s="23" t="n">
        <x:v>56</x:v>
      </x:c>
      <x:c r="J240" s="23" t="n">
        <x:f>G240-H240</x:f>
        <x:v>6</x:v>
      </x:c>
      <x:c r="K240" t="str">
        <x:v>OBSERVED</x:v>
      </x:c>
      <x:c r="L240" s="24" t="n">
        <x:v>17.4065</x:v>
      </x:c>
      <x:c r="M240" s="24" t="n">
        <x:v>78.4772</x:v>
      </x:c>
      <x:c r="N240" t="str">
        <x:f>IF(I240&gt;70,"70+ dB",IF(I240&gt;55,"56-70 dB","41-55 dB"))</x:f>
        <x:v>56-70 dB</x:v>
      </x:c>
      <x:c r="O240" t="str">
        <x:f>IF(I240&gt;70,"High",IF(I240&gt;55,"Moderate","Low"))</x:f>
        <x:v>Moderate</x:v>
      </x:c>
      <x:c r="P240" t="str">
        <x:f>IF(I240&gt;=70,"Yes","No")</x:f>
        <x:v>No</x:v>
      </x:c>
      <x:c r="Q240" t="str">
        <x:f>TEXT(B240,"yyyy-mm")</x:f>
        <x:v>2016-01</x:v>
      </x:c>
    </x:row>
    <x:row r="241">
      <x:c r="A241" t="str">
        <x:v>HYD02</x:v>
      </x:c>
      <x:c r="B241" s="22" t="n">
        <x:f>DATE(C241,D241,1)</x:f>
        <x:v>42401</x:v>
      </x:c>
      <x:c r="C241" t="n">
        <x:v>2016</x:v>
      </x:c>
      <x:c r="D241" t="n">
        <x:v>2</x:v>
      </x:c>
      <x:c r="E241" t="str">
        <x:f>TEXT(B241,"mmm")</x:f>
        <x:v>Feb</x:v>
      </x:c>
      <x:c r="F241" t="str">
        <x:f>"Q"&amp;ROUNDUP(D241/3,0)</x:f>
        <x:v>Q1</x:v>
      </x:c>
      <x:c r="G241" s="23" t="n">
        <x:v>64</x:v>
      </x:c>
      <x:c r="H241" s="23" t="n">
        <x:v>65</x:v>
      </x:c>
      <x:c r="I241" s="23" t="n">
        <x:v>64.5</x:v>
      </x:c>
      <x:c r="J241" s="23" t="n">
        <x:f>G241-H241</x:f>
        <x:v>-1</x:v>
      </x:c>
      <x:c r="K241" t="str">
        <x:v>OBSERVED</x:v>
      </x:c>
      <x:c r="L241" s="24" t="n">
        <x:v>17.4065</x:v>
      </x:c>
      <x:c r="M241" s="24" t="n">
        <x:v>78.4772</x:v>
      </x:c>
      <x:c r="N241" t="str">
        <x:f>IF(I241&gt;70,"70+ dB",IF(I241&gt;55,"56-70 dB","41-55 dB"))</x:f>
        <x:v>56-70 dB</x:v>
      </x:c>
      <x:c r="O241" t="str">
        <x:f>IF(I241&gt;70,"High",IF(I241&gt;55,"Moderate","Low"))</x:f>
        <x:v>Moderate</x:v>
      </x:c>
      <x:c r="P241" t="str">
        <x:f>IF(I241&gt;=70,"Yes","No")</x:f>
        <x:v>No</x:v>
      </x:c>
      <x:c r="Q241" t="str">
        <x:f>TEXT(B241,"yyyy-mm")</x:f>
        <x:v>2016-02</x:v>
      </x:c>
    </x:row>
    <x:row r="242">
      <x:c r="A242" t="str">
        <x:v>HYD02</x:v>
      </x:c>
      <x:c r="B242" s="22" t="n">
        <x:f>DATE(C242,D242,1)</x:f>
        <x:v>42430</x:v>
      </x:c>
      <x:c r="C242" t="n">
        <x:v>2016</x:v>
      </x:c>
      <x:c r="D242" t="n">
        <x:v>3</x:v>
      </x:c>
      <x:c r="E242" t="str">
        <x:f>TEXT(B242,"mmm")</x:f>
        <x:v>Mar</x:v>
      </x:c>
      <x:c r="F242" t="str">
        <x:f>"Q"&amp;ROUNDUP(D242/3,0)</x:f>
        <x:v>Q1</x:v>
      </x:c>
      <x:c r="G242" s="23" t="n">
        <x:v>60</x:v>
      </x:c>
      <x:c r="H242" s="23" t="n">
        <x:v>54</x:v>
      </x:c>
      <x:c r="I242" s="23" t="n">
        <x:v>57</x:v>
      </x:c>
      <x:c r="J242" s="23" t="n">
        <x:f>G242-H242</x:f>
        <x:v>6</x:v>
      </x:c>
      <x:c r="K242" t="str">
        <x:v>OBSERVED</x:v>
      </x:c>
      <x:c r="L242" s="24" t="n">
        <x:v>17.4065</x:v>
      </x:c>
      <x:c r="M242" s="24" t="n">
        <x:v>78.4772</x:v>
      </x:c>
      <x:c r="N242" t="str">
        <x:f>IF(I242&gt;70,"70+ dB",IF(I242&gt;55,"56-70 dB","41-55 dB"))</x:f>
        <x:v>56-70 dB</x:v>
      </x:c>
      <x:c r="O242" t="str">
        <x:f>IF(I242&gt;70,"High",IF(I242&gt;55,"Moderate","Low"))</x:f>
        <x:v>Moderate</x:v>
      </x:c>
      <x:c r="P242" t="str">
        <x:f>IF(I242&gt;=70,"Yes","No")</x:f>
        <x:v>No</x:v>
      </x:c>
      <x:c r="Q242" t="str">
        <x:f>TEXT(B242,"yyyy-mm")</x:f>
        <x:v>2016-03</x:v>
      </x:c>
    </x:row>
    <x:row r="243">
      <x:c r="A243" t="str">
        <x:v>HYD02</x:v>
      </x:c>
      <x:c r="B243" s="22" t="n">
        <x:f>DATE(C243,D243,1)</x:f>
        <x:v>42461</x:v>
      </x:c>
      <x:c r="C243" t="n">
        <x:v>2016</x:v>
      </x:c>
      <x:c r="D243" t="n">
        <x:v>4</x:v>
      </x:c>
      <x:c r="E243" t="str">
        <x:f>TEXT(B243,"mmm")</x:f>
        <x:v>Apr</x:v>
      </x:c>
      <x:c r="F243" t="str">
        <x:f>"Q"&amp;ROUNDUP(D243/3,0)</x:f>
        <x:v>Q2</x:v>
      </x:c>
      <x:c r="G243" s="23" t="n">
        <x:v>59</x:v>
      </x:c>
      <x:c r="H243" s="23" t="n">
        <x:v>52</x:v>
      </x:c>
      <x:c r="I243" s="23" t="n">
        <x:v>55.5</x:v>
      </x:c>
      <x:c r="J243" s="23" t="n">
        <x:f>G243-H243</x:f>
        <x:v>7</x:v>
      </x:c>
      <x:c r="K243" t="str">
        <x:v>OBSERVED</x:v>
      </x:c>
      <x:c r="L243" s="24" t="n">
        <x:v>17.4065</x:v>
      </x:c>
      <x:c r="M243" s="24" t="n">
        <x:v>78.4772</x:v>
      </x:c>
      <x:c r="N243" t="str">
        <x:f>IF(I243&gt;70,"70+ dB",IF(I243&gt;55,"56-70 dB","41-55 dB"))</x:f>
        <x:v>56-70 dB</x:v>
      </x:c>
      <x:c r="O243" t="str">
        <x:f>IF(I243&gt;70,"High",IF(I243&gt;55,"Moderate","Low"))</x:f>
        <x:v>Moderate</x:v>
      </x:c>
      <x:c r="P243" t="str">
        <x:f>IF(I243&gt;=70,"Yes","No")</x:f>
        <x:v>No</x:v>
      </x:c>
      <x:c r="Q243" t="str">
        <x:f>TEXT(B243,"yyyy-mm")</x:f>
        <x:v>2016-04</x:v>
      </x:c>
    </x:row>
    <x:row r="244">
      <x:c r="A244" t="str">
        <x:v>HYD02</x:v>
      </x:c>
      <x:c r="B244" s="22" t="n">
        <x:f>DATE(C244,D244,1)</x:f>
        <x:v>42491</x:v>
      </x:c>
      <x:c r="C244" t="n">
        <x:v>2016</x:v>
      </x:c>
      <x:c r="D244" t="n">
        <x:v>5</x:v>
      </x:c>
      <x:c r="E244" t="str">
        <x:f>TEXT(B244,"mmm")</x:f>
        <x:v>May</x:v>
      </x:c>
      <x:c r="F244" t="str">
        <x:f>"Q"&amp;ROUNDUP(D244/3,0)</x:f>
        <x:v>Q2</x:v>
      </x:c>
      <x:c r="G244" s="23" t="n">
        <x:v>61</x:v>
      </x:c>
      <x:c r="H244" s="23" t="n">
        <x:v>54</x:v>
      </x:c>
      <x:c r="I244" s="23" t="n">
        <x:v>57.5</x:v>
      </x:c>
      <x:c r="J244" s="23" t="n">
        <x:f>G244-H244</x:f>
        <x:v>7</x:v>
      </x:c>
      <x:c r="K244" t="str">
        <x:v>OBSERVED</x:v>
      </x:c>
      <x:c r="L244" s="24" t="n">
        <x:v>17.4065</x:v>
      </x:c>
      <x:c r="M244" s="24" t="n">
        <x:v>78.4772</x:v>
      </x:c>
      <x:c r="N244" t="str">
        <x:f>IF(I244&gt;70,"70+ dB",IF(I244&gt;55,"56-70 dB","41-55 dB"))</x:f>
        <x:v>56-70 dB</x:v>
      </x:c>
      <x:c r="O244" t="str">
        <x:f>IF(I244&gt;70,"High",IF(I244&gt;55,"Moderate","Low"))</x:f>
        <x:v>Moderate</x:v>
      </x:c>
      <x:c r="P244" t="str">
        <x:f>IF(I244&gt;=70,"Yes","No")</x:f>
        <x:v>No</x:v>
      </x:c>
      <x:c r="Q244" t="str">
        <x:f>TEXT(B244,"yyyy-mm")</x:f>
        <x:v>2016-05</x:v>
      </x:c>
    </x:row>
    <x:row r="245">
      <x:c r="A245" t="str">
        <x:v>HYD02</x:v>
      </x:c>
      <x:c r="B245" s="22" t="n">
        <x:f>DATE(C245,D245,1)</x:f>
        <x:v>42522</x:v>
      </x:c>
      <x:c r="C245" t="n">
        <x:v>2016</x:v>
      </x:c>
      <x:c r="D245" t="n">
        <x:v>6</x:v>
      </x:c>
      <x:c r="E245" t="str">
        <x:f>TEXT(B245,"mmm")</x:f>
        <x:v>Jun</x:v>
      </x:c>
      <x:c r="F245" t="str">
        <x:f>"Q"&amp;ROUNDUP(D245/3,0)</x:f>
        <x:v>Q2</x:v>
      </x:c>
      <x:c r="G245" s="23" t="n">
        <x:v>60</x:v>
      </x:c>
      <x:c r="H245" s="23" t="n">
        <x:v>53</x:v>
      </x:c>
      <x:c r="I245" s="23" t="n">
        <x:v>56.5</x:v>
      </x:c>
      <x:c r="J245" s="23" t="n">
        <x:f>G245-H245</x:f>
        <x:v>7</x:v>
      </x:c>
      <x:c r="K245" t="str">
        <x:v>OBSERVED</x:v>
      </x:c>
      <x:c r="L245" s="24" t="n">
        <x:v>17.4065</x:v>
      </x:c>
      <x:c r="M245" s="24" t="n">
        <x:v>78.4772</x:v>
      </x:c>
      <x:c r="N245" t="str">
        <x:f>IF(I245&gt;70,"70+ dB",IF(I245&gt;55,"56-70 dB","41-55 dB"))</x:f>
        <x:v>56-70 dB</x:v>
      </x:c>
      <x:c r="O245" t="str">
        <x:f>IF(I245&gt;70,"High",IF(I245&gt;55,"Moderate","Low"))</x:f>
        <x:v>Moderate</x:v>
      </x:c>
      <x:c r="P245" t="str">
        <x:f>IF(I245&gt;=70,"Yes","No")</x:f>
        <x:v>No</x:v>
      </x:c>
      <x:c r="Q245" t="str">
        <x:f>TEXT(B245,"yyyy-mm")</x:f>
        <x:v>2016-06</x:v>
      </x:c>
    </x:row>
    <x:row r="246">
      <x:c r="A246" t="str">
        <x:v>HYD02</x:v>
      </x:c>
      <x:c r="B246" s="22" t="n">
        <x:f>DATE(C246,D246,1)</x:f>
        <x:v>42552</x:v>
      </x:c>
      <x:c r="C246" t="n">
        <x:v>2016</x:v>
      </x:c>
      <x:c r="D246" t="n">
        <x:v>7</x:v>
      </x:c>
      <x:c r="E246" t="str">
        <x:f>TEXT(B246,"mmm")</x:f>
        <x:v>Jul</x:v>
      </x:c>
      <x:c r="F246" t="str">
        <x:f>"Q"&amp;ROUNDUP(D246/3,0)</x:f>
        <x:v>Q3</x:v>
      </x:c>
      <x:c r="G246" s="23" t="n">
        <x:v>60</x:v>
      </x:c>
      <x:c r="H246" s="23" t="n">
        <x:v>53</x:v>
      </x:c>
      <x:c r="I246" s="23" t="n">
        <x:v>56.5</x:v>
      </x:c>
      <x:c r="J246" s="23" t="n">
        <x:f>G246-H246</x:f>
        <x:v>7</x:v>
      </x:c>
      <x:c r="K246" t="str">
        <x:v>OBSERVED</x:v>
      </x:c>
      <x:c r="L246" s="24" t="n">
        <x:v>17.4065</x:v>
      </x:c>
      <x:c r="M246" s="24" t="n">
        <x:v>78.4772</x:v>
      </x:c>
      <x:c r="N246" t="str">
        <x:f>IF(I246&gt;70,"70+ dB",IF(I246&gt;55,"56-70 dB","41-55 dB"))</x:f>
        <x:v>56-70 dB</x:v>
      </x:c>
      <x:c r="O246" t="str">
        <x:f>IF(I246&gt;70,"High",IF(I246&gt;55,"Moderate","Low"))</x:f>
        <x:v>Moderate</x:v>
      </x:c>
      <x:c r="P246" t="str">
        <x:f>IF(I246&gt;=70,"Yes","No")</x:f>
        <x:v>No</x:v>
      </x:c>
      <x:c r="Q246" t="str">
        <x:f>TEXT(B246,"yyyy-mm")</x:f>
        <x:v>2016-07</x:v>
      </x:c>
    </x:row>
    <x:row r="247">
      <x:c r="A247" t="str">
        <x:v>HYD02</x:v>
      </x:c>
      <x:c r="B247" s="22" t="n">
        <x:f>DATE(C247,D247,1)</x:f>
        <x:v>42583</x:v>
      </x:c>
      <x:c r="C247" t="n">
        <x:v>2016</x:v>
      </x:c>
      <x:c r="D247" t="n">
        <x:v>8</x:v>
      </x:c>
      <x:c r="E247" t="str">
        <x:f>TEXT(B247,"mmm")</x:f>
        <x:v>Aug</x:v>
      </x:c>
      <x:c r="F247" t="str">
        <x:f>"Q"&amp;ROUNDUP(D247/3,0)</x:f>
        <x:v>Q3</x:v>
      </x:c>
      <x:c r="G247" s="23" t="n">
        <x:v>61</x:v>
      </x:c>
      <x:c r="H247" s="23" t="n">
        <x:v>52</x:v>
      </x:c>
      <x:c r="I247" s="23" t="n">
        <x:v>56.5</x:v>
      </x:c>
      <x:c r="J247" s="23" t="n">
        <x:f>G247-H247</x:f>
        <x:v>9</x:v>
      </x:c>
      <x:c r="K247" t="str">
        <x:v>OBSERVED</x:v>
      </x:c>
      <x:c r="L247" s="24" t="n">
        <x:v>17.4065</x:v>
      </x:c>
      <x:c r="M247" s="24" t="n">
        <x:v>78.4772</x:v>
      </x:c>
      <x:c r="N247" t="str">
        <x:f>IF(I247&gt;70,"70+ dB",IF(I247&gt;55,"56-70 dB","41-55 dB"))</x:f>
        <x:v>56-70 dB</x:v>
      </x:c>
      <x:c r="O247" t="str">
        <x:f>IF(I247&gt;70,"High",IF(I247&gt;55,"Moderate","Low"))</x:f>
        <x:v>Moderate</x:v>
      </x:c>
      <x:c r="P247" t="str">
        <x:f>IF(I247&gt;=70,"Yes","No")</x:f>
        <x:v>No</x:v>
      </x:c>
      <x:c r="Q247" t="str">
        <x:f>TEXT(B247,"yyyy-mm")</x:f>
        <x:v>2016-08</x:v>
      </x:c>
    </x:row>
    <x:row r="248">
      <x:c r="A248" t="str">
        <x:v>HYD02</x:v>
      </x:c>
      <x:c r="B248" s="22" t="n">
        <x:f>DATE(C248,D248,1)</x:f>
        <x:v>42614</x:v>
      </x:c>
      <x:c r="C248" t="n">
        <x:v>2016</x:v>
      </x:c>
      <x:c r="D248" t="n">
        <x:v>9</x:v>
      </x:c>
      <x:c r="E248" t="str">
        <x:f>TEXT(B248,"mmm")</x:f>
        <x:v>Sep</x:v>
      </x:c>
      <x:c r="F248" t="str">
        <x:f>"Q"&amp;ROUNDUP(D248/3,0)</x:f>
        <x:v>Q3</x:v>
      </x:c>
      <x:c r="G248" s="23" t="n">
        <x:v>60</x:v>
      </x:c>
      <x:c r="H248" s="23" t="n">
        <x:v>53</x:v>
      </x:c>
      <x:c r="I248" s="23" t="n">
        <x:v>56.5</x:v>
      </x:c>
      <x:c r="J248" s="23" t="n">
        <x:f>G248-H248</x:f>
        <x:v>7</x:v>
      </x:c>
      <x:c r="K248" t="str">
        <x:v>OBSERVED</x:v>
      </x:c>
      <x:c r="L248" s="24" t="n">
        <x:v>17.4065</x:v>
      </x:c>
      <x:c r="M248" s="24" t="n">
        <x:v>78.4772</x:v>
      </x:c>
      <x:c r="N248" t="str">
        <x:f>IF(I248&gt;70,"70+ dB",IF(I248&gt;55,"56-70 dB","41-55 dB"))</x:f>
        <x:v>56-70 dB</x:v>
      </x:c>
      <x:c r="O248" t="str">
        <x:f>IF(I248&gt;70,"High",IF(I248&gt;55,"Moderate","Low"))</x:f>
        <x:v>Moderate</x:v>
      </x:c>
      <x:c r="P248" t="str">
        <x:f>IF(I248&gt;=70,"Yes","No")</x:f>
        <x:v>No</x:v>
      </x:c>
      <x:c r="Q248" t="str">
        <x:f>TEXT(B248,"yyyy-mm")</x:f>
        <x:v>2016-09</x:v>
      </x:c>
    </x:row>
    <x:row r="249">
      <x:c r="A249" t="str">
        <x:v>HYD02</x:v>
      </x:c>
      <x:c r="B249" s="22" t="n">
        <x:f>DATE(C249,D249,1)</x:f>
        <x:v>42644</x:v>
      </x:c>
      <x:c r="C249" t="n">
        <x:v>2016</x:v>
      </x:c>
      <x:c r="D249" t="n">
        <x:v>10</x:v>
      </x:c>
      <x:c r="E249" t="str">
        <x:f>TEXT(B249,"mmm")</x:f>
        <x:v>Oct</x:v>
      </x:c>
      <x:c r="F249" t="str">
        <x:f>"Q"&amp;ROUNDUP(D249/3,0)</x:f>
        <x:v>Q4</x:v>
      </x:c>
      <x:c r="G249" s="23" t="n">
        <x:v>60</x:v>
      </x:c>
      <x:c r="H249" s="23" t="n">
        <x:v>53</x:v>
      </x:c>
      <x:c r="I249" s="23" t="n">
        <x:v>56.5</x:v>
      </x:c>
      <x:c r="J249" s="23" t="n">
        <x:f>G249-H249</x:f>
        <x:v>7</x:v>
      </x:c>
      <x:c r="K249" t="str">
        <x:v>OBSERVED</x:v>
      </x:c>
      <x:c r="L249" s="24" t="n">
        <x:v>17.4065</x:v>
      </x:c>
      <x:c r="M249" s="24" t="n">
        <x:v>78.4772</x:v>
      </x:c>
      <x:c r="N249" t="str">
        <x:f>IF(I249&gt;70,"70+ dB",IF(I249&gt;55,"56-70 dB","41-55 dB"))</x:f>
        <x:v>56-70 dB</x:v>
      </x:c>
      <x:c r="O249" t="str">
        <x:f>IF(I249&gt;70,"High",IF(I249&gt;55,"Moderate","Low"))</x:f>
        <x:v>Moderate</x:v>
      </x:c>
      <x:c r="P249" t="str">
        <x:f>IF(I249&gt;=70,"Yes","No")</x:f>
        <x:v>No</x:v>
      </x:c>
      <x:c r="Q249" t="str">
        <x:f>TEXT(B249,"yyyy-mm")</x:f>
        <x:v>2016-10</x:v>
      </x:c>
    </x:row>
    <x:row r="250">
      <x:c r="A250" t="str">
        <x:v>HYD02</x:v>
      </x:c>
      <x:c r="B250" s="22" t="n">
        <x:f>DATE(C250,D250,1)</x:f>
        <x:v>42675</x:v>
      </x:c>
      <x:c r="C250" t="n">
        <x:v>2016</x:v>
      </x:c>
      <x:c r="D250" t="n">
        <x:v>11</x:v>
      </x:c>
      <x:c r="E250" t="str">
        <x:f>TEXT(B250,"mmm")</x:f>
        <x:v>Nov</x:v>
      </x:c>
      <x:c r="F250" t="str">
        <x:f>"Q"&amp;ROUNDUP(D250/3,0)</x:f>
        <x:v>Q4</x:v>
      </x:c>
      <x:c r="G250" s="23" t="n">
        <x:v>61</x:v>
      </x:c>
      <x:c r="H250" s="23" t="n">
        <x:v>57</x:v>
      </x:c>
      <x:c r="I250" s="23" t="n">
        <x:v>59</x:v>
      </x:c>
      <x:c r="J250" s="23" t="n">
        <x:f>G250-H250</x:f>
        <x:v>4</x:v>
      </x:c>
      <x:c r="K250" t="str">
        <x:v>OBSERVED</x:v>
      </x:c>
      <x:c r="L250" s="24" t="n">
        <x:v>17.4065</x:v>
      </x:c>
      <x:c r="M250" s="24" t="n">
        <x:v>78.4772</x:v>
      </x:c>
      <x:c r="N250" t="str">
        <x:f>IF(I250&gt;70,"70+ dB",IF(I250&gt;55,"56-70 dB","41-55 dB"))</x:f>
        <x:v>56-70 dB</x:v>
      </x:c>
      <x:c r="O250" t="str">
        <x:f>IF(I250&gt;70,"High",IF(I250&gt;55,"Moderate","Low"))</x:f>
        <x:v>Moderate</x:v>
      </x:c>
      <x:c r="P250" t="str">
        <x:f>IF(I250&gt;=70,"Yes","No")</x:f>
        <x:v>No</x:v>
      </x:c>
      <x:c r="Q250" t="str">
        <x:f>TEXT(B250,"yyyy-mm")</x:f>
        <x:v>2016-11</x:v>
      </x:c>
    </x:row>
    <x:row r="251">
      <x:c r="A251" t="str">
        <x:v>HYD02</x:v>
      </x:c>
      <x:c r="B251" s="22" t="n">
        <x:f>DATE(C251,D251,1)</x:f>
        <x:v>42705</x:v>
      </x:c>
      <x:c r="C251" t="n">
        <x:v>2016</x:v>
      </x:c>
      <x:c r="D251" t="n">
        <x:v>12</x:v>
      </x:c>
      <x:c r="E251" t="str">
        <x:f>TEXT(B251,"mmm")</x:f>
        <x:v>Dec</x:v>
      </x:c>
      <x:c r="F251" t="str">
        <x:f>"Q"&amp;ROUNDUP(D251/3,0)</x:f>
        <x:v>Q4</x:v>
      </x:c>
      <x:c r="G251" s="23" t="n">
        <x:v>61</x:v>
      </x:c>
      <x:c r="H251" s="23" t="n">
        <x:v>54</x:v>
      </x:c>
      <x:c r="I251" s="23" t="n">
        <x:v>57.5</x:v>
      </x:c>
      <x:c r="J251" s="23" t="n">
        <x:f>G251-H251</x:f>
        <x:v>7</x:v>
      </x:c>
      <x:c r="K251" t="str">
        <x:v>OBSERVED</x:v>
      </x:c>
      <x:c r="L251" s="24" t="n">
        <x:v>17.4065</x:v>
      </x:c>
      <x:c r="M251" s="24" t="n">
        <x:v>78.4772</x:v>
      </x:c>
      <x:c r="N251" t="str">
        <x:f>IF(I251&gt;70,"70+ dB",IF(I251&gt;55,"56-70 dB","41-55 dB"))</x:f>
        <x:v>56-70 dB</x:v>
      </x:c>
      <x:c r="O251" t="str">
        <x:f>IF(I251&gt;70,"High",IF(I251&gt;55,"Moderate","Low"))</x:f>
        <x:v>Moderate</x:v>
      </x:c>
      <x:c r="P251" t="str">
        <x:f>IF(I251&gt;=70,"Yes","No")</x:f>
        <x:v>No</x:v>
      </x:c>
      <x:c r="Q251" t="str">
        <x:f>TEXT(B251,"yyyy-mm")</x:f>
        <x:v>2016-12</x:v>
      </x:c>
    </x:row>
    <x:row r="252">
      <x:c r="A252" t="str">
        <x:v>HYD02</x:v>
      </x:c>
      <x:c r="B252" s="22" t="n">
        <x:f>DATE(C252,D252,1)</x:f>
        <x:v>42736</x:v>
      </x:c>
      <x:c r="C252" t="n">
        <x:v>2017</x:v>
      </x:c>
      <x:c r="D252" t="n">
        <x:v>1</x:v>
      </x:c>
      <x:c r="E252" t="str">
        <x:f>TEXT(B252,"mmm")</x:f>
        <x:v>Jan</x:v>
      </x:c>
      <x:c r="F252" t="str">
        <x:f>"Q"&amp;ROUNDUP(D252/3,0)</x:f>
        <x:v>Q1</x:v>
      </x:c>
      <x:c r="G252" s="23" t="n">
        <x:v>60</x:v>
      </x:c>
      <x:c r="H252" s="23" t="n">
        <x:v>54</x:v>
      </x:c>
      <x:c r="I252" s="23" t="n">
        <x:v>57</x:v>
      </x:c>
      <x:c r="J252" s="23" t="n">
        <x:f>G252-H252</x:f>
        <x:v>6</x:v>
      </x:c>
      <x:c r="K252" t="str">
        <x:v>OBSERVED</x:v>
      </x:c>
      <x:c r="L252" s="24" t="n">
        <x:v>17.4065</x:v>
      </x:c>
      <x:c r="M252" s="24" t="n">
        <x:v>78.4772</x:v>
      </x:c>
      <x:c r="N252" t="str">
        <x:f>IF(I252&gt;70,"70+ dB",IF(I252&gt;55,"56-70 dB","41-55 dB"))</x:f>
        <x:v>56-70 dB</x:v>
      </x:c>
      <x:c r="O252" t="str">
        <x:f>IF(I252&gt;70,"High",IF(I252&gt;55,"Moderate","Low"))</x:f>
        <x:v>Moderate</x:v>
      </x:c>
      <x:c r="P252" t="str">
        <x:f>IF(I252&gt;=70,"Yes","No")</x:f>
        <x:v>No</x:v>
      </x:c>
      <x:c r="Q252" t="str">
        <x:f>TEXT(B252,"yyyy-mm")</x:f>
        <x:v>2017-01</x:v>
      </x:c>
    </x:row>
    <x:row r="253">
      <x:c r="A253" t="str">
        <x:v>HYD02</x:v>
      </x:c>
      <x:c r="B253" s="22" t="n">
        <x:f>DATE(C253,D253,1)</x:f>
        <x:v>42767</x:v>
      </x:c>
      <x:c r="C253" t="n">
        <x:v>2017</x:v>
      </x:c>
      <x:c r="D253" t="n">
        <x:v>2</x:v>
      </x:c>
      <x:c r="E253" t="str">
        <x:f>TEXT(B253,"mmm")</x:f>
        <x:v>Feb</x:v>
      </x:c>
      <x:c r="F253" t="str">
        <x:f>"Q"&amp;ROUNDUP(D253/3,0)</x:f>
        <x:v>Q1</x:v>
      </x:c>
      <x:c r="G253" s="23" t="n">
        <x:v>60</x:v>
      </x:c>
      <x:c r="H253" s="23" t="n">
        <x:v>54</x:v>
      </x:c>
      <x:c r="I253" s="23" t="n">
        <x:v>57</x:v>
      </x:c>
      <x:c r="J253" s="23" t="n">
        <x:f>G253-H253</x:f>
        <x:v>6</x:v>
      </x:c>
      <x:c r="K253" t="str">
        <x:v>OBSERVED</x:v>
      </x:c>
      <x:c r="L253" s="24" t="n">
        <x:v>17.4065</x:v>
      </x:c>
      <x:c r="M253" s="24" t="n">
        <x:v>78.4772</x:v>
      </x:c>
      <x:c r="N253" t="str">
        <x:f>IF(I253&gt;70,"70+ dB",IF(I253&gt;55,"56-70 dB","41-55 dB"))</x:f>
        <x:v>56-70 dB</x:v>
      </x:c>
      <x:c r="O253" t="str">
        <x:f>IF(I253&gt;70,"High",IF(I253&gt;55,"Moderate","Low"))</x:f>
        <x:v>Moderate</x:v>
      </x:c>
      <x:c r="P253" t="str">
        <x:f>IF(I253&gt;=70,"Yes","No")</x:f>
        <x:v>No</x:v>
      </x:c>
      <x:c r="Q253" t="str">
        <x:f>TEXT(B253,"yyyy-mm")</x:f>
        <x:v>2017-02</x:v>
      </x:c>
    </x:row>
    <x:row r="254">
      <x:c r="A254" t="str">
        <x:v>HYD02</x:v>
      </x:c>
      <x:c r="B254" s="22" t="n">
        <x:f>DATE(C254,D254,1)</x:f>
        <x:v>42795</x:v>
      </x:c>
      <x:c r="C254" t="n">
        <x:v>2017</x:v>
      </x:c>
      <x:c r="D254" t="n">
        <x:v>3</x:v>
      </x:c>
      <x:c r="E254" t="str">
        <x:f>TEXT(B254,"mmm")</x:f>
        <x:v>Mar</x:v>
      </x:c>
      <x:c r="F254" t="str">
        <x:f>"Q"&amp;ROUNDUP(D254/3,0)</x:f>
        <x:v>Q1</x:v>
      </x:c>
      <x:c r="G254" s="23" t="n">
        <x:v>60</x:v>
      </x:c>
      <x:c r="H254" s="23" t="n">
        <x:v>53</x:v>
      </x:c>
      <x:c r="I254" s="23" t="n">
        <x:v>56.5</x:v>
      </x:c>
      <x:c r="J254" s="23" t="n">
        <x:f>G254-H254</x:f>
        <x:v>7</x:v>
      </x:c>
      <x:c r="K254" t="str">
        <x:v>OBSERVED</x:v>
      </x:c>
      <x:c r="L254" s="24" t="n">
        <x:v>17.4065</x:v>
      </x:c>
      <x:c r="M254" s="24" t="n">
        <x:v>78.4772</x:v>
      </x:c>
      <x:c r="N254" t="str">
        <x:f>IF(I254&gt;70,"70+ dB",IF(I254&gt;55,"56-70 dB","41-55 dB"))</x:f>
        <x:v>56-70 dB</x:v>
      </x:c>
      <x:c r="O254" t="str">
        <x:f>IF(I254&gt;70,"High",IF(I254&gt;55,"Moderate","Low"))</x:f>
        <x:v>Moderate</x:v>
      </x:c>
      <x:c r="P254" t="str">
        <x:f>IF(I254&gt;=70,"Yes","No")</x:f>
        <x:v>No</x:v>
      </x:c>
      <x:c r="Q254" t="str">
        <x:f>TEXT(B254,"yyyy-mm")</x:f>
        <x:v>2017-03</x:v>
      </x:c>
    </x:row>
    <x:row r="255">
      <x:c r="A255" t="str">
        <x:v>HYD02</x:v>
      </x:c>
      <x:c r="B255" s="22" t="n">
        <x:f>DATE(C255,D255,1)</x:f>
        <x:v>42826</x:v>
      </x:c>
      <x:c r="C255" t="n">
        <x:v>2017</x:v>
      </x:c>
      <x:c r="D255" t="n">
        <x:v>4</x:v>
      </x:c>
      <x:c r="E255" t="str">
        <x:f>TEXT(B255,"mmm")</x:f>
        <x:v>Apr</x:v>
      </x:c>
      <x:c r="F255" t="str">
        <x:f>"Q"&amp;ROUNDUP(D255/3,0)</x:f>
        <x:v>Q2</x:v>
      </x:c>
      <x:c r="G255" s="23" t="n">
        <x:v>60</x:v>
      </x:c>
      <x:c r="H255" s="23" t="n">
        <x:v>55</x:v>
      </x:c>
      <x:c r="I255" s="23" t="n">
        <x:v>57.5</x:v>
      </x:c>
      <x:c r="J255" s="23" t="n">
        <x:f>G255-H255</x:f>
        <x:v>5</x:v>
      </x:c>
      <x:c r="K255" t="str">
        <x:v>OBSERVED</x:v>
      </x:c>
      <x:c r="L255" s="24" t="n">
        <x:v>17.4065</x:v>
      </x:c>
      <x:c r="M255" s="24" t="n">
        <x:v>78.4772</x:v>
      </x:c>
      <x:c r="N255" t="str">
        <x:f>IF(I255&gt;70,"70+ dB",IF(I255&gt;55,"56-70 dB","41-55 dB"))</x:f>
        <x:v>56-70 dB</x:v>
      </x:c>
      <x:c r="O255" t="str">
        <x:f>IF(I255&gt;70,"High",IF(I255&gt;55,"Moderate","Low"))</x:f>
        <x:v>Moderate</x:v>
      </x:c>
      <x:c r="P255" t="str">
        <x:f>IF(I255&gt;=70,"Yes","No")</x:f>
        <x:v>No</x:v>
      </x:c>
      <x:c r="Q255" t="str">
        <x:f>TEXT(B255,"yyyy-mm")</x:f>
        <x:v>2017-04</x:v>
      </x:c>
    </x:row>
    <x:row r="256">
      <x:c r="A256" t="str">
        <x:v>HYD02</x:v>
      </x:c>
      <x:c r="B256" s="22" t="n">
        <x:f>DATE(C256,D256,1)</x:f>
        <x:v>42856</x:v>
      </x:c>
      <x:c r="C256" t="n">
        <x:v>2017</x:v>
      </x:c>
      <x:c r="D256" t="n">
        <x:v>5</x:v>
      </x:c>
      <x:c r="E256" t="str">
        <x:f>TEXT(B256,"mmm")</x:f>
        <x:v>May</x:v>
      </x:c>
      <x:c r="F256" t="str">
        <x:f>"Q"&amp;ROUNDUP(D256/3,0)</x:f>
        <x:v>Q2</x:v>
      </x:c>
      <x:c r="G256" s="23" t="n">
        <x:v>60</x:v>
      </x:c>
      <x:c r="H256" s="23" t="n">
        <x:v>55</x:v>
      </x:c>
      <x:c r="I256" s="23" t="n">
        <x:v>57.5</x:v>
      </x:c>
      <x:c r="J256" s="23" t="n">
        <x:f>G256-H256</x:f>
        <x:v>5</x:v>
      </x:c>
      <x:c r="K256" t="str">
        <x:v>OBSERVED</x:v>
      </x:c>
      <x:c r="L256" s="24" t="n">
        <x:v>17.4065</x:v>
      </x:c>
      <x:c r="M256" s="24" t="n">
        <x:v>78.4772</x:v>
      </x:c>
      <x:c r="N256" t="str">
        <x:f>IF(I256&gt;70,"70+ dB",IF(I256&gt;55,"56-70 dB","41-55 dB"))</x:f>
        <x:v>56-70 dB</x:v>
      </x:c>
      <x:c r="O256" t="str">
        <x:f>IF(I256&gt;70,"High",IF(I256&gt;55,"Moderate","Low"))</x:f>
        <x:v>Moderate</x:v>
      </x:c>
      <x:c r="P256" t="str">
        <x:f>IF(I256&gt;=70,"Yes","No")</x:f>
        <x:v>No</x:v>
      </x:c>
      <x:c r="Q256" t="str">
        <x:f>TEXT(B256,"yyyy-mm")</x:f>
        <x:v>2017-05</x:v>
      </x:c>
    </x:row>
    <x:row r="257">
      <x:c r="A257" t="str">
        <x:v>HYD02</x:v>
      </x:c>
      <x:c r="B257" s="22" t="n">
        <x:f>DATE(C257,D257,1)</x:f>
        <x:v>42887</x:v>
      </x:c>
      <x:c r="C257" t="n">
        <x:v>2017</x:v>
      </x:c>
      <x:c r="D257" t="n">
        <x:v>6</x:v>
      </x:c>
      <x:c r="E257" t="str">
        <x:f>TEXT(B257,"mmm")</x:f>
        <x:v>Jun</x:v>
      </x:c>
      <x:c r="F257" t="str">
        <x:f>"Q"&amp;ROUNDUP(D257/3,0)</x:f>
        <x:v>Q2</x:v>
      </x:c>
      <x:c r="G257" s="23" t="n">
        <x:v>61</x:v>
      </x:c>
      <x:c r="H257" s="23" t="n">
        <x:v>58</x:v>
      </x:c>
      <x:c r="I257" s="23" t="n">
        <x:v>59.5</x:v>
      </x:c>
      <x:c r="J257" s="23" t="n">
        <x:f>G257-H257</x:f>
        <x:v>3</x:v>
      </x:c>
      <x:c r="K257" t="str">
        <x:v>OBSERVED</x:v>
      </x:c>
      <x:c r="L257" s="24" t="n">
        <x:v>17.4065</x:v>
      </x:c>
      <x:c r="M257" s="24" t="n">
        <x:v>78.4772</x:v>
      </x:c>
      <x:c r="N257" t="str">
        <x:f>IF(I257&gt;70,"70+ dB",IF(I257&gt;55,"56-70 dB","41-55 dB"))</x:f>
        <x:v>56-70 dB</x:v>
      </x:c>
      <x:c r="O257" t="str">
        <x:f>IF(I257&gt;70,"High",IF(I257&gt;55,"Moderate","Low"))</x:f>
        <x:v>Moderate</x:v>
      </x:c>
      <x:c r="P257" t="str">
        <x:f>IF(I257&gt;=70,"Yes","No")</x:f>
        <x:v>No</x:v>
      </x:c>
      <x:c r="Q257" t="str">
        <x:f>TEXT(B257,"yyyy-mm")</x:f>
        <x:v>2017-06</x:v>
      </x:c>
    </x:row>
    <x:row r="258">
      <x:c r="A258" t="str">
        <x:v>HYD02</x:v>
      </x:c>
      <x:c r="B258" s="22" t="n">
        <x:f>DATE(C258,D258,1)</x:f>
        <x:v>42917</x:v>
      </x:c>
      <x:c r="C258" t="n">
        <x:v>2017</x:v>
      </x:c>
      <x:c r="D258" t="n">
        <x:v>7</x:v>
      </x:c>
      <x:c r="E258" t="str">
        <x:f>TEXT(B258,"mmm")</x:f>
        <x:v>Jul</x:v>
      </x:c>
      <x:c r="F258" t="str">
        <x:f>"Q"&amp;ROUNDUP(D258/3,0)</x:f>
        <x:v>Q3</x:v>
      </x:c>
      <x:c r="G258" s="23" t="n">
        <x:v>61</x:v>
      </x:c>
      <x:c r="H258" s="23" t="n">
        <x:v>55</x:v>
      </x:c>
      <x:c r="I258" s="23" t="n">
        <x:v>58</x:v>
      </x:c>
      <x:c r="J258" s="23" t="n">
        <x:f>G258-H258</x:f>
        <x:v>6</x:v>
      </x:c>
      <x:c r="K258" t="str">
        <x:v>OBSERVED</x:v>
      </x:c>
      <x:c r="L258" s="24" t="n">
        <x:v>17.4065</x:v>
      </x:c>
      <x:c r="M258" s="24" t="n">
        <x:v>78.4772</x:v>
      </x:c>
      <x:c r="N258" t="str">
        <x:f>IF(I258&gt;70,"70+ dB",IF(I258&gt;55,"56-70 dB","41-55 dB"))</x:f>
        <x:v>56-70 dB</x:v>
      </x:c>
      <x:c r="O258" t="str">
        <x:f>IF(I258&gt;70,"High",IF(I258&gt;55,"Moderate","Low"))</x:f>
        <x:v>Moderate</x:v>
      </x:c>
      <x:c r="P258" t="str">
        <x:f>IF(I258&gt;=70,"Yes","No")</x:f>
        <x:v>No</x:v>
      </x:c>
      <x:c r="Q258" t="str">
        <x:f>TEXT(B258,"yyyy-mm")</x:f>
        <x:v>2017-07</x:v>
      </x:c>
    </x:row>
    <x:row r="259">
      <x:c r="A259" t="str">
        <x:v>HYD02</x:v>
      </x:c>
      <x:c r="B259" s="22" t="n">
        <x:f>DATE(C259,D259,1)</x:f>
        <x:v>42948</x:v>
      </x:c>
      <x:c r="C259" t="n">
        <x:v>2017</x:v>
      </x:c>
      <x:c r="D259" t="n">
        <x:v>8</x:v>
      </x:c>
      <x:c r="E259" t="str">
        <x:f>TEXT(B259,"mmm")</x:f>
        <x:v>Aug</x:v>
      </x:c>
      <x:c r="F259" t="str">
        <x:f>"Q"&amp;ROUNDUP(D259/3,0)</x:f>
        <x:v>Q3</x:v>
      </x:c>
      <x:c r="G259" s="23" t="n">
        <x:v>60</x:v>
      </x:c>
      <x:c r="H259" s="23" t="n">
        <x:v>54</x:v>
      </x:c>
      <x:c r="I259" s="23" t="n">
        <x:v>57</x:v>
      </x:c>
      <x:c r="J259" s="23" t="n">
        <x:f>G259-H259</x:f>
        <x:v>6</x:v>
      </x:c>
      <x:c r="K259" t="str">
        <x:v>OBSERVED</x:v>
      </x:c>
      <x:c r="L259" s="24" t="n">
        <x:v>17.4065</x:v>
      </x:c>
      <x:c r="M259" s="24" t="n">
        <x:v>78.4772</x:v>
      </x:c>
      <x:c r="N259" t="str">
        <x:f>IF(I259&gt;70,"70+ dB",IF(I259&gt;55,"56-70 dB","41-55 dB"))</x:f>
        <x:v>56-70 dB</x:v>
      </x:c>
      <x:c r="O259" t="str">
        <x:f>IF(I259&gt;70,"High",IF(I259&gt;55,"Moderate","Low"))</x:f>
        <x:v>Moderate</x:v>
      </x:c>
      <x:c r="P259" t="str">
        <x:f>IF(I259&gt;=70,"Yes","No")</x:f>
        <x:v>No</x:v>
      </x:c>
      <x:c r="Q259" t="str">
        <x:f>TEXT(B259,"yyyy-mm")</x:f>
        <x:v>2017-08</x:v>
      </x:c>
    </x:row>
    <x:row r="260">
      <x:c r="A260" t="str">
        <x:v>HYD02</x:v>
      </x:c>
      <x:c r="B260" s="22" t="n">
        <x:f>DATE(C260,D260,1)</x:f>
        <x:v>42979</x:v>
      </x:c>
      <x:c r="C260" t="n">
        <x:v>2017</x:v>
      </x:c>
      <x:c r="D260" t="n">
        <x:v>9</x:v>
      </x:c>
      <x:c r="E260" t="str">
        <x:f>TEXT(B260,"mmm")</x:f>
        <x:v>Sep</x:v>
      </x:c>
      <x:c r="F260" t="str">
        <x:f>"Q"&amp;ROUNDUP(D260/3,0)</x:f>
        <x:v>Q3</x:v>
      </x:c>
      <x:c r="G260" s="23" t="n">
        <x:v>65</x:v>
      </x:c>
      <x:c r="H260" s="23" t="n">
        <x:v>58</x:v>
      </x:c>
      <x:c r="I260" s="23" t="n">
        <x:v>61.5</x:v>
      </x:c>
      <x:c r="J260" s="23" t="n">
        <x:f>G260-H260</x:f>
        <x:v>7</x:v>
      </x:c>
      <x:c r="K260" t="str">
        <x:v>OBSERVED</x:v>
      </x:c>
      <x:c r="L260" s="24" t="n">
        <x:v>17.4065</x:v>
      </x:c>
      <x:c r="M260" s="24" t="n">
        <x:v>78.4772</x:v>
      </x:c>
      <x:c r="N260" t="str">
        <x:f>IF(I260&gt;70,"70+ dB",IF(I260&gt;55,"56-70 dB","41-55 dB"))</x:f>
        <x:v>56-70 dB</x:v>
      </x:c>
      <x:c r="O260" t="str">
        <x:f>IF(I260&gt;70,"High",IF(I260&gt;55,"Moderate","Low"))</x:f>
        <x:v>Moderate</x:v>
      </x:c>
      <x:c r="P260" t="str">
        <x:f>IF(I260&gt;=70,"Yes","No")</x:f>
        <x:v>No</x:v>
      </x:c>
      <x:c r="Q260" t="str">
        <x:f>TEXT(B260,"yyyy-mm")</x:f>
        <x:v>2017-09</x:v>
      </x:c>
    </x:row>
    <x:row r="261">
      <x:c r="A261" t="str">
        <x:v>HYD02</x:v>
      </x:c>
      <x:c r="B261" s="22" t="n">
        <x:f>DATE(C261,D261,1)</x:f>
        <x:v>43009</x:v>
      </x:c>
      <x:c r="C261" t="n">
        <x:v>2017</x:v>
      </x:c>
      <x:c r="D261" t="n">
        <x:v>10</x:v>
      </x:c>
      <x:c r="E261" t="str">
        <x:f>TEXT(B261,"mmm")</x:f>
        <x:v>Oct</x:v>
      </x:c>
      <x:c r="F261" t="str">
        <x:f>"Q"&amp;ROUNDUP(D261/3,0)</x:f>
        <x:v>Q4</x:v>
      </x:c>
      <x:c r="G261" s="23" t="n">
        <x:v>62</x:v>
      </x:c>
      <x:c r="H261" s="23" t="n">
        <x:v>56</x:v>
      </x:c>
      <x:c r="I261" s="23" t="n">
        <x:v>59</x:v>
      </x:c>
      <x:c r="J261" s="23" t="n">
        <x:f>G261-H261</x:f>
        <x:v>6</x:v>
      </x:c>
      <x:c r="K261" t="str">
        <x:v>OBSERVED</x:v>
      </x:c>
      <x:c r="L261" s="24" t="n">
        <x:v>17.4065</x:v>
      </x:c>
      <x:c r="M261" s="24" t="n">
        <x:v>78.4772</x:v>
      </x:c>
      <x:c r="N261" t="str">
        <x:f>IF(I261&gt;70,"70+ dB",IF(I261&gt;55,"56-70 dB","41-55 dB"))</x:f>
        <x:v>56-70 dB</x:v>
      </x:c>
      <x:c r="O261" t="str">
        <x:f>IF(I261&gt;70,"High",IF(I261&gt;55,"Moderate","Low"))</x:f>
        <x:v>Moderate</x:v>
      </x:c>
      <x:c r="P261" t="str">
        <x:f>IF(I261&gt;=70,"Yes","No")</x:f>
        <x:v>No</x:v>
      </x:c>
      <x:c r="Q261" t="str">
        <x:f>TEXT(B261,"yyyy-mm")</x:f>
        <x:v>2017-10</x:v>
      </x:c>
    </x:row>
    <x:row r="262">
      <x:c r="A262" t="str">
        <x:v>HYD02</x:v>
      </x:c>
      <x:c r="B262" s="22" t="n">
        <x:f>DATE(C262,D262,1)</x:f>
        <x:v>43040</x:v>
      </x:c>
      <x:c r="C262" t="n">
        <x:v>2017</x:v>
      </x:c>
      <x:c r="D262" t="n">
        <x:v>11</x:v>
      </x:c>
      <x:c r="E262" t="str">
        <x:f>TEXT(B262,"mmm")</x:f>
        <x:v>Nov</x:v>
      </x:c>
      <x:c r="F262" t="str">
        <x:f>"Q"&amp;ROUNDUP(D262/3,0)</x:f>
        <x:v>Q4</x:v>
      </x:c>
      <x:c r="G262" s="23" t="n">
        <x:v>61</x:v>
      </x:c>
      <x:c r="H262" s="23" t="n">
        <x:v>56</x:v>
      </x:c>
      <x:c r="I262" s="23" t="n">
        <x:v>58.5</x:v>
      </x:c>
      <x:c r="J262" s="23" t="n">
        <x:f>G262-H262</x:f>
        <x:v>5</x:v>
      </x:c>
      <x:c r="K262" t="str">
        <x:v>OBSERVED</x:v>
      </x:c>
      <x:c r="L262" s="24" t="n">
        <x:v>17.4065</x:v>
      </x:c>
      <x:c r="M262" s="24" t="n">
        <x:v>78.4772</x:v>
      </x:c>
      <x:c r="N262" t="str">
        <x:f>IF(I262&gt;70,"70+ dB",IF(I262&gt;55,"56-70 dB","41-55 dB"))</x:f>
        <x:v>56-70 dB</x:v>
      </x:c>
      <x:c r="O262" t="str">
        <x:f>IF(I262&gt;70,"High",IF(I262&gt;55,"Moderate","Low"))</x:f>
        <x:v>Moderate</x:v>
      </x:c>
      <x:c r="P262" t="str">
        <x:f>IF(I262&gt;=70,"Yes","No")</x:f>
        <x:v>No</x:v>
      </x:c>
      <x:c r="Q262" t="str">
        <x:f>TEXT(B262,"yyyy-mm")</x:f>
        <x:v>2017-11</x:v>
      </x:c>
    </x:row>
    <x:row r="263">
      <x:c r="A263" t="str">
        <x:v>HYD02</x:v>
      </x:c>
      <x:c r="B263" s="22" t="n">
        <x:f>DATE(C263,D263,1)</x:f>
        <x:v>43070</x:v>
      </x:c>
      <x:c r="C263" t="n">
        <x:v>2017</x:v>
      </x:c>
      <x:c r="D263" t="n">
        <x:v>12</x:v>
      </x:c>
      <x:c r="E263" t="str">
        <x:f>TEXT(B263,"mmm")</x:f>
        <x:v>Dec</x:v>
      </x:c>
      <x:c r="F263" t="str">
        <x:f>"Q"&amp;ROUNDUP(D263/3,0)</x:f>
        <x:v>Q4</x:v>
      </x:c>
      <x:c r="G263" s="23" t="n">
        <x:v>62</x:v>
      </x:c>
      <x:c r="H263" s="23" t="n">
        <x:v>56</x:v>
      </x:c>
      <x:c r="I263" s="23" t="n">
        <x:v>59</x:v>
      </x:c>
      <x:c r="J263" s="23" t="n">
        <x:f>G263-H263</x:f>
        <x:v>6</x:v>
      </x:c>
      <x:c r="K263" t="str">
        <x:v>OBSERVED</x:v>
      </x:c>
      <x:c r="L263" s="24" t="n">
        <x:v>17.4065</x:v>
      </x:c>
      <x:c r="M263" s="24" t="n">
        <x:v>78.4772</x:v>
      </x:c>
      <x:c r="N263" t="str">
        <x:f>IF(I263&gt;70,"70+ dB",IF(I263&gt;55,"56-70 dB","41-55 dB"))</x:f>
        <x:v>56-70 dB</x:v>
      </x:c>
      <x:c r="O263" t="str">
        <x:f>IF(I263&gt;70,"High",IF(I263&gt;55,"Moderate","Low"))</x:f>
        <x:v>Moderate</x:v>
      </x:c>
      <x:c r="P263" t="str">
        <x:f>IF(I263&gt;=70,"Yes","No")</x:f>
        <x:v>No</x:v>
      </x:c>
      <x:c r="Q263" t="str">
        <x:f>TEXT(B263,"yyyy-mm")</x:f>
        <x:v>2017-12</x:v>
      </x:c>
    </x:row>
    <x:row r="264">
      <x:c r="A264" t="str">
        <x:v>HYD02</x:v>
      </x:c>
      <x:c r="B264" s="22" t="n">
        <x:f>DATE(C264,D264,1)</x:f>
        <x:v>43101</x:v>
      </x:c>
      <x:c r="C264" t="n">
        <x:v>2018</x:v>
      </x:c>
      <x:c r="D264" t="n">
        <x:v>1</x:v>
      </x:c>
      <x:c r="E264" t="str">
        <x:f>TEXT(B264,"mmm")</x:f>
        <x:v>Jan</x:v>
      </x:c>
      <x:c r="F264" t="str">
        <x:f>"Q"&amp;ROUNDUP(D264/3,0)</x:f>
        <x:v>Q1</x:v>
      </x:c>
      <x:c r="G264" s="23" t="n">
        <x:v>73</x:v>
      </x:c>
      <x:c r="H264" s="23" t="n">
        <x:v>73</x:v>
      </x:c>
      <x:c r="I264" s="23" t="n">
        <x:v>73</x:v>
      </x:c>
      <x:c r="J264" s="23" t="n">
        <x:f>G264-H264</x:f>
        <x:v>0</x:v>
      </x:c>
      <x:c r="K264" t="str">
        <x:v>OBSERVED</x:v>
      </x:c>
      <x:c r="L264" s="24" t="n">
        <x:v>17.4065</x:v>
      </x:c>
      <x:c r="M264" s="24" t="n">
        <x:v>78.4772</x:v>
      </x:c>
      <x:c r="N264" t="str">
        <x:f>IF(I264&gt;70,"70+ dB",IF(I264&gt;55,"56-70 dB","41-55 dB"))</x:f>
        <x:v>70+ dB</x:v>
      </x:c>
      <x:c r="O264" t="str">
        <x:f>IF(I264&gt;70,"High",IF(I264&gt;55,"Moderate","Low"))</x:f>
        <x:v>High</x:v>
      </x:c>
      <x:c r="P264" t="str">
        <x:f>IF(I264&gt;=70,"Yes","No")</x:f>
        <x:v>Yes</x:v>
      </x:c>
      <x:c r="Q264" t="str">
        <x:f>TEXT(B264,"yyyy-mm")</x:f>
        <x:v>2018-01</x:v>
      </x:c>
    </x:row>
    <x:row r="265">
      <x:c r="A265" t="str">
        <x:v>HYD02</x:v>
      </x:c>
      <x:c r="B265" s="22" t="n">
        <x:f>DATE(C265,D265,1)</x:f>
        <x:v>43132</x:v>
      </x:c>
      <x:c r="C265" t="n">
        <x:v>2018</x:v>
      </x:c>
      <x:c r="D265" t="n">
        <x:v>2</x:v>
      </x:c>
      <x:c r="E265" t="str">
        <x:f>TEXT(B265,"mmm")</x:f>
        <x:v>Feb</x:v>
      </x:c>
      <x:c r="F265" t="str">
        <x:f>"Q"&amp;ROUNDUP(D265/3,0)</x:f>
        <x:v>Q1</x:v>
      </x:c>
      <x:c r="G265" s="23" t="n">
        <x:v>71</x:v>
      </x:c>
      <x:c r="H265" s="23" t="n">
        <x:v>70</x:v>
      </x:c>
      <x:c r="I265" s="23" t="n">
        <x:v>70.5</x:v>
      </x:c>
      <x:c r="J265" s="23" t="n">
        <x:f>G265-H265</x:f>
        <x:v>1</x:v>
      </x:c>
      <x:c r="K265" t="str">
        <x:v>OBSERVED</x:v>
      </x:c>
      <x:c r="L265" s="24" t="n">
        <x:v>17.4065</x:v>
      </x:c>
      <x:c r="M265" s="24" t="n">
        <x:v>78.4772</x:v>
      </x:c>
      <x:c r="N265" t="str">
        <x:f>IF(I265&gt;70,"70+ dB",IF(I265&gt;55,"56-70 dB","41-55 dB"))</x:f>
        <x:v>70+ dB</x:v>
      </x:c>
      <x:c r="O265" t="str">
        <x:f>IF(I265&gt;70,"High",IF(I265&gt;55,"Moderate","Low"))</x:f>
        <x:v>High</x:v>
      </x:c>
      <x:c r="P265" t="str">
        <x:f>IF(I265&gt;=70,"Yes","No")</x:f>
        <x:v>Yes</x:v>
      </x:c>
      <x:c r="Q265" t="str">
        <x:f>TEXT(B265,"yyyy-mm")</x:f>
        <x:v>2018-02</x:v>
      </x:c>
    </x:row>
    <x:row r="266">
      <x:c r="A266" t="str">
        <x:v>HYD02</x:v>
      </x:c>
      <x:c r="B266" s="22" t="n">
        <x:f>DATE(C266,D266,1)</x:f>
        <x:v>43160</x:v>
      </x:c>
      <x:c r="C266" t="n">
        <x:v>2018</x:v>
      </x:c>
      <x:c r="D266" t="n">
        <x:v>3</x:v>
      </x:c>
      <x:c r="E266" t="str">
        <x:f>TEXT(B266,"mmm")</x:f>
        <x:v>Mar</x:v>
      </x:c>
      <x:c r="F266" t="str">
        <x:f>"Q"&amp;ROUNDUP(D266/3,0)</x:f>
        <x:v>Q1</x:v>
      </x:c>
      <x:c r="G266" s="23" t="n">
        <x:v>69</x:v>
      </x:c>
      <x:c r="H266" s="23" t="n">
        <x:v>67</x:v>
      </x:c>
      <x:c r="I266" s="23" t="n">
        <x:v>68</x:v>
      </x:c>
      <x:c r="J266" s="23" t="n">
        <x:f>G266-H266</x:f>
        <x:v>2</x:v>
      </x:c>
      <x:c r="K266" t="str">
        <x:v>OBSERVED</x:v>
      </x:c>
      <x:c r="L266" s="24" t="n">
        <x:v>17.4065</x:v>
      </x:c>
      <x:c r="M266" s="24" t="n">
        <x:v>78.4772</x:v>
      </x:c>
      <x:c r="N266" t="str">
        <x:f>IF(I266&gt;70,"70+ dB",IF(I266&gt;55,"56-70 dB","41-55 dB"))</x:f>
        <x:v>56-70 dB</x:v>
      </x:c>
      <x:c r="O266" t="str">
        <x:f>IF(I266&gt;70,"High",IF(I266&gt;55,"Moderate","Low"))</x:f>
        <x:v>Moderate</x:v>
      </x:c>
      <x:c r="P266" t="str">
        <x:f>IF(I266&gt;=70,"Yes","No")</x:f>
        <x:v>No</x:v>
      </x:c>
      <x:c r="Q266" t="str">
        <x:f>TEXT(B266,"yyyy-mm")</x:f>
        <x:v>2018-03</x:v>
      </x:c>
    </x:row>
    <x:row r="267">
      <x:c r="A267" t="str">
        <x:v>HYD02</x:v>
      </x:c>
      <x:c r="B267" s="22" t="n">
        <x:f>DATE(C267,D267,1)</x:f>
        <x:v>43191</x:v>
      </x:c>
      <x:c r="C267" t="n">
        <x:v>2018</x:v>
      </x:c>
      <x:c r="D267" t="n">
        <x:v>4</x:v>
      </x:c>
      <x:c r="E267" t="str">
        <x:f>TEXT(B267,"mmm")</x:f>
        <x:v>Apr</x:v>
      </x:c>
      <x:c r="F267" t="str">
        <x:f>"Q"&amp;ROUNDUP(D267/3,0)</x:f>
        <x:v>Q2</x:v>
      </x:c>
      <x:c r="G267" s="23" t="n">
        <x:v>70</x:v>
      </x:c>
      <x:c r="H267" s="23" t="n">
        <x:v>66</x:v>
      </x:c>
      <x:c r="I267" s="23" t="n">
        <x:v>68</x:v>
      </x:c>
      <x:c r="J267" s="23" t="n">
        <x:f>G267-H267</x:f>
        <x:v>4</x:v>
      </x:c>
      <x:c r="K267" t="str">
        <x:v>OBSERVED</x:v>
      </x:c>
      <x:c r="L267" s="24" t="n">
        <x:v>17.4065</x:v>
      </x:c>
      <x:c r="M267" s="24" t="n">
        <x:v>78.4772</x:v>
      </x:c>
      <x:c r="N267" t="str">
        <x:f>IF(I267&gt;70,"70+ dB",IF(I267&gt;55,"56-70 dB","41-55 dB"))</x:f>
        <x:v>56-70 dB</x:v>
      </x:c>
      <x:c r="O267" t="str">
        <x:f>IF(I267&gt;70,"High",IF(I267&gt;55,"Moderate","Low"))</x:f>
        <x:v>Moderate</x:v>
      </x:c>
      <x:c r="P267" t="str">
        <x:f>IF(I267&gt;=70,"Yes","No")</x:f>
        <x:v>No</x:v>
      </x:c>
      <x:c r="Q267" t="str">
        <x:f>TEXT(B267,"yyyy-mm")</x:f>
        <x:v>2018-04</x:v>
      </x:c>
    </x:row>
    <x:row r="268">
      <x:c r="A268" t="str">
        <x:v>HYD02</x:v>
      </x:c>
      <x:c r="B268" s="22" t="n">
        <x:f>DATE(C268,D268,1)</x:f>
        <x:v>43221</x:v>
      </x:c>
      <x:c r="C268" t="n">
        <x:v>2018</x:v>
      </x:c>
      <x:c r="D268" t="n">
        <x:v>5</x:v>
      </x:c>
      <x:c r="E268" t="str">
        <x:f>TEXT(B268,"mmm")</x:f>
        <x:v>May</x:v>
      </x:c>
      <x:c r="F268" t="str">
        <x:f>"Q"&amp;ROUNDUP(D268/3,0)</x:f>
        <x:v>Q2</x:v>
      </x:c>
      <x:c r="G268" s="23" t="n">
        <x:v>71</x:v>
      </x:c>
      <x:c r="H268" s="23" t="n">
        <x:v>69</x:v>
      </x:c>
      <x:c r="I268" s="23" t="n">
        <x:v>70</x:v>
      </x:c>
      <x:c r="J268" s="23" t="n">
        <x:f>G268-H268</x:f>
        <x:v>2</x:v>
      </x:c>
      <x:c r="K268" t="str">
        <x:v>OBSERVED</x:v>
      </x:c>
      <x:c r="L268" s="24" t="n">
        <x:v>17.4065</x:v>
      </x:c>
      <x:c r="M268" s="24" t="n">
        <x:v>78.4772</x:v>
      </x:c>
      <x:c r="N268" t="str">
        <x:f>IF(I268&gt;70,"70+ dB",IF(I268&gt;55,"56-70 dB","41-55 dB"))</x:f>
        <x:v>56-70 dB</x:v>
      </x:c>
      <x:c r="O268" t="str">
        <x:f>IF(I268&gt;70,"High",IF(I268&gt;55,"Moderate","Low"))</x:f>
        <x:v>Moderate</x:v>
      </x:c>
      <x:c r="P268" t="str">
        <x:f>IF(I268&gt;=70,"Yes","No")</x:f>
        <x:v>Yes</x:v>
      </x:c>
      <x:c r="Q268" t="str">
        <x:f>TEXT(B268,"yyyy-mm")</x:f>
        <x:v>2018-05</x:v>
      </x:c>
    </x:row>
    <x:row r="269">
      <x:c r="A269" t="str">
        <x:v>HYD02</x:v>
      </x:c>
      <x:c r="B269" s="22" t="n">
        <x:f>DATE(C269,D269,1)</x:f>
        <x:v>43252</x:v>
      </x:c>
      <x:c r="C269" t="n">
        <x:v>2018</x:v>
      </x:c>
      <x:c r="D269" t="n">
        <x:v>6</x:v>
      </x:c>
      <x:c r="E269" t="str">
        <x:f>TEXT(B269,"mmm")</x:f>
        <x:v>Jun</x:v>
      </x:c>
      <x:c r="F269" t="str">
        <x:f>"Q"&amp;ROUNDUP(D269/3,0)</x:f>
        <x:v>Q2</x:v>
      </x:c>
      <x:c r="G269" s="23" t="n">
        <x:v>64</x:v>
      </x:c>
      <x:c r="H269" s="23" t="n">
        <x:v>50</x:v>
      </x:c>
      <x:c r="I269" s="23" t="n">
        <x:v>57</x:v>
      </x:c>
      <x:c r="J269" s="23" t="n">
        <x:f>G269-H269</x:f>
        <x:v>14</x:v>
      </x:c>
      <x:c r="K269" t="str">
        <x:v>OBSERVED</x:v>
      </x:c>
      <x:c r="L269" s="24" t="n">
        <x:v>17.4065</x:v>
      </x:c>
      <x:c r="M269" s="24" t="n">
        <x:v>78.4772</x:v>
      </x:c>
      <x:c r="N269" t="str">
        <x:f>IF(I269&gt;70,"70+ dB",IF(I269&gt;55,"56-70 dB","41-55 dB"))</x:f>
        <x:v>56-70 dB</x:v>
      </x:c>
      <x:c r="O269" t="str">
        <x:f>IF(I269&gt;70,"High",IF(I269&gt;55,"Moderate","Low"))</x:f>
        <x:v>Moderate</x:v>
      </x:c>
      <x:c r="P269" t="str">
        <x:f>IF(I269&gt;=70,"Yes","No")</x:f>
        <x:v>No</x:v>
      </x:c>
      <x:c r="Q269" t="str">
        <x:f>TEXT(B269,"yyyy-mm")</x:f>
        <x:v>2018-06</x:v>
      </x:c>
    </x:row>
    <x:row r="270">
      <x:c r="A270" t="str">
        <x:v>HYD02</x:v>
      </x:c>
      <x:c r="B270" s="22" t="n">
        <x:f>DATE(C270,D270,1)</x:f>
        <x:v>43282</x:v>
      </x:c>
      <x:c r="C270" t="n">
        <x:v>2018</x:v>
      </x:c>
      <x:c r="D270" t="n">
        <x:v>7</x:v>
      </x:c>
      <x:c r="E270" t="str">
        <x:f>TEXT(B270,"mmm")</x:f>
        <x:v>Jul</x:v>
      </x:c>
      <x:c r="F270" t="str">
        <x:f>"Q"&amp;ROUNDUP(D270/3,0)</x:f>
        <x:v>Q3</x:v>
      </x:c>
      <x:c r="G270" s="23" t="n">
        <x:v>56</x:v>
      </x:c>
      <x:c r="H270" s="23" t="n">
        <x:v>46</x:v>
      </x:c>
      <x:c r="I270" s="23" t="n">
        <x:v>51</x:v>
      </x:c>
      <x:c r="J270" s="23" t="n">
        <x:f>G270-H270</x:f>
        <x:v>10</x:v>
      </x:c>
      <x:c r="K270" t="str">
        <x:v>OBSERVED</x:v>
      </x:c>
      <x:c r="L270" s="24" t="n">
        <x:v>17.4065</x:v>
      </x:c>
      <x:c r="M270" s="24" t="n">
        <x:v>78.4772</x:v>
      </x:c>
      <x:c r="N270" t="str">
        <x:f>IF(I270&gt;70,"70+ dB",IF(I270&gt;55,"56-70 dB","41-55 dB"))</x:f>
        <x:v>41-55 dB</x:v>
      </x:c>
      <x:c r="O270" t="str">
        <x:f>IF(I270&gt;70,"High",IF(I270&gt;55,"Moderate","Low"))</x:f>
        <x:v>Low</x:v>
      </x:c>
      <x:c r="P270" t="str">
        <x:f>IF(I270&gt;=70,"Yes","No")</x:f>
        <x:v>No</x:v>
      </x:c>
      <x:c r="Q270" t="str">
        <x:f>TEXT(B270,"yyyy-mm")</x:f>
        <x:v>2018-07</x:v>
      </x:c>
    </x:row>
    <x:row r="271">
      <x:c r="A271" t="str">
        <x:v>HYD02</x:v>
      </x:c>
      <x:c r="B271" s="22" t="n">
        <x:f>DATE(C271,D271,1)</x:f>
        <x:v>43313</x:v>
      </x:c>
      <x:c r="C271" t="n">
        <x:v>2018</x:v>
      </x:c>
      <x:c r="D271" t="n">
        <x:v>8</x:v>
      </x:c>
      <x:c r="E271" t="str">
        <x:f>TEXT(B271,"mmm")</x:f>
        <x:v>Aug</x:v>
      </x:c>
      <x:c r="F271" t="str">
        <x:f>"Q"&amp;ROUNDUP(D271/3,0)</x:f>
        <x:v>Q3</x:v>
      </x:c>
      <x:c r="G271" s="23" t="n">
        <x:v>55</x:v>
      </x:c>
      <x:c r="H271" s="23" t="n">
        <x:v>44</x:v>
      </x:c>
      <x:c r="I271" s="23" t="n">
        <x:v>49.5</x:v>
      </x:c>
      <x:c r="J271" s="23" t="n">
        <x:f>G271-H271</x:f>
        <x:v>11</x:v>
      </x:c>
      <x:c r="K271" t="str">
        <x:v>OBSERVED</x:v>
      </x:c>
      <x:c r="L271" s="24" t="n">
        <x:v>17.4065</x:v>
      </x:c>
      <x:c r="M271" s="24" t="n">
        <x:v>78.4772</x:v>
      </x:c>
      <x:c r="N271" t="str">
        <x:f>IF(I271&gt;70,"70+ dB",IF(I271&gt;55,"56-70 dB","41-55 dB"))</x:f>
        <x:v>41-55 dB</x:v>
      </x:c>
      <x:c r="O271" t="str">
        <x:f>IF(I271&gt;70,"High",IF(I271&gt;55,"Moderate","Low"))</x:f>
        <x:v>Low</x:v>
      </x:c>
      <x:c r="P271" t="str">
        <x:f>IF(I271&gt;=70,"Yes","No")</x:f>
        <x:v>No</x:v>
      </x:c>
      <x:c r="Q271" t="str">
        <x:f>TEXT(B271,"yyyy-mm")</x:f>
        <x:v>2018-08</x:v>
      </x:c>
    </x:row>
    <x:row r="272">
      <x:c r="A272" t="str">
        <x:v>HYD02</x:v>
      </x:c>
      <x:c r="B272" s="22" t="n">
        <x:f>DATE(C272,D272,1)</x:f>
        <x:v>43344</x:v>
      </x:c>
      <x:c r="C272" t="n">
        <x:v>2018</x:v>
      </x:c>
      <x:c r="D272" t="n">
        <x:v>9</x:v>
      </x:c>
      <x:c r="E272" t="str">
        <x:f>TEXT(B272,"mmm")</x:f>
        <x:v>Sep</x:v>
      </x:c>
      <x:c r="F272" t="str">
        <x:f>"Q"&amp;ROUNDUP(D272/3,0)</x:f>
        <x:v>Q3</x:v>
      </x:c>
      <x:c r="G272" s="23" t="n">
        <x:v>61</x:v>
      </x:c>
      <x:c r="H272" s="23" t="n">
        <x:v>55</x:v>
      </x:c>
      <x:c r="I272" s="23" t="n">
        <x:v>58</x:v>
      </x:c>
      <x:c r="J272" s="23" t="n">
        <x:f>G272-H272</x:f>
        <x:v>6</x:v>
      </x:c>
      <x:c r="K272" t="str">
        <x:v>OBSERVED</x:v>
      </x:c>
      <x:c r="L272" s="24" t="n">
        <x:v>17.4065</x:v>
      </x:c>
      <x:c r="M272" s="24" t="n">
        <x:v>78.4772</x:v>
      </x:c>
      <x:c r="N272" t="str">
        <x:f>IF(I272&gt;70,"70+ dB",IF(I272&gt;55,"56-70 dB","41-55 dB"))</x:f>
        <x:v>56-70 dB</x:v>
      </x:c>
      <x:c r="O272" t="str">
        <x:f>IF(I272&gt;70,"High",IF(I272&gt;55,"Moderate","Low"))</x:f>
        <x:v>Moderate</x:v>
      </x:c>
      <x:c r="P272" t="str">
        <x:f>IF(I272&gt;=70,"Yes","No")</x:f>
        <x:v>No</x:v>
      </x:c>
      <x:c r="Q272" t="str">
        <x:f>TEXT(B272,"yyyy-mm")</x:f>
        <x:v>2018-09</x:v>
      </x:c>
    </x:row>
    <x:row r="273">
      <x:c r="A273" t="str">
        <x:v>HYD02</x:v>
      </x:c>
      <x:c r="B273" s="22" t="n">
        <x:f>DATE(C273,D273,1)</x:f>
        <x:v>43374</x:v>
      </x:c>
      <x:c r="C273" t="n">
        <x:v>2018</x:v>
      </x:c>
      <x:c r="D273" t="n">
        <x:v>10</x:v>
      </x:c>
      <x:c r="E273" t="str">
        <x:f>TEXT(B273,"mmm")</x:f>
        <x:v>Oct</x:v>
      </x:c>
      <x:c r="F273" t="str">
        <x:f>"Q"&amp;ROUNDUP(D273/3,0)</x:f>
        <x:v>Q4</x:v>
      </x:c>
      <x:c r="G273" s="23" t="n">
        <x:v>78</x:v>
      </x:c>
      <x:c r="H273" s="23" t="n">
        <x:v>78</x:v>
      </x:c>
      <x:c r="I273" s="23" t="n">
        <x:v>78</x:v>
      </x:c>
      <x:c r="J273" s="23" t="n">
        <x:f>G273-H273</x:f>
        <x:v>0</x:v>
      </x:c>
      <x:c r="K273" t="str">
        <x:v>OBSERVED</x:v>
      </x:c>
      <x:c r="L273" s="24" t="n">
        <x:v>17.4065</x:v>
      </x:c>
      <x:c r="M273" s="24" t="n">
        <x:v>78.4772</x:v>
      </x:c>
      <x:c r="N273" t="str">
        <x:f>IF(I273&gt;70,"70+ dB",IF(I273&gt;55,"56-70 dB","41-55 dB"))</x:f>
        <x:v>70+ dB</x:v>
      </x:c>
      <x:c r="O273" t="str">
        <x:f>IF(I273&gt;70,"High",IF(I273&gt;55,"Moderate","Low"))</x:f>
        <x:v>High</x:v>
      </x:c>
      <x:c r="P273" t="str">
        <x:f>IF(I273&gt;=70,"Yes","No")</x:f>
        <x:v>Yes</x:v>
      </x:c>
      <x:c r="Q273" t="str">
        <x:f>TEXT(B273,"yyyy-mm")</x:f>
        <x:v>2018-10</x:v>
      </x:c>
    </x:row>
    <x:row r="274">
      <x:c r="A274" t="str">
        <x:v>HYD02</x:v>
      </x:c>
      <x:c r="B274" s="22" t="n">
        <x:f>DATE(C274,D274,1)</x:f>
        <x:v>43405</x:v>
      </x:c>
      <x:c r="C274" t="n">
        <x:v>2018</x:v>
      </x:c>
      <x:c r="D274" t="n">
        <x:v>11</x:v>
      </x:c>
      <x:c r="E274" t="str">
        <x:f>TEXT(B274,"mmm")</x:f>
        <x:v>Nov</x:v>
      </x:c>
      <x:c r="F274" t="str">
        <x:f>"Q"&amp;ROUNDUP(D274/3,0)</x:f>
        <x:v>Q4</x:v>
      </x:c>
      <x:c r="G274" s="23" t="n">
        <x:v>84</x:v>
      </x:c>
      <x:c r="H274" s="23" t="n">
        <x:v>85</x:v>
      </x:c>
      <x:c r="I274" s="23" t="n">
        <x:v>84.5</x:v>
      </x:c>
      <x:c r="J274" s="23" t="n">
        <x:f>G274-H274</x:f>
        <x:v>-1</x:v>
      </x:c>
      <x:c r="K274" t="str">
        <x:v>OBSERVED</x:v>
      </x:c>
      <x:c r="L274" s="24" t="n">
        <x:v>17.4065</x:v>
      </x:c>
      <x:c r="M274" s="24" t="n">
        <x:v>78.4772</x:v>
      </x:c>
      <x:c r="N274" t="str">
        <x:f>IF(I274&gt;70,"70+ dB",IF(I274&gt;55,"56-70 dB","41-55 dB"))</x:f>
        <x:v>70+ dB</x:v>
      </x:c>
      <x:c r="O274" t="str">
        <x:f>IF(I274&gt;70,"High",IF(I274&gt;55,"Moderate","Low"))</x:f>
        <x:v>High</x:v>
      </x:c>
      <x:c r="P274" t="str">
        <x:f>IF(I274&gt;=70,"Yes","No")</x:f>
        <x:v>Yes</x:v>
      </x:c>
      <x:c r="Q274" t="str">
        <x:f>TEXT(B274,"yyyy-mm")</x:f>
        <x:v>2018-11</x:v>
      </x:c>
    </x:row>
    <x:row r="275">
      <x:c r="A275" t="str">
        <x:v>HYD02</x:v>
      </x:c>
      <x:c r="B275" s="22" t="n">
        <x:f>DATE(C275,D275,1)</x:f>
        <x:v>43435</x:v>
      </x:c>
      <x:c r="C275" t="n">
        <x:v>2018</x:v>
      </x:c>
      <x:c r="D275" t="n">
        <x:v>12</x:v>
      </x:c>
      <x:c r="E275" t="str">
        <x:f>TEXT(B275,"mmm")</x:f>
        <x:v>Dec</x:v>
      </x:c>
      <x:c r="F275" t="str">
        <x:f>"Q"&amp;ROUNDUP(D275/3,0)</x:f>
        <x:v>Q4</x:v>
      </x:c>
      <x:c r="G275" s="23" t="n">
        <x:v>82</x:v>
      </x:c>
      <x:c r="H275" s="23" t="n">
        <x:v>76</x:v>
      </x:c>
      <x:c r="I275" s="23" t="n">
        <x:v>79</x:v>
      </x:c>
      <x:c r="J275" s="23" t="n">
        <x:f>G275-H275</x:f>
        <x:v>6</x:v>
      </x:c>
      <x:c r="K275" t="str">
        <x:v>OBSERVED</x:v>
      </x:c>
      <x:c r="L275" s="24" t="n">
        <x:v>17.4065</x:v>
      </x:c>
      <x:c r="M275" s="24" t="n">
        <x:v>78.4772</x:v>
      </x:c>
      <x:c r="N275" t="str">
        <x:f>IF(I275&gt;70,"70+ dB",IF(I275&gt;55,"56-70 dB","41-55 dB"))</x:f>
        <x:v>70+ dB</x:v>
      </x:c>
      <x:c r="O275" t="str">
        <x:f>IF(I275&gt;70,"High",IF(I275&gt;55,"Moderate","Low"))</x:f>
        <x:v>High</x:v>
      </x:c>
      <x:c r="P275" t="str">
        <x:f>IF(I275&gt;=70,"Yes","No")</x:f>
        <x:v>Yes</x:v>
      </x:c>
      <x:c r="Q275" t="str">
        <x:f>TEXT(B275,"yyyy-mm")</x:f>
        <x:v>2018-12</x:v>
      </x:c>
    </x:row>
    <x:row r="276">
      <x:c r="A276" t="str">
        <x:v>HYD02</x:v>
      </x:c>
      <x:c r="B276" s="22" t="n">
        <x:f>DATE(C276,D276,1)</x:f>
        <x:v>43466</x:v>
      </x:c>
      <x:c r="C276" t="n">
        <x:v>2019</x:v>
      </x:c>
      <x:c r="D276" t="n">
        <x:v>1</x:v>
      </x:c>
      <x:c r="E276" t="str">
        <x:f>TEXT(B276,"mmm")</x:f>
        <x:v>Jan</x:v>
      </x:c>
      <x:c r="F276" t="str">
        <x:f>"Q"&amp;ROUNDUP(D276/3,0)</x:f>
        <x:v>Q1</x:v>
      </x:c>
      <x:c r="G276" s="23" t="n">
        <x:v>81.69</x:v>
      </x:c>
      <x:c r="H276" s="23" t="n">
        <x:v>76.36</x:v>
      </x:c>
      <x:c r="I276" s="23" t="n">
        <x:v>79</x:v>
      </x:c>
      <x:c r="J276" s="23" t="n">
        <x:f>G276-H276</x:f>
        <x:v>5.329999999999998</x:v>
      </x:c>
      <x:c r="K276" t="str">
        <x:v>HINDCAST</x:v>
      </x:c>
      <x:c r="L276" s="24" t="n">
        <x:v>17.4065</x:v>
      </x:c>
      <x:c r="M276" s="24" t="n">
        <x:v>78.4772</x:v>
      </x:c>
      <x:c r="N276" t="str">
        <x:f>IF(I276&gt;70,"70+ dB",IF(I276&gt;55,"56-70 dB","41-55 dB"))</x:f>
        <x:v>70+ dB</x:v>
      </x:c>
      <x:c r="O276" t="str">
        <x:f>IF(I276&gt;70,"High",IF(I276&gt;55,"Moderate","Low"))</x:f>
        <x:v>High</x:v>
      </x:c>
      <x:c r="P276" t="str">
        <x:f>IF(I276&gt;=70,"Yes","No")</x:f>
        <x:v>Yes</x:v>
      </x:c>
      <x:c r="Q276" t="str">
        <x:f>TEXT(B276,"yyyy-mm")</x:f>
        <x:v>2019-01</x:v>
      </x:c>
    </x:row>
    <x:row r="277">
      <x:c r="A277" t="str">
        <x:v>HYD02</x:v>
      </x:c>
      <x:c r="B277" s="22" t="n">
        <x:f>DATE(C277,D277,1)</x:f>
        <x:v>43497</x:v>
      </x:c>
      <x:c r="C277" t="n">
        <x:v>2019</x:v>
      </x:c>
      <x:c r="D277" t="n">
        <x:v>2</x:v>
      </x:c>
      <x:c r="E277" t="str">
        <x:f>TEXT(B277,"mmm")</x:f>
        <x:v>Feb</x:v>
      </x:c>
      <x:c r="F277" t="str">
        <x:f>"Q"&amp;ROUNDUP(D277/3,0)</x:f>
        <x:v>Q1</x:v>
      </x:c>
      <x:c r="G277" s="23" t="n">
        <x:v>82.63</x:v>
      </x:c>
      <x:c r="H277" s="23" t="n">
        <x:v>73.99</x:v>
      </x:c>
      <x:c r="I277" s="23" t="n">
        <x:v>78.3</x:v>
      </x:c>
      <x:c r="J277" s="23" t="n">
        <x:f>G277-H277</x:f>
        <x:v>8.64</x:v>
      </x:c>
      <x:c r="K277" t="str">
        <x:v>HINDCAST</x:v>
      </x:c>
      <x:c r="L277" s="24" t="n">
        <x:v>17.4065</x:v>
      </x:c>
      <x:c r="M277" s="24" t="n">
        <x:v>78.4772</x:v>
      </x:c>
      <x:c r="N277" t="str">
        <x:f>IF(I277&gt;70,"70+ dB",IF(I277&gt;55,"56-70 dB","41-55 dB"))</x:f>
        <x:v>70+ dB</x:v>
      </x:c>
      <x:c r="O277" t="str">
        <x:f>IF(I277&gt;70,"High",IF(I277&gt;55,"Moderate","Low"))</x:f>
        <x:v>High</x:v>
      </x:c>
      <x:c r="P277" t="str">
        <x:f>IF(I277&gt;=70,"Yes","No")</x:f>
        <x:v>Yes</x:v>
      </x:c>
      <x:c r="Q277" t="str">
        <x:f>TEXT(B277,"yyyy-mm")</x:f>
        <x:v>2019-02</x:v>
      </x:c>
    </x:row>
    <x:row r="278">
      <x:c r="A278" t="str">
        <x:v>HYD02</x:v>
      </x:c>
      <x:c r="B278" s="22" t="n">
        <x:f>DATE(C278,D278,1)</x:f>
        <x:v>43525</x:v>
      </x:c>
      <x:c r="C278" t="n">
        <x:v>2019</x:v>
      </x:c>
      <x:c r="D278" t="n">
        <x:v>3</x:v>
      </x:c>
      <x:c r="E278" t="str">
        <x:f>TEXT(B278,"mmm")</x:f>
        <x:v>Mar</x:v>
      </x:c>
      <x:c r="F278" t="str">
        <x:f>"Q"&amp;ROUNDUP(D278/3,0)</x:f>
        <x:v>Q1</x:v>
      </x:c>
      <x:c r="G278" s="23" t="n">
        <x:v>81.53</x:v>
      </x:c>
      <x:c r="H278" s="23" t="n">
        <x:v>70.15</x:v>
      </x:c>
      <x:c r="I278" s="23" t="n">
        <x:v>75.8</x:v>
      </x:c>
      <x:c r="J278" s="23" t="n">
        <x:f>G278-H278</x:f>
        <x:v>11.379999999999995</x:v>
      </x:c>
      <x:c r="K278" t="str">
        <x:v>HINDCAST</x:v>
      </x:c>
      <x:c r="L278" s="24" t="n">
        <x:v>17.4065</x:v>
      </x:c>
      <x:c r="M278" s="24" t="n">
        <x:v>78.4772</x:v>
      </x:c>
      <x:c r="N278" t="str">
        <x:f>IF(I278&gt;70,"70+ dB",IF(I278&gt;55,"56-70 dB","41-55 dB"))</x:f>
        <x:v>70+ dB</x:v>
      </x:c>
      <x:c r="O278" t="str">
        <x:f>IF(I278&gt;70,"High",IF(I278&gt;55,"Moderate","Low"))</x:f>
        <x:v>High</x:v>
      </x:c>
      <x:c r="P278" t="str">
        <x:f>IF(I278&gt;=70,"Yes","No")</x:f>
        <x:v>Yes</x:v>
      </x:c>
      <x:c r="Q278" t="str">
        <x:f>TEXT(B278,"yyyy-mm")</x:f>
        <x:v>2019-03</x:v>
      </x:c>
    </x:row>
    <x:row r="279">
      <x:c r="A279" t="str">
        <x:v>HYD02</x:v>
      </x:c>
      <x:c r="B279" s="22" t="n">
        <x:f>DATE(C279,D279,1)</x:f>
        <x:v>43556</x:v>
      </x:c>
      <x:c r="C279" t="n">
        <x:v>2019</x:v>
      </x:c>
      <x:c r="D279" t="n">
        <x:v>4</x:v>
      </x:c>
      <x:c r="E279" t="str">
        <x:f>TEXT(B279,"mmm")</x:f>
        <x:v>Apr</x:v>
      </x:c>
      <x:c r="F279" t="str">
        <x:f>"Q"&amp;ROUNDUP(D279/3,0)</x:f>
        <x:v>Q2</x:v>
      </x:c>
      <x:c r="G279" s="23" t="n">
        <x:v>81.5</x:v>
      </x:c>
      <x:c r="H279" s="23" t="n">
        <x:v>70.08</x:v>
      </x:c>
      <x:c r="I279" s="23" t="n">
        <x:v>75.8</x:v>
      </x:c>
      <x:c r="J279" s="23" t="n">
        <x:f>G279-H279</x:f>
        <x:v>11.420000000000002</x:v>
      </x:c>
      <x:c r="K279" t="str">
        <x:v>HINDCAST</x:v>
      </x:c>
      <x:c r="L279" s="24" t="n">
        <x:v>17.4065</x:v>
      </x:c>
      <x:c r="M279" s="24" t="n">
        <x:v>78.4772</x:v>
      </x:c>
      <x:c r="N279" t="str">
        <x:f>IF(I279&gt;70,"70+ dB",IF(I279&gt;55,"56-70 dB","41-55 dB"))</x:f>
        <x:v>70+ dB</x:v>
      </x:c>
      <x:c r="O279" t="str">
        <x:f>IF(I279&gt;70,"High",IF(I279&gt;55,"Moderate","Low"))</x:f>
        <x:v>High</x:v>
      </x:c>
      <x:c r="P279" t="str">
        <x:f>IF(I279&gt;=70,"Yes","No")</x:f>
        <x:v>Yes</x:v>
      </x:c>
      <x:c r="Q279" t="str">
        <x:f>TEXT(B279,"yyyy-mm")</x:f>
        <x:v>2019-04</x:v>
      </x:c>
    </x:row>
    <x:row r="280">
      <x:c r="A280" t="str">
        <x:v>HYD02</x:v>
      </x:c>
      <x:c r="B280" s="22" t="n">
        <x:f>DATE(C280,D280,1)</x:f>
        <x:v>43586</x:v>
      </x:c>
      <x:c r="C280" t="n">
        <x:v>2019</x:v>
      </x:c>
      <x:c r="D280" t="n">
        <x:v>5</x:v>
      </x:c>
      <x:c r="E280" t="str">
        <x:f>TEXT(B280,"mmm")</x:f>
        <x:v>May</x:v>
      </x:c>
      <x:c r="F280" t="str">
        <x:f>"Q"&amp;ROUNDUP(D280/3,0)</x:f>
        <x:v>Q2</x:v>
      </x:c>
      <x:c r="G280" s="23" t="n">
        <x:v>82.06</x:v>
      </x:c>
      <x:c r="H280" s="23" t="n">
        <x:v>70.47</x:v>
      </x:c>
      <x:c r="I280" s="23" t="n">
        <x:v>76.3</x:v>
      </x:c>
      <x:c r="J280" s="23" t="n">
        <x:f>G280-H280</x:f>
        <x:v>11.590000000000003</x:v>
      </x:c>
      <x:c r="K280" t="str">
        <x:v>HINDCAST</x:v>
      </x:c>
      <x:c r="L280" s="24" t="n">
        <x:v>17.4065</x:v>
      </x:c>
      <x:c r="M280" s="24" t="n">
        <x:v>78.4772</x:v>
      </x:c>
      <x:c r="N280" t="str">
        <x:f>IF(I280&gt;70,"70+ dB",IF(I280&gt;55,"56-70 dB","41-55 dB"))</x:f>
        <x:v>70+ dB</x:v>
      </x:c>
      <x:c r="O280" t="str">
        <x:f>IF(I280&gt;70,"High",IF(I280&gt;55,"Moderate","Low"))</x:f>
        <x:v>High</x:v>
      </x:c>
      <x:c r="P280" t="str">
        <x:f>IF(I280&gt;=70,"Yes","No")</x:f>
        <x:v>Yes</x:v>
      </x:c>
      <x:c r="Q280" t="str">
        <x:f>TEXT(B280,"yyyy-mm")</x:f>
        <x:v>2019-05</x:v>
      </x:c>
    </x:row>
    <x:row r="281">
      <x:c r="A281" t="str">
        <x:v>HYD02</x:v>
      </x:c>
      <x:c r="B281" s="22" t="n">
        <x:f>DATE(C281,D281,1)</x:f>
        <x:v>43617</x:v>
      </x:c>
      <x:c r="C281" t="n">
        <x:v>2019</x:v>
      </x:c>
      <x:c r="D281" t="n">
        <x:v>6</x:v>
      </x:c>
      <x:c r="E281" t="str">
        <x:f>TEXT(B281,"mmm")</x:f>
        <x:v>Jun</x:v>
      </x:c>
      <x:c r="F281" t="str">
        <x:f>"Q"&amp;ROUNDUP(D281/3,0)</x:f>
        <x:v>Q2</x:v>
      </x:c>
      <x:c r="G281" s="23" t="n">
        <x:v>81.49</x:v>
      </x:c>
      <x:c r="H281" s="23" t="n">
        <x:v>66.86</x:v>
      </x:c>
      <x:c r="I281" s="23" t="n">
        <x:v>74.2</x:v>
      </x:c>
      <x:c r="J281" s="23" t="n">
        <x:f>G281-H281</x:f>
        <x:v>14.629999999999995</x:v>
      </x:c>
      <x:c r="K281" t="str">
        <x:v>HINDCAST</x:v>
      </x:c>
      <x:c r="L281" s="24" t="n">
        <x:v>17.4065</x:v>
      </x:c>
      <x:c r="M281" s="24" t="n">
        <x:v>78.4772</x:v>
      </x:c>
      <x:c r="N281" t="str">
        <x:f>IF(I281&gt;70,"70+ dB",IF(I281&gt;55,"56-70 dB","41-55 dB"))</x:f>
        <x:v>70+ dB</x:v>
      </x:c>
      <x:c r="O281" t="str">
        <x:f>IF(I281&gt;70,"High",IF(I281&gt;55,"Moderate","Low"))</x:f>
        <x:v>High</x:v>
      </x:c>
      <x:c r="P281" t="str">
        <x:f>IF(I281&gt;=70,"Yes","No")</x:f>
        <x:v>Yes</x:v>
      </x:c>
      <x:c r="Q281" t="str">
        <x:f>TEXT(B281,"yyyy-mm")</x:f>
        <x:v>2019-06</x:v>
      </x:c>
    </x:row>
    <x:row r="282">
      <x:c r="A282" t="str">
        <x:v>HYD02</x:v>
      </x:c>
      <x:c r="B282" s="22" t="n">
        <x:f>DATE(C282,D282,1)</x:f>
        <x:v>43647</x:v>
      </x:c>
      <x:c r="C282" t="n">
        <x:v>2019</x:v>
      </x:c>
      <x:c r="D282" t="n">
        <x:v>7</x:v>
      </x:c>
      <x:c r="E282" t="str">
        <x:f>TEXT(B282,"mmm")</x:f>
        <x:v>Jul</x:v>
      </x:c>
      <x:c r="F282" t="str">
        <x:f>"Q"&amp;ROUNDUP(D282/3,0)</x:f>
        <x:v>Q3</x:v>
      </x:c>
      <x:c r="G282" s="23" t="n">
        <x:v>80.49</x:v>
      </x:c>
      <x:c r="H282" s="23" t="n">
        <x:v>63.63</x:v>
      </x:c>
      <x:c r="I282" s="23" t="n">
        <x:v>72.1</x:v>
      </x:c>
      <x:c r="J282" s="23" t="n">
        <x:f>G282-H282</x:f>
        <x:v>16.859999999999992</x:v>
      </x:c>
      <x:c r="K282" t="str">
        <x:v>HINDCAST</x:v>
      </x:c>
      <x:c r="L282" s="24" t="n">
        <x:v>17.4065</x:v>
      </x:c>
      <x:c r="M282" s="24" t="n">
        <x:v>78.4772</x:v>
      </x:c>
      <x:c r="N282" t="str">
        <x:f>IF(I282&gt;70,"70+ dB",IF(I282&gt;55,"56-70 dB","41-55 dB"))</x:f>
        <x:v>70+ dB</x:v>
      </x:c>
      <x:c r="O282" t="str">
        <x:f>IF(I282&gt;70,"High",IF(I282&gt;55,"Moderate","Low"))</x:f>
        <x:v>High</x:v>
      </x:c>
      <x:c r="P282" t="str">
        <x:f>IF(I282&gt;=70,"Yes","No")</x:f>
        <x:v>Yes</x:v>
      </x:c>
      <x:c r="Q282" t="str">
        <x:f>TEXT(B282,"yyyy-mm")</x:f>
        <x:v>2019-07</x:v>
      </x:c>
    </x:row>
    <x:row r="283">
      <x:c r="A283" t="str">
        <x:v>HYD02</x:v>
      </x:c>
      <x:c r="B283" s="22" t="n">
        <x:f>DATE(C283,D283,1)</x:f>
        <x:v>43678</x:v>
      </x:c>
      <x:c r="C283" t="n">
        <x:v>2019</x:v>
      </x:c>
      <x:c r="D283" t="n">
        <x:v>8</x:v>
      </x:c>
      <x:c r="E283" t="str">
        <x:f>TEXT(B283,"mmm")</x:f>
        <x:v>Aug</x:v>
      </x:c>
      <x:c r="F283" t="str">
        <x:f>"Q"&amp;ROUNDUP(D283/3,0)</x:f>
        <x:v>Q3</x:v>
      </x:c>
      <x:c r="G283" s="23" t="n">
        <x:v>80.01</x:v>
      </x:c>
      <x:c r="H283" s="23" t="n">
        <x:v>62.25</x:v>
      </x:c>
      <x:c r="I283" s="23" t="n">
        <x:v>71.1</x:v>
      </x:c>
      <x:c r="J283" s="23" t="n">
        <x:f>G283-H283</x:f>
        <x:v>17.760000000000005</x:v>
      </x:c>
      <x:c r="K283" t="str">
        <x:v>HINDCAST</x:v>
      </x:c>
      <x:c r="L283" s="24" t="n">
        <x:v>17.4065</x:v>
      </x:c>
      <x:c r="M283" s="24" t="n">
        <x:v>78.4772</x:v>
      </x:c>
      <x:c r="N283" t="str">
        <x:f>IF(I283&gt;70,"70+ dB",IF(I283&gt;55,"56-70 dB","41-55 dB"))</x:f>
        <x:v>70+ dB</x:v>
      </x:c>
      <x:c r="O283" t="str">
        <x:f>IF(I283&gt;70,"High",IF(I283&gt;55,"Moderate","Low"))</x:f>
        <x:v>High</x:v>
      </x:c>
      <x:c r="P283" t="str">
        <x:f>IF(I283&gt;=70,"Yes","No")</x:f>
        <x:v>Yes</x:v>
      </x:c>
      <x:c r="Q283" t="str">
        <x:f>TEXT(B283,"yyyy-mm")</x:f>
        <x:v>2019-08</x:v>
      </x:c>
    </x:row>
    <x:row r="284">
      <x:c r="A284" t="str">
        <x:v>HYD02</x:v>
      </x:c>
      <x:c r="B284" s="22" t="n">
        <x:f>DATE(C284,D284,1)</x:f>
        <x:v>43709</x:v>
      </x:c>
      <x:c r="C284" t="n">
        <x:v>2019</x:v>
      </x:c>
      <x:c r="D284" t="n">
        <x:v>9</x:v>
      </x:c>
      <x:c r="E284" t="str">
        <x:f>TEXT(B284,"mmm")</x:f>
        <x:v>Sep</x:v>
      </x:c>
      <x:c r="F284" t="str">
        <x:f>"Q"&amp;ROUNDUP(D284/3,0)</x:f>
        <x:v>Q3</x:v>
      </x:c>
      <x:c r="G284" s="23" t="n">
        <x:v>83.11</x:v>
      </x:c>
      <x:c r="H284" s="23" t="n">
        <x:v>67.76</x:v>
      </x:c>
      <x:c r="I284" s="23" t="n">
        <x:v>75.4</x:v>
      </x:c>
      <x:c r="J284" s="23" t="n">
        <x:f>G284-H284</x:f>
        <x:v>15.349999999999994</x:v>
      </x:c>
      <x:c r="K284" t="str">
        <x:v>HINDCAST</x:v>
      </x:c>
      <x:c r="L284" s="24" t="n">
        <x:v>17.4065</x:v>
      </x:c>
      <x:c r="M284" s="24" t="n">
        <x:v>78.4772</x:v>
      </x:c>
      <x:c r="N284" t="str">
        <x:f>IF(I284&gt;70,"70+ dB",IF(I284&gt;55,"56-70 dB","41-55 dB"))</x:f>
        <x:v>70+ dB</x:v>
      </x:c>
      <x:c r="O284" t="str">
        <x:f>IF(I284&gt;70,"High",IF(I284&gt;55,"Moderate","Low"))</x:f>
        <x:v>High</x:v>
      </x:c>
      <x:c r="P284" t="str">
        <x:f>IF(I284&gt;=70,"Yes","No")</x:f>
        <x:v>Yes</x:v>
      </x:c>
      <x:c r="Q284" t="str">
        <x:f>TEXT(B284,"yyyy-mm")</x:f>
        <x:v>2019-09</x:v>
      </x:c>
    </x:row>
    <x:row r="285">
      <x:c r="A285" t="str">
        <x:v>HYD02</x:v>
      </x:c>
      <x:c r="B285" s="22" t="n">
        <x:f>DATE(C285,D285,1)</x:f>
        <x:v>43739</x:v>
      </x:c>
      <x:c r="C285" t="n">
        <x:v>2019</x:v>
      </x:c>
      <x:c r="D285" t="n">
        <x:v>10</x:v>
      </x:c>
      <x:c r="E285" t="str">
        <x:f>TEXT(B285,"mmm")</x:f>
        <x:v>Oct</x:v>
      </x:c>
      <x:c r="F285" t="str">
        <x:f>"Q"&amp;ROUNDUP(D285/3,0)</x:f>
        <x:v>Q4</x:v>
      </x:c>
      <x:c r="G285" s="23" t="n">
        <x:v>83.76</x:v>
      </x:c>
      <x:c r="H285" s="23" t="n">
        <x:v>72.61</x:v>
      </x:c>
      <x:c r="I285" s="23" t="n">
        <x:v>78.2</x:v>
      </x:c>
      <x:c r="J285" s="23" t="n">
        <x:f>G285-H285</x:f>
        <x:v>11.150000000000006</x:v>
      </x:c>
      <x:c r="K285" t="str">
        <x:v>HINDCAST</x:v>
      </x:c>
      <x:c r="L285" s="24" t="n">
        <x:v>17.4065</x:v>
      </x:c>
      <x:c r="M285" s="24" t="n">
        <x:v>78.4772</x:v>
      </x:c>
      <x:c r="N285" t="str">
        <x:f>IF(I285&gt;70,"70+ dB",IF(I285&gt;55,"56-70 dB","41-55 dB"))</x:f>
        <x:v>70+ dB</x:v>
      </x:c>
      <x:c r="O285" t="str">
        <x:f>IF(I285&gt;70,"High",IF(I285&gt;55,"Moderate","Low"))</x:f>
        <x:v>High</x:v>
      </x:c>
      <x:c r="P285" t="str">
        <x:f>IF(I285&gt;=70,"Yes","No")</x:f>
        <x:v>Yes</x:v>
      </x:c>
      <x:c r="Q285" t="str">
        <x:f>TEXT(B285,"yyyy-mm")</x:f>
        <x:v>2019-10</x:v>
      </x:c>
    </x:row>
    <x:row r="286">
      <x:c r="A286" t="str">
        <x:v>HYD02</x:v>
      </x:c>
      <x:c r="B286" s="22" t="n">
        <x:f>DATE(C286,D286,1)</x:f>
        <x:v>43770</x:v>
      </x:c>
      <x:c r="C286" t="n">
        <x:v>2019</x:v>
      </x:c>
      <x:c r="D286" t="n">
        <x:v>11</x:v>
      </x:c>
      <x:c r="E286" t="str">
        <x:f>TEXT(B286,"mmm")</x:f>
        <x:v>Nov</x:v>
      </x:c>
      <x:c r="F286" t="str">
        <x:f>"Q"&amp;ROUNDUP(D286/3,0)</x:f>
        <x:v>Q4</x:v>
      </x:c>
      <x:c r="G286" s="23" t="n">
        <x:v>84.37</x:v>
      </x:c>
      <x:c r="H286" s="23" t="n">
        <x:v>74.77</x:v>
      </x:c>
      <x:c r="I286" s="23" t="n">
        <x:v>79.6</x:v>
      </x:c>
      <x:c r="J286" s="23" t="n">
        <x:f>G286-H286</x:f>
        <x:v>9.600000000000009</x:v>
      </x:c>
      <x:c r="K286" t="str">
        <x:v>HINDCAST</x:v>
      </x:c>
      <x:c r="L286" s="24" t="n">
        <x:v>17.4065</x:v>
      </x:c>
      <x:c r="M286" s="24" t="n">
        <x:v>78.4772</x:v>
      </x:c>
      <x:c r="N286" t="str">
        <x:f>IF(I286&gt;70,"70+ dB",IF(I286&gt;55,"56-70 dB","41-55 dB"))</x:f>
        <x:v>70+ dB</x:v>
      </x:c>
      <x:c r="O286" t="str">
        <x:f>IF(I286&gt;70,"High",IF(I286&gt;55,"Moderate","Low"))</x:f>
        <x:v>High</x:v>
      </x:c>
      <x:c r="P286" t="str">
        <x:f>IF(I286&gt;=70,"Yes","No")</x:f>
        <x:v>Yes</x:v>
      </x:c>
      <x:c r="Q286" t="str">
        <x:f>TEXT(B286,"yyyy-mm")</x:f>
        <x:v>2019-11</x:v>
      </x:c>
    </x:row>
    <x:row r="287">
      <x:c r="A287" t="str">
        <x:v>HYD02</x:v>
      </x:c>
      <x:c r="B287" s="22" t="n">
        <x:f>DATE(C287,D287,1)</x:f>
        <x:v>43800</x:v>
      </x:c>
      <x:c r="C287" t="n">
        <x:v>2019</x:v>
      </x:c>
      <x:c r="D287" t="n">
        <x:v>12</x:v>
      </x:c>
      <x:c r="E287" t="str">
        <x:f>TEXT(B287,"mmm")</x:f>
        <x:v>Dec</x:v>
      </x:c>
      <x:c r="F287" t="str">
        <x:f>"Q"&amp;ROUNDUP(D287/3,0)</x:f>
        <x:v>Q4</x:v>
      </x:c>
      <x:c r="G287" s="23" t="n">
        <x:v>84.52</x:v>
      </x:c>
      <x:c r="H287" s="23" t="n">
        <x:v>72.1</x:v>
      </x:c>
      <x:c r="I287" s="23" t="n">
        <x:v>78.3</x:v>
      </x:c>
      <x:c r="J287" s="23" t="n">
        <x:f>G287-H287</x:f>
        <x:v>12.420000000000002</x:v>
      </x:c>
      <x:c r="K287" t="str">
        <x:v>HINDCAST</x:v>
      </x:c>
      <x:c r="L287" s="24" t="n">
        <x:v>17.4065</x:v>
      </x:c>
      <x:c r="M287" s="24" t="n">
        <x:v>78.4772</x:v>
      </x:c>
      <x:c r="N287" t="str">
        <x:f>IF(I287&gt;70,"70+ dB",IF(I287&gt;55,"56-70 dB","41-55 dB"))</x:f>
        <x:v>70+ dB</x:v>
      </x:c>
      <x:c r="O287" t="str">
        <x:f>IF(I287&gt;70,"High",IF(I287&gt;55,"Moderate","Low"))</x:f>
        <x:v>High</x:v>
      </x:c>
      <x:c r="P287" t="str">
        <x:f>IF(I287&gt;=70,"Yes","No")</x:f>
        <x:v>Yes</x:v>
      </x:c>
      <x:c r="Q287" t="str">
        <x:f>TEXT(B287,"yyyy-mm")</x:f>
        <x:v>2019-12</x:v>
      </x:c>
    </x:row>
    <x:row r="288">
      <x:c r="A288" t="str">
        <x:v>HYD02</x:v>
      </x:c>
      <x:c r="B288" s="22" t="n">
        <x:f>DATE(C288,D288,1)</x:f>
        <x:v>43831</x:v>
      </x:c>
      <x:c r="C288" t="n">
        <x:v>2020</x:v>
      </x:c>
      <x:c r="D288" t="n">
        <x:v>1</x:v>
      </x:c>
      <x:c r="E288" t="str">
        <x:f>TEXT(B288,"mmm")</x:f>
        <x:v>Jan</x:v>
      </x:c>
      <x:c r="F288" t="str">
        <x:f>"Q"&amp;ROUNDUP(D288/3,0)</x:f>
        <x:v>Q1</x:v>
      </x:c>
      <x:c r="G288" s="23" t="n">
        <x:v>89.53</x:v>
      </x:c>
      <x:c r="H288" s="23" t="n">
        <x:v>83.1</x:v>
      </x:c>
      <x:c r="I288" s="23" t="n">
        <x:v>86.3</x:v>
      </x:c>
      <x:c r="J288" s="23" t="n">
        <x:f>G288-H288</x:f>
        <x:v>6.430000000000007</x:v>
      </x:c>
      <x:c r="K288" t="str">
        <x:v>HINDCAST</x:v>
      </x:c>
      <x:c r="L288" s="24" t="n">
        <x:v>17.4065</x:v>
      </x:c>
      <x:c r="M288" s="24" t="n">
        <x:v>78.4772</x:v>
      </x:c>
      <x:c r="N288" t="str">
        <x:f>IF(I288&gt;70,"70+ dB",IF(I288&gt;55,"56-70 dB","41-55 dB"))</x:f>
        <x:v>70+ dB</x:v>
      </x:c>
      <x:c r="O288" t="str">
        <x:f>IF(I288&gt;70,"High",IF(I288&gt;55,"Moderate","Low"))</x:f>
        <x:v>High</x:v>
      </x:c>
      <x:c r="P288" t="str">
        <x:f>IF(I288&gt;=70,"Yes","No")</x:f>
        <x:v>Yes</x:v>
      </x:c>
      <x:c r="Q288" t="str">
        <x:f>TEXT(B288,"yyyy-mm")</x:f>
        <x:v>2020-01</x:v>
      </x:c>
    </x:row>
    <x:row r="289">
      <x:c r="A289" t="str">
        <x:v>HYD02</x:v>
      </x:c>
      <x:c r="B289" s="22" t="n">
        <x:f>DATE(C289,D289,1)</x:f>
        <x:v>43862</x:v>
      </x:c>
      <x:c r="C289" t="n">
        <x:v>2020</x:v>
      </x:c>
      <x:c r="D289" t="n">
        <x:v>2</x:v>
      </x:c>
      <x:c r="E289" t="str">
        <x:f>TEXT(B289,"mmm")</x:f>
        <x:v>Feb</x:v>
      </x:c>
      <x:c r="F289" t="str">
        <x:f>"Q"&amp;ROUNDUP(D289/3,0)</x:f>
        <x:v>Q1</x:v>
      </x:c>
      <x:c r="G289" s="23" t="n">
        <x:v>89.11</x:v>
      </x:c>
      <x:c r="H289" s="23" t="n">
        <x:v>80.64</x:v>
      </x:c>
      <x:c r="I289" s="23" t="n">
        <x:v>84.9</x:v>
      </x:c>
      <x:c r="J289" s="23" t="n">
        <x:f>G289-H289</x:f>
        <x:v>8.469999999999999</x:v>
      </x:c>
      <x:c r="K289" t="str">
        <x:v>HINDCAST</x:v>
      </x:c>
      <x:c r="L289" s="24" t="n">
        <x:v>17.4065</x:v>
      </x:c>
      <x:c r="M289" s="24" t="n">
        <x:v>78.4772</x:v>
      </x:c>
      <x:c r="N289" t="str">
        <x:f>IF(I289&gt;70,"70+ dB",IF(I289&gt;55,"56-70 dB","41-55 dB"))</x:f>
        <x:v>70+ dB</x:v>
      </x:c>
      <x:c r="O289" t="str">
        <x:f>IF(I289&gt;70,"High",IF(I289&gt;55,"Moderate","Low"))</x:f>
        <x:v>High</x:v>
      </x:c>
      <x:c r="P289" t="str">
        <x:f>IF(I289&gt;=70,"Yes","No")</x:f>
        <x:v>Yes</x:v>
      </x:c>
      <x:c r="Q289" t="str">
        <x:f>TEXT(B289,"yyyy-mm")</x:f>
        <x:v>2020-02</x:v>
      </x:c>
    </x:row>
    <x:row r="290">
      <x:c r="A290" t="str">
        <x:v>HYD02</x:v>
      </x:c>
      <x:c r="B290" s="22" t="n">
        <x:f>DATE(C290,D290,1)</x:f>
        <x:v>43891</x:v>
      </x:c>
      <x:c r="C290" t="n">
        <x:v>2020</x:v>
      </x:c>
      <x:c r="D290" t="n">
        <x:v>3</x:v>
      </x:c>
      <x:c r="E290" t="str">
        <x:f>TEXT(B290,"mmm")</x:f>
        <x:v>Mar</x:v>
      </x:c>
      <x:c r="F290" t="str">
        <x:f>"Q"&amp;ROUNDUP(D290/3,0)</x:f>
        <x:v>Q1</x:v>
      </x:c>
      <x:c r="G290" s="23" t="n">
        <x:v>87.61</x:v>
      </x:c>
      <x:c r="H290" s="23" t="n">
        <x:v>77.5</x:v>
      </x:c>
      <x:c r="I290" s="23" t="n">
        <x:v>82.6</x:v>
      </x:c>
      <x:c r="J290" s="23" t="n">
        <x:f>G290-H290</x:f>
        <x:v>10.11</x:v>
      </x:c>
      <x:c r="K290" t="str">
        <x:v>HINDCAST</x:v>
      </x:c>
      <x:c r="L290" s="24" t="n">
        <x:v>17.4065</x:v>
      </x:c>
      <x:c r="M290" s="24" t="n">
        <x:v>78.4772</x:v>
      </x:c>
      <x:c r="N290" t="str">
        <x:f>IF(I290&gt;70,"70+ dB",IF(I290&gt;55,"56-70 dB","41-55 dB"))</x:f>
        <x:v>70+ dB</x:v>
      </x:c>
      <x:c r="O290" t="str">
        <x:f>IF(I290&gt;70,"High",IF(I290&gt;55,"Moderate","Low"))</x:f>
        <x:v>High</x:v>
      </x:c>
      <x:c r="P290" t="str">
        <x:f>IF(I290&gt;=70,"Yes","No")</x:f>
        <x:v>Yes</x:v>
      </x:c>
      <x:c r="Q290" t="str">
        <x:f>TEXT(B290,"yyyy-mm")</x:f>
        <x:v>2020-03</x:v>
      </x:c>
    </x:row>
    <x:row r="291">
      <x:c r="A291" t="str">
        <x:v>HYD02</x:v>
      </x:c>
      <x:c r="B291" s="22" t="n">
        <x:f>DATE(C291,D291,1)</x:f>
        <x:v>43922</x:v>
      </x:c>
      <x:c r="C291" t="n">
        <x:v>2020</x:v>
      </x:c>
      <x:c r="D291" t="n">
        <x:v>4</x:v>
      </x:c>
      <x:c r="E291" t="str">
        <x:f>TEXT(B291,"mmm")</x:f>
        <x:v>Apr</x:v>
      </x:c>
      <x:c r="F291" t="str">
        <x:f>"Q"&amp;ROUNDUP(D291/3,0)</x:f>
        <x:v>Q2</x:v>
      </x:c>
      <x:c r="G291" s="23" t="n">
        <x:v>88.04</x:v>
      </x:c>
      <x:c r="H291" s="23" t="n">
        <x:v>76.97</x:v>
      </x:c>
      <x:c r="I291" s="23" t="n">
        <x:v>82.5</x:v>
      </x:c>
      <x:c r="J291" s="23" t="n">
        <x:f>G291-H291</x:f>
        <x:v>11.070000000000007</x:v>
      </x:c>
      <x:c r="K291" t="str">
        <x:v>HINDCAST</x:v>
      </x:c>
      <x:c r="L291" s="24" t="n">
        <x:v>17.4065</x:v>
      </x:c>
      <x:c r="M291" s="24" t="n">
        <x:v>78.4772</x:v>
      </x:c>
      <x:c r="N291" t="str">
        <x:f>IF(I291&gt;70,"70+ dB",IF(I291&gt;55,"56-70 dB","41-55 dB"))</x:f>
        <x:v>70+ dB</x:v>
      </x:c>
      <x:c r="O291" t="str">
        <x:f>IF(I291&gt;70,"High",IF(I291&gt;55,"Moderate","Low"))</x:f>
        <x:v>High</x:v>
      </x:c>
      <x:c r="P291" t="str">
        <x:f>IF(I291&gt;=70,"Yes","No")</x:f>
        <x:v>Yes</x:v>
      </x:c>
      <x:c r="Q291" t="str">
        <x:f>TEXT(B291,"yyyy-mm")</x:f>
        <x:v>2020-04</x:v>
      </x:c>
    </x:row>
    <x:row r="292">
      <x:c r="A292" t="str">
        <x:v>HYD02</x:v>
      </x:c>
      <x:c r="B292" s="22" t="n">
        <x:f>DATE(C292,D292,1)</x:f>
        <x:v>43952</x:v>
      </x:c>
      <x:c r="C292" t="n">
        <x:v>2020</x:v>
      </x:c>
      <x:c r="D292" t="n">
        <x:v>5</x:v>
      </x:c>
      <x:c r="E292" t="str">
        <x:f>TEXT(B292,"mmm")</x:f>
        <x:v>May</x:v>
      </x:c>
      <x:c r="F292" t="str">
        <x:f>"Q"&amp;ROUNDUP(D292/3,0)</x:f>
        <x:v>Q2</x:v>
      </x:c>
      <x:c r="G292" s="23" t="n">
        <x:v>88.8</x:v>
      </x:c>
      <x:c r="H292" s="23" t="n">
        <x:v>79.02</x:v>
      </x:c>
      <x:c r="I292" s="23" t="n">
        <x:v>83.9</x:v>
      </x:c>
      <x:c r="J292" s="23" t="n">
        <x:f>G292-H292</x:f>
        <x:v>9.780000000000001</x:v>
      </x:c>
      <x:c r="K292" t="str">
        <x:v>HINDCAST</x:v>
      </x:c>
      <x:c r="L292" s="24" t="n">
        <x:v>17.4065</x:v>
      </x:c>
      <x:c r="M292" s="24" t="n">
        <x:v>78.4772</x:v>
      </x:c>
      <x:c r="N292" t="str">
        <x:f>IF(I292&gt;70,"70+ dB",IF(I292&gt;55,"56-70 dB","41-55 dB"))</x:f>
        <x:v>70+ dB</x:v>
      </x:c>
      <x:c r="O292" t="str">
        <x:f>IF(I292&gt;70,"High",IF(I292&gt;55,"Moderate","Low"))</x:f>
        <x:v>High</x:v>
      </x:c>
      <x:c r="P292" t="str">
        <x:f>IF(I292&gt;=70,"Yes","No")</x:f>
        <x:v>Yes</x:v>
      </x:c>
      <x:c r="Q292" t="str">
        <x:f>TEXT(B292,"yyyy-mm")</x:f>
        <x:v>2020-05</x:v>
      </x:c>
    </x:row>
    <x:row r="293">
      <x:c r="A293" t="str">
        <x:v>HYD02</x:v>
      </x:c>
      <x:c r="B293" s="22" t="n">
        <x:f>DATE(C293,D293,1)</x:f>
        <x:v>43983</x:v>
      </x:c>
      <x:c r="C293" t="n">
        <x:v>2020</x:v>
      </x:c>
      <x:c r="D293" t="n">
        <x:v>6</x:v>
      </x:c>
      <x:c r="E293" t="str">
        <x:f>TEXT(B293,"mmm")</x:f>
        <x:v>Jun</x:v>
      </x:c>
      <x:c r="F293" t="str">
        <x:f>"Q"&amp;ROUNDUP(D293/3,0)</x:f>
        <x:v>Q2</x:v>
      </x:c>
      <x:c r="G293" s="23" t="n">
        <x:v>85.31</x:v>
      </x:c>
      <x:c r="H293" s="23" t="n">
        <x:v>66.05</x:v>
      </x:c>
      <x:c r="I293" s="23" t="n">
        <x:v>75.7</x:v>
      </x:c>
      <x:c r="J293" s="23" t="n">
        <x:f>G293-H293</x:f>
        <x:v>19.260000000000005</x:v>
      </x:c>
      <x:c r="K293" t="str">
        <x:v>HINDCAST</x:v>
      </x:c>
      <x:c r="L293" s="24" t="n">
        <x:v>17.4065</x:v>
      </x:c>
      <x:c r="M293" s="24" t="n">
        <x:v>78.4772</x:v>
      </x:c>
      <x:c r="N293" t="str">
        <x:f>IF(I293&gt;70,"70+ dB",IF(I293&gt;55,"56-70 dB","41-55 dB"))</x:f>
        <x:v>70+ dB</x:v>
      </x:c>
      <x:c r="O293" t="str">
        <x:f>IF(I293&gt;70,"High",IF(I293&gt;55,"Moderate","Low"))</x:f>
        <x:v>High</x:v>
      </x:c>
      <x:c r="P293" t="str">
        <x:f>IF(I293&gt;=70,"Yes","No")</x:f>
        <x:v>Yes</x:v>
      </x:c>
      <x:c r="Q293" t="str">
        <x:f>TEXT(B293,"yyyy-mm")</x:f>
        <x:v>2020-06</x:v>
      </x:c>
    </x:row>
    <x:row r="294">
      <x:c r="A294" t="str">
        <x:v>HYD02</x:v>
      </x:c>
      <x:c r="B294" s="22" t="n">
        <x:f>DATE(C294,D294,1)</x:f>
        <x:v>44013</x:v>
      </x:c>
      <x:c r="C294" t="n">
        <x:v>2020</x:v>
      </x:c>
      <x:c r="D294" t="n">
        <x:v>7</x:v>
      </x:c>
      <x:c r="E294" t="str">
        <x:f>TEXT(B294,"mmm")</x:f>
        <x:v>Jul</x:v>
      </x:c>
      <x:c r="F294" t="str">
        <x:f>"Q"&amp;ROUNDUP(D294/3,0)</x:f>
        <x:v>Q3</x:v>
      </x:c>
      <x:c r="G294" s="23" t="n">
        <x:v>81.14</x:v>
      </x:c>
      <x:c r="H294" s="23" t="n">
        <x:v>62.38</x:v>
      </x:c>
      <x:c r="I294" s="23" t="n">
        <x:v>71.8</x:v>
      </x:c>
      <x:c r="J294" s="23" t="n">
        <x:f>G294-H294</x:f>
        <x:v>18.759999999999998</x:v>
      </x:c>
      <x:c r="K294" t="str">
        <x:v>HINDCAST</x:v>
      </x:c>
      <x:c r="L294" s="24" t="n">
        <x:v>17.4065</x:v>
      </x:c>
      <x:c r="M294" s="24" t="n">
        <x:v>78.4772</x:v>
      </x:c>
      <x:c r="N294" t="str">
        <x:f>IF(I294&gt;70,"70+ dB",IF(I294&gt;55,"56-70 dB","41-55 dB"))</x:f>
        <x:v>70+ dB</x:v>
      </x:c>
      <x:c r="O294" t="str">
        <x:f>IF(I294&gt;70,"High",IF(I294&gt;55,"Moderate","Low"))</x:f>
        <x:v>High</x:v>
      </x:c>
      <x:c r="P294" t="str">
        <x:f>IF(I294&gt;=70,"Yes","No")</x:f>
        <x:v>Yes</x:v>
      </x:c>
      <x:c r="Q294" t="str">
        <x:f>TEXT(B294,"yyyy-mm")</x:f>
        <x:v>2020-07</x:v>
      </x:c>
    </x:row>
    <x:row r="295">
      <x:c r="A295" t="str">
        <x:v>HYD02</x:v>
      </x:c>
      <x:c r="B295" s="22" t="n">
        <x:f>DATE(C295,D295,1)</x:f>
        <x:v>44044</x:v>
      </x:c>
      <x:c r="C295" t="n">
        <x:v>2020</x:v>
      </x:c>
      <x:c r="D295" t="n">
        <x:v>8</x:v>
      </x:c>
      <x:c r="E295" t="str">
        <x:f>TEXT(B295,"mmm")</x:f>
        <x:v>Aug</x:v>
      </x:c>
      <x:c r="F295" t="str">
        <x:f>"Q"&amp;ROUNDUP(D295/3,0)</x:f>
        <x:v>Q3</x:v>
      </x:c>
      <x:c r="G295" s="23" t="n">
        <x:v>80.42</x:v>
      </x:c>
      <x:c r="H295" s="23" t="n">
        <x:v>60.63</x:v>
      </x:c>
      <x:c r="I295" s="23" t="n">
        <x:v>70.5</x:v>
      </x:c>
      <x:c r="J295" s="23" t="n">
        <x:f>G295-H295</x:f>
        <x:v>19.79</x:v>
      </x:c>
      <x:c r="K295" t="str">
        <x:v>HINDCAST</x:v>
      </x:c>
      <x:c r="L295" s="24" t="n">
        <x:v>17.4065</x:v>
      </x:c>
      <x:c r="M295" s="24" t="n">
        <x:v>78.4772</x:v>
      </x:c>
      <x:c r="N295" t="str">
        <x:f>IF(I295&gt;70,"70+ dB",IF(I295&gt;55,"56-70 dB","41-55 dB"))</x:f>
        <x:v>70+ dB</x:v>
      </x:c>
      <x:c r="O295" t="str">
        <x:f>IF(I295&gt;70,"High",IF(I295&gt;55,"Moderate","Low"))</x:f>
        <x:v>High</x:v>
      </x:c>
      <x:c r="P295" t="str">
        <x:f>IF(I295&gt;=70,"Yes","No")</x:f>
        <x:v>Yes</x:v>
      </x:c>
      <x:c r="Q295" t="str">
        <x:f>TEXT(B295,"yyyy-mm")</x:f>
        <x:v>2020-08</x:v>
      </x:c>
    </x:row>
    <x:row r="296">
      <x:c r="A296" t="str">
        <x:v>HYD02</x:v>
      </x:c>
      <x:c r="B296" s="22" t="n">
        <x:f>DATE(C296,D296,1)</x:f>
        <x:v>44075</x:v>
      </x:c>
      <x:c r="C296" t="n">
        <x:v>2020</x:v>
      </x:c>
      <x:c r="D296" t="n">
        <x:v>9</x:v>
      </x:c>
      <x:c r="E296" t="str">
        <x:f>TEXT(B296,"mmm")</x:f>
        <x:v>Sep</x:v>
      </x:c>
      <x:c r="F296" t="str">
        <x:f>"Q"&amp;ROUNDUP(D296/3,0)</x:f>
        <x:v>Q3</x:v>
      </x:c>
      <x:c r="G296" s="23" t="n">
        <x:v>84.84</x:v>
      </x:c>
      <x:c r="H296" s="23" t="n">
        <x:v>69.51</x:v>
      </x:c>
      <x:c r="I296" s="23" t="n">
        <x:v>77.2</x:v>
      </x:c>
      <x:c r="J296" s="23" t="n">
        <x:f>G296-H296</x:f>
        <x:v>15.329999999999998</x:v>
      </x:c>
      <x:c r="K296" t="str">
        <x:v>HINDCAST</x:v>
      </x:c>
      <x:c r="L296" s="24" t="n">
        <x:v>17.4065</x:v>
      </x:c>
      <x:c r="M296" s="24" t="n">
        <x:v>78.4772</x:v>
      </x:c>
      <x:c r="N296" t="str">
        <x:f>IF(I296&gt;70,"70+ dB",IF(I296&gt;55,"56-70 dB","41-55 dB"))</x:f>
        <x:v>70+ dB</x:v>
      </x:c>
      <x:c r="O296" t="str">
        <x:f>IF(I296&gt;70,"High",IF(I296&gt;55,"Moderate","Low"))</x:f>
        <x:v>High</x:v>
      </x:c>
      <x:c r="P296" t="str">
        <x:f>IF(I296&gt;=70,"Yes","No")</x:f>
        <x:v>Yes</x:v>
      </x:c>
      <x:c r="Q296" t="str">
        <x:f>TEXT(B296,"yyyy-mm")</x:f>
        <x:v>2020-09</x:v>
      </x:c>
    </x:row>
    <x:row r="297">
      <x:c r="A297" t="str">
        <x:v>HYD02</x:v>
      </x:c>
      <x:c r="B297" s="22" t="n">
        <x:f>DATE(C297,D297,1)</x:f>
        <x:v>44105</x:v>
      </x:c>
      <x:c r="C297" t="n">
        <x:v>2020</x:v>
      </x:c>
      <x:c r="D297" t="n">
        <x:v>10</x:v>
      </x:c>
      <x:c r="E297" t="str">
        <x:f>TEXT(B297,"mmm")</x:f>
        <x:v>Oct</x:v>
      </x:c>
      <x:c r="F297" t="str">
        <x:f>"Q"&amp;ROUNDUP(D297/3,0)</x:f>
        <x:v>Q4</x:v>
      </x:c>
      <x:c r="G297" s="23" t="n">
        <x:v>92.91</x:v>
      </x:c>
      <x:c r="H297" s="23" t="n">
        <x:v>85.45</x:v>
      </x:c>
      <x:c r="I297" s="23" t="n">
        <x:v>89.2</x:v>
      </x:c>
      <x:c r="J297" s="23" t="n">
        <x:f>G297-H297</x:f>
        <x:v>7.459999999999994</x:v>
      </x:c>
      <x:c r="K297" t="str">
        <x:v>HINDCAST</x:v>
      </x:c>
      <x:c r="L297" s="24" t="n">
        <x:v>17.4065</x:v>
      </x:c>
      <x:c r="M297" s="24" t="n">
        <x:v>78.4772</x:v>
      </x:c>
      <x:c r="N297" t="str">
        <x:f>IF(I297&gt;70,"70+ dB",IF(I297&gt;55,"56-70 dB","41-55 dB"))</x:f>
        <x:v>70+ dB</x:v>
      </x:c>
      <x:c r="O297" t="str">
        <x:f>IF(I297&gt;70,"High",IF(I297&gt;55,"Moderate","Low"))</x:f>
        <x:v>High</x:v>
      </x:c>
      <x:c r="P297" t="str">
        <x:f>IF(I297&gt;=70,"Yes","No")</x:f>
        <x:v>Yes</x:v>
      </x:c>
      <x:c r="Q297" t="str">
        <x:f>TEXT(B297,"yyyy-mm")</x:f>
        <x:v>2020-10</x:v>
      </x:c>
    </x:row>
    <x:row r="298">
      <x:c r="A298" t="str">
        <x:v>HYD02</x:v>
      </x:c>
      <x:c r="B298" s="22" t="n">
        <x:f>DATE(C298,D298,1)</x:f>
        <x:v>44136</x:v>
      </x:c>
      <x:c r="C298" t="n">
        <x:v>2020</x:v>
      </x:c>
      <x:c r="D298" t="n">
        <x:v>11</x:v>
      </x:c>
      <x:c r="E298" t="str">
        <x:f>TEXT(B298,"mmm")</x:f>
        <x:v>Nov</x:v>
      </x:c>
      <x:c r="F298" t="str">
        <x:f>"Q"&amp;ROUNDUP(D298/3,0)</x:f>
        <x:v>Q4</x:v>
      </x:c>
      <x:c r="G298" s="23" t="n">
        <x:v>95.97</x:v>
      </x:c>
      <x:c r="H298" s="23" t="n">
        <x:v>90.57</x:v>
      </x:c>
      <x:c r="I298" s="23" t="n">
        <x:v>93.3</x:v>
      </x:c>
      <x:c r="J298" s="23" t="n">
        <x:f>G298-H298</x:f>
        <x:v>5.400000000000006</x:v>
      </x:c>
      <x:c r="K298" t="str">
        <x:v>HINDCAST</x:v>
      </x:c>
      <x:c r="L298" s="24" t="n">
        <x:v>17.4065</x:v>
      </x:c>
      <x:c r="M298" s="24" t="n">
        <x:v>78.4772</x:v>
      </x:c>
      <x:c r="N298" t="str">
        <x:f>IF(I298&gt;70,"70+ dB",IF(I298&gt;55,"56-70 dB","41-55 dB"))</x:f>
        <x:v>70+ dB</x:v>
      </x:c>
      <x:c r="O298" t="str">
        <x:f>IF(I298&gt;70,"High",IF(I298&gt;55,"Moderate","Low"))</x:f>
        <x:v>High</x:v>
      </x:c>
      <x:c r="P298" t="str">
        <x:f>IF(I298&gt;=70,"Yes","No")</x:f>
        <x:v>Yes</x:v>
      </x:c>
      <x:c r="Q298" t="str">
        <x:f>TEXT(B298,"yyyy-mm")</x:f>
        <x:v>2020-11</x:v>
      </x:c>
    </x:row>
    <x:row r="299">
      <x:c r="A299" t="str">
        <x:v>HYD02</x:v>
      </x:c>
      <x:c r="B299" s="22" t="n">
        <x:f>DATE(C299,D299,1)</x:f>
        <x:v>44166</x:v>
      </x:c>
      <x:c r="C299" t="n">
        <x:v>2020</x:v>
      </x:c>
      <x:c r="D299" t="n">
        <x:v>12</x:v>
      </x:c>
      <x:c r="E299" t="str">
        <x:f>TEXT(B299,"mmm")</x:f>
        <x:v>Dec</x:v>
      </x:c>
      <x:c r="F299" t="str">
        <x:f>"Q"&amp;ROUNDUP(D299/3,0)</x:f>
        <x:v>Q4</x:v>
      </x:c>
      <x:c r="G299" s="23" t="n">
        <x:v>95.14</x:v>
      </x:c>
      <x:c r="H299" s="23" t="n">
        <x:v>84.04</x:v>
      </x:c>
      <x:c r="I299" s="23" t="n">
        <x:v>89.6</x:v>
      </x:c>
      <x:c r="J299" s="23" t="n">
        <x:f>G299-H299</x:f>
        <x:v>11.099999999999994</x:v>
      </x:c>
      <x:c r="K299" t="str">
        <x:v>HINDCAST</x:v>
      </x:c>
      <x:c r="L299" s="24" t="n">
        <x:v>17.4065</x:v>
      </x:c>
      <x:c r="M299" s="24" t="n">
        <x:v>78.4772</x:v>
      </x:c>
      <x:c r="N299" t="str">
        <x:f>IF(I299&gt;70,"70+ dB",IF(I299&gt;55,"56-70 dB","41-55 dB"))</x:f>
        <x:v>70+ dB</x:v>
      </x:c>
      <x:c r="O299" t="str">
        <x:f>IF(I299&gt;70,"High",IF(I299&gt;55,"Moderate","Low"))</x:f>
        <x:v>High</x:v>
      </x:c>
      <x:c r="P299" t="str">
        <x:f>IF(I299&gt;=70,"Yes","No")</x:f>
        <x:v>Yes</x:v>
      </x:c>
      <x:c r="Q299" t="str">
        <x:f>TEXT(B299,"yyyy-mm")</x:f>
        <x:v>2020-12</x:v>
      </x:c>
    </x:row>
    <x:row r="300">
      <x:c r="A300" t="str">
        <x:v>HYD02</x:v>
      </x:c>
      <x:c r="B300" s="22" t="n">
        <x:f>DATE(C300,D300,1)</x:f>
        <x:v>44197</x:v>
      </x:c>
      <x:c r="C300" t="n">
        <x:v>2021</x:v>
      </x:c>
      <x:c r="D300" t="n">
        <x:v>1</x:v>
      </x:c>
      <x:c r="E300" t="str">
        <x:f>TEXT(B300,"mmm")</x:f>
        <x:v>Jan</x:v>
      </x:c>
      <x:c r="F300" t="str">
        <x:f>"Q"&amp;ROUNDUP(D300/3,0)</x:f>
        <x:v>Q1</x:v>
      </x:c>
      <x:c r="G300" s="23" t="n">
        <x:v>97.74</x:v>
      </x:c>
      <x:c r="H300" s="23" t="n">
        <x:v>88.54</x:v>
      </x:c>
      <x:c r="I300" s="23" t="n">
        <x:v>93.1</x:v>
      </x:c>
      <x:c r="J300" s="23" t="n">
        <x:f>G300-H300</x:f>
        <x:v>9.199999999999989</x:v>
      </x:c>
      <x:c r="K300" t="str">
        <x:v>HINDCAST</x:v>
      </x:c>
      <x:c r="L300" s="24" t="n">
        <x:v>17.4065</x:v>
      </x:c>
      <x:c r="M300" s="24" t="n">
        <x:v>78.4772</x:v>
      </x:c>
      <x:c r="N300" t="str">
        <x:f>IF(I300&gt;70,"70+ dB",IF(I300&gt;55,"56-70 dB","41-55 dB"))</x:f>
        <x:v>70+ dB</x:v>
      </x:c>
      <x:c r="O300" t="str">
        <x:f>IF(I300&gt;70,"High",IF(I300&gt;55,"Moderate","Low"))</x:f>
        <x:v>High</x:v>
      </x:c>
      <x:c r="P300" t="str">
        <x:f>IF(I300&gt;=70,"Yes","No")</x:f>
        <x:v>Yes</x:v>
      </x:c>
      <x:c r="Q300" t="str">
        <x:f>TEXT(B300,"yyyy-mm")</x:f>
        <x:v>2021-01</x:v>
      </x:c>
    </x:row>
    <x:row r="301">
      <x:c r="A301" t="str">
        <x:v>HYD02</x:v>
      </x:c>
      <x:c r="B301" s="22" t="n">
        <x:f>DATE(C301,D301,1)</x:f>
        <x:v>44228</x:v>
      </x:c>
      <x:c r="C301" t="n">
        <x:v>2021</x:v>
      </x:c>
      <x:c r="D301" t="n">
        <x:v>2</x:v>
      </x:c>
      <x:c r="E301" t="str">
        <x:f>TEXT(B301,"mmm")</x:f>
        <x:v>Feb</x:v>
      </x:c>
      <x:c r="F301" t="str">
        <x:f>"Q"&amp;ROUNDUP(D301/3,0)</x:f>
        <x:v>Q1</x:v>
      </x:c>
      <x:c r="G301" s="23" t="n">
        <x:v>97.93</x:v>
      </x:c>
      <x:c r="H301" s="23" t="n">
        <x:v>86.13</x:v>
      </x:c>
      <x:c r="I301" s="23" t="n">
        <x:v>92</x:v>
      </x:c>
      <x:c r="J301" s="23" t="n">
        <x:f>G301-H301</x:f>
        <x:v>11.800000000000011</x:v>
      </x:c>
      <x:c r="K301" t="str">
        <x:v>HINDCAST</x:v>
      </x:c>
      <x:c r="L301" s="24" t="n">
        <x:v>17.4065</x:v>
      </x:c>
      <x:c r="M301" s="24" t="n">
        <x:v>78.4772</x:v>
      </x:c>
      <x:c r="N301" t="str">
        <x:f>IF(I301&gt;70,"70+ dB",IF(I301&gt;55,"56-70 dB","41-55 dB"))</x:f>
        <x:v>70+ dB</x:v>
      </x:c>
      <x:c r="O301" t="str">
        <x:f>IF(I301&gt;70,"High",IF(I301&gt;55,"Moderate","Low"))</x:f>
        <x:v>High</x:v>
      </x:c>
      <x:c r="P301" t="str">
        <x:f>IF(I301&gt;=70,"Yes","No")</x:f>
        <x:v>Yes</x:v>
      </x:c>
      <x:c r="Q301" t="str">
        <x:f>TEXT(B301,"yyyy-mm")</x:f>
        <x:v>2021-02</x:v>
      </x:c>
    </x:row>
    <x:row r="302">
      <x:c r="A302" t="str">
        <x:v>HYD02</x:v>
      </x:c>
      <x:c r="B302" s="22" t="n">
        <x:f>DATE(C302,D302,1)</x:f>
        <x:v>44256</x:v>
      </x:c>
      <x:c r="C302" t="n">
        <x:v>2021</x:v>
      </x:c>
      <x:c r="D302" t="n">
        <x:v>3</x:v>
      </x:c>
      <x:c r="E302" t="str">
        <x:f>TEXT(B302,"mmm")</x:f>
        <x:v>Mar</x:v>
      </x:c>
      <x:c r="F302" t="str">
        <x:f>"Q"&amp;ROUNDUP(D302/3,0)</x:f>
        <x:v>Q1</x:v>
      </x:c>
      <x:c r="G302" s="23" t="n">
        <x:v>96.61</x:v>
      </x:c>
      <x:c r="H302" s="23" t="n">
        <x:v>82.57</x:v>
      </x:c>
      <x:c r="I302" s="23" t="n">
        <x:v>89.6</x:v>
      </x:c>
      <x:c r="J302" s="23" t="n">
        <x:f>G302-H302</x:f>
        <x:v>14.040000000000006</x:v>
      </x:c>
      <x:c r="K302" t="str">
        <x:v>HINDCAST</x:v>
      </x:c>
      <x:c r="L302" s="24" t="n">
        <x:v>17.4065</x:v>
      </x:c>
      <x:c r="M302" s="24" t="n">
        <x:v>78.4772</x:v>
      </x:c>
      <x:c r="N302" t="str">
        <x:f>IF(I302&gt;70,"70+ dB",IF(I302&gt;55,"56-70 dB","41-55 dB"))</x:f>
        <x:v>70+ dB</x:v>
      </x:c>
      <x:c r="O302" t="str">
        <x:f>IF(I302&gt;70,"High",IF(I302&gt;55,"Moderate","Low"))</x:f>
        <x:v>High</x:v>
      </x:c>
      <x:c r="P302" t="str">
        <x:f>IF(I302&gt;=70,"Yes","No")</x:f>
        <x:v>Yes</x:v>
      </x:c>
      <x:c r="Q302" t="str">
        <x:f>TEXT(B302,"yyyy-mm")</x:f>
        <x:v>2021-03</x:v>
      </x:c>
    </x:row>
    <x:row r="303">
      <x:c r="A303" t="str">
        <x:v>HYD02</x:v>
      </x:c>
      <x:c r="B303" s="22" t="n">
        <x:f>DATE(C303,D303,1)</x:f>
        <x:v>44287</x:v>
      </x:c>
      <x:c r="C303" t="n">
        <x:v>2021</x:v>
      </x:c>
      <x:c r="D303" t="n">
        <x:v>4</x:v>
      </x:c>
      <x:c r="E303" t="str">
        <x:f>TEXT(B303,"mmm")</x:f>
        <x:v>Apr</x:v>
      </x:c>
      <x:c r="F303" t="str">
        <x:f>"Q"&amp;ROUNDUP(D303/3,0)</x:f>
        <x:v>Q2</x:v>
      </x:c>
      <x:c r="G303" s="23" t="n">
        <x:v>96.84</x:v>
      </x:c>
      <x:c r="H303" s="23" t="n">
        <x:v>82.32</x:v>
      </x:c>
      <x:c r="I303" s="23" t="n">
        <x:v>89.6</x:v>
      </x:c>
      <x:c r="J303" s="23" t="n">
        <x:f>G303-H303</x:f>
        <x:v>14.52000000000001</x:v>
      </x:c>
      <x:c r="K303" t="str">
        <x:v>HINDCAST</x:v>
      </x:c>
      <x:c r="L303" s="24" t="n">
        <x:v>17.4065</x:v>
      </x:c>
      <x:c r="M303" s="24" t="n">
        <x:v>78.4772</x:v>
      </x:c>
      <x:c r="N303" t="str">
        <x:f>IF(I303&gt;70,"70+ dB",IF(I303&gt;55,"56-70 dB","41-55 dB"))</x:f>
        <x:v>70+ dB</x:v>
      </x:c>
      <x:c r="O303" t="str">
        <x:f>IF(I303&gt;70,"High",IF(I303&gt;55,"Moderate","Low"))</x:f>
        <x:v>High</x:v>
      </x:c>
      <x:c r="P303" t="str">
        <x:f>IF(I303&gt;=70,"Yes","No")</x:f>
        <x:v>Yes</x:v>
      </x:c>
      <x:c r="Q303" t="str">
        <x:f>TEXT(B303,"yyyy-mm")</x:f>
        <x:v>2021-04</x:v>
      </x:c>
    </x:row>
    <x:row r="304">
      <x:c r="A304" t="str">
        <x:v>HYD02</x:v>
      </x:c>
      <x:c r="B304" s="22" t="n">
        <x:f>DATE(C304,D304,1)</x:f>
        <x:v>44317</x:v>
      </x:c>
      <x:c r="C304" t="n">
        <x:v>2021</x:v>
      </x:c>
      <x:c r="D304" t="n">
        <x:v>5</x:v>
      </x:c>
      <x:c r="E304" t="str">
        <x:f>TEXT(B304,"mmm")</x:f>
        <x:v>May</x:v>
      </x:c>
      <x:c r="F304" t="str">
        <x:f>"Q"&amp;ROUNDUP(D304/3,0)</x:f>
        <x:v>Q2</x:v>
      </x:c>
      <x:c r="G304" s="23" t="n">
        <x:v>97.51</x:v>
      </x:c>
      <x:c r="H304" s="23" t="n">
        <x:v>83.35</x:v>
      </x:c>
      <x:c r="I304" s="23" t="n">
        <x:v>90.4</x:v>
      </x:c>
      <x:c r="J304" s="23" t="n">
        <x:f>G304-H304</x:f>
        <x:v>14.16000000000001</x:v>
      </x:c>
      <x:c r="K304" t="str">
        <x:v>HINDCAST</x:v>
      </x:c>
      <x:c r="L304" s="24" t="n">
        <x:v>17.4065</x:v>
      </x:c>
      <x:c r="M304" s="24" t="n">
        <x:v>78.4772</x:v>
      </x:c>
      <x:c r="N304" t="str">
        <x:f>IF(I304&gt;70,"70+ dB",IF(I304&gt;55,"56-70 dB","41-55 dB"))</x:f>
        <x:v>70+ dB</x:v>
      </x:c>
      <x:c r="O304" t="str">
        <x:f>IF(I304&gt;70,"High",IF(I304&gt;55,"Moderate","Low"))</x:f>
        <x:v>High</x:v>
      </x:c>
      <x:c r="P304" t="str">
        <x:f>IF(I304&gt;=70,"Yes","No")</x:f>
        <x:v>Yes</x:v>
      </x:c>
      <x:c r="Q304" t="str">
        <x:f>TEXT(B304,"yyyy-mm")</x:f>
        <x:v>2021-05</x:v>
      </x:c>
    </x:row>
    <x:row r="305">
      <x:c r="A305" t="str">
        <x:v>HYD02</x:v>
      </x:c>
      <x:c r="B305" s="22" t="n">
        <x:f>DATE(C305,D305,1)</x:f>
        <x:v>44348</x:v>
      </x:c>
      <x:c r="C305" t="n">
        <x:v>2021</x:v>
      </x:c>
      <x:c r="D305" t="n">
        <x:v>6</x:v>
      </x:c>
      <x:c r="E305" t="str">
        <x:f>TEXT(B305,"mmm")</x:f>
        <x:v>Jun</x:v>
      </x:c>
      <x:c r="F305" t="str">
        <x:f>"Q"&amp;ROUNDUP(D305/3,0)</x:f>
        <x:v>Q2</x:v>
      </x:c>
      <x:c r="G305" s="23" t="n">
        <x:v>95.34</x:v>
      </x:c>
      <x:c r="H305" s="23" t="n">
        <x:v>76.1</x:v>
      </x:c>
      <x:c r="I305" s="23" t="n">
        <x:v>85.7</x:v>
      </x:c>
      <x:c r="J305" s="23" t="n">
        <x:f>G305-H305</x:f>
        <x:v>19.24000000000001</x:v>
      </x:c>
      <x:c r="K305" t="str">
        <x:v>HINDCAST</x:v>
      </x:c>
      <x:c r="L305" s="24" t="n">
        <x:v>17.4065</x:v>
      </x:c>
      <x:c r="M305" s="24" t="n">
        <x:v>78.4772</x:v>
      </x:c>
      <x:c r="N305" t="str">
        <x:f>IF(I305&gt;70,"70+ dB",IF(I305&gt;55,"56-70 dB","41-55 dB"))</x:f>
        <x:v>70+ dB</x:v>
      </x:c>
      <x:c r="O305" t="str">
        <x:f>IF(I305&gt;70,"High",IF(I305&gt;55,"Moderate","Low"))</x:f>
        <x:v>High</x:v>
      </x:c>
      <x:c r="P305" t="str">
        <x:f>IF(I305&gt;=70,"Yes","No")</x:f>
        <x:v>Yes</x:v>
      </x:c>
      <x:c r="Q305" t="str">
        <x:f>TEXT(B305,"yyyy-mm")</x:f>
        <x:v>2021-06</x:v>
      </x:c>
    </x:row>
    <x:row r="306">
      <x:c r="A306" t="str">
        <x:v>HYD02</x:v>
      </x:c>
      <x:c r="B306" s="22" t="n">
        <x:f>DATE(C306,D306,1)</x:f>
        <x:v>44378</x:v>
      </x:c>
      <x:c r="C306" t="n">
        <x:v>2021</x:v>
      </x:c>
      <x:c r="D306" t="n">
        <x:v>7</x:v>
      </x:c>
      <x:c r="E306" t="str">
        <x:f>TEXT(B306,"mmm")</x:f>
        <x:v>Jul</x:v>
      </x:c>
      <x:c r="F306" t="str">
        <x:f>"Q"&amp;ROUNDUP(D306/3,0)</x:f>
        <x:v>Q3</x:v>
      </x:c>
      <x:c r="G306" s="23" t="n">
        <x:v>92.61</x:v>
      </x:c>
      <x:c r="H306" s="23" t="n">
        <x:v>72.7</x:v>
      </x:c>
      <x:c r="I306" s="23" t="n">
        <x:v>82.7</x:v>
      </x:c>
      <x:c r="J306" s="23" t="n">
        <x:f>G306-H306</x:f>
        <x:v>19.909999999999997</x:v>
      </x:c>
      <x:c r="K306" t="str">
        <x:v>HINDCAST</x:v>
      </x:c>
      <x:c r="L306" s="24" t="n">
        <x:v>17.4065</x:v>
      </x:c>
      <x:c r="M306" s="24" t="n">
        <x:v>78.4772</x:v>
      </x:c>
      <x:c r="N306" t="str">
        <x:f>IF(I306&gt;70,"70+ dB",IF(I306&gt;55,"56-70 dB","41-55 dB"))</x:f>
        <x:v>70+ dB</x:v>
      </x:c>
      <x:c r="O306" t="str">
        <x:f>IF(I306&gt;70,"High",IF(I306&gt;55,"Moderate","Low"))</x:f>
        <x:v>High</x:v>
      </x:c>
      <x:c r="P306" t="str">
        <x:f>IF(I306&gt;=70,"Yes","No")</x:f>
        <x:v>Yes</x:v>
      </x:c>
      <x:c r="Q306" t="str">
        <x:f>TEXT(B306,"yyyy-mm")</x:f>
        <x:v>2021-07</x:v>
      </x:c>
    </x:row>
    <x:row r="307">
      <x:c r="A307" t="str">
        <x:v>HYD02</x:v>
      </x:c>
      <x:c r="B307" s="22" t="n">
        <x:f>DATE(C307,D307,1)</x:f>
        <x:v>44409</x:v>
      </x:c>
      <x:c r="C307" t="n">
        <x:v>2021</x:v>
      </x:c>
      <x:c r="D307" t="n">
        <x:v>8</x:v>
      </x:c>
      <x:c r="E307" t="str">
        <x:f>TEXT(B307,"mmm")</x:f>
        <x:v>Aug</x:v>
      </x:c>
      <x:c r="F307" t="str">
        <x:f>"Q"&amp;ROUNDUP(D307/3,0)</x:f>
        <x:v>Q3</x:v>
      </x:c>
      <x:c r="G307" s="23" t="n">
        <x:v>92</x:v>
      </x:c>
      <x:c r="H307" s="23" t="n">
        <x:v>71.17</x:v>
      </x:c>
      <x:c r="I307" s="23" t="n">
        <x:v>81.6</x:v>
      </x:c>
      <x:c r="J307" s="23" t="n">
        <x:f>G307-H307</x:f>
        <x:v>20.83</x:v>
      </x:c>
      <x:c r="K307" t="str">
        <x:v>HINDCAST</x:v>
      </x:c>
      <x:c r="L307" s="24" t="n">
        <x:v>17.4065</x:v>
      </x:c>
      <x:c r="M307" s="24" t="n">
        <x:v>78.4772</x:v>
      </x:c>
      <x:c r="N307" t="str">
        <x:f>IF(I307&gt;70,"70+ dB",IF(I307&gt;55,"56-70 dB","41-55 dB"))</x:f>
        <x:v>70+ dB</x:v>
      </x:c>
      <x:c r="O307" t="str">
        <x:f>IF(I307&gt;70,"High",IF(I307&gt;55,"Moderate","Low"))</x:f>
        <x:v>High</x:v>
      </x:c>
      <x:c r="P307" t="str">
        <x:f>IF(I307&gt;=70,"Yes","No")</x:f>
        <x:v>Yes</x:v>
      </x:c>
      <x:c r="Q307" t="str">
        <x:f>TEXT(B307,"yyyy-mm")</x:f>
        <x:v>2021-08</x:v>
      </x:c>
    </x:row>
    <x:row r="308">
      <x:c r="A308" t="str">
        <x:v>HYD02</x:v>
      </x:c>
      <x:c r="B308" s="22" t="n">
        <x:f>DATE(C308,D308,1)</x:f>
        <x:v>44440</x:v>
      </x:c>
      <x:c r="C308" t="n">
        <x:v>2021</x:v>
      </x:c>
      <x:c r="D308" t="n">
        <x:v>9</x:v>
      </x:c>
      <x:c r="E308" t="str">
        <x:f>TEXT(B308,"mmm")</x:f>
        <x:v>Sep</x:v>
      </x:c>
      <x:c r="F308" t="str">
        <x:f>"Q"&amp;ROUNDUP(D308/3,0)</x:f>
        <x:v>Q3</x:v>
      </x:c>
      <x:c r="G308" s="23" t="n">
        <x:v>95.82</x:v>
      </x:c>
      <x:c r="H308" s="23" t="n">
        <x:v>78</x:v>
      </x:c>
      <x:c r="I308" s="23" t="n">
        <x:v>86.9</x:v>
      </x:c>
      <x:c r="J308" s="23" t="n">
        <x:f>G308-H308</x:f>
        <x:v>17.819999999999993</x:v>
      </x:c>
      <x:c r="K308" t="str">
        <x:v>HINDCAST</x:v>
      </x:c>
      <x:c r="L308" s="24" t="n">
        <x:v>17.4065</x:v>
      </x:c>
      <x:c r="M308" s="24" t="n">
        <x:v>78.4772</x:v>
      </x:c>
      <x:c r="N308" t="str">
        <x:f>IF(I308&gt;70,"70+ dB",IF(I308&gt;55,"56-70 dB","41-55 dB"))</x:f>
        <x:v>70+ dB</x:v>
      </x:c>
      <x:c r="O308" t="str">
        <x:f>IF(I308&gt;70,"High",IF(I308&gt;55,"Moderate","Low"))</x:f>
        <x:v>High</x:v>
      </x:c>
      <x:c r="P308" t="str">
        <x:f>IF(I308&gt;=70,"Yes","No")</x:f>
        <x:v>Yes</x:v>
      </x:c>
      <x:c r="Q308" t="str">
        <x:f>TEXT(B308,"yyyy-mm")</x:f>
        <x:v>2021-09</x:v>
      </x:c>
    </x:row>
    <x:row r="309">
      <x:c r="A309" t="str">
        <x:v>HYD02</x:v>
      </x:c>
      <x:c r="B309" s="22" t="n">
        <x:f>DATE(C309,D309,1)</x:f>
        <x:v>44470</x:v>
      </x:c>
      <x:c r="C309" t="n">
        <x:v>2021</x:v>
      </x:c>
      <x:c r="D309" t="n">
        <x:v>10</x:v>
      </x:c>
      <x:c r="E309" t="str">
        <x:f>TEXT(B309,"mmm")</x:f>
        <x:v>Oct</x:v>
      </x:c>
      <x:c r="F309" t="str">
        <x:f>"Q"&amp;ROUNDUP(D309/3,0)</x:f>
        <x:v>Q4</x:v>
      </x:c>
      <x:c r="G309" s="23" t="n">
        <x:v>100.52</x:v>
      </x:c>
      <x:c r="H309" s="23" t="n">
        <x:v>87.16</x:v>
      </x:c>
      <x:c r="I309" s="23" t="n">
        <x:v>93.8</x:v>
      </x:c>
      <x:c r="J309" s="23" t="n">
        <x:f>G309-H309</x:f>
        <x:v>13.36</x:v>
      </x:c>
      <x:c r="K309" t="str">
        <x:v>HINDCAST</x:v>
      </x:c>
      <x:c r="L309" s="24" t="n">
        <x:v>17.4065</x:v>
      </x:c>
      <x:c r="M309" s="24" t="n">
        <x:v>78.4772</x:v>
      </x:c>
      <x:c r="N309" t="str">
        <x:f>IF(I309&gt;70,"70+ dB",IF(I309&gt;55,"56-70 dB","41-55 dB"))</x:f>
        <x:v>70+ dB</x:v>
      </x:c>
      <x:c r="O309" t="str">
        <x:f>IF(I309&gt;70,"High",IF(I309&gt;55,"Moderate","Low"))</x:f>
        <x:v>High</x:v>
      </x:c>
      <x:c r="P309" t="str">
        <x:f>IF(I309&gt;=70,"Yes","No")</x:f>
        <x:v>Yes</x:v>
      </x:c>
      <x:c r="Q309" t="str">
        <x:f>TEXT(B309,"yyyy-mm")</x:f>
        <x:v>2021-10</x:v>
      </x:c>
    </x:row>
    <x:row r="310">
      <x:c r="A310" t="str">
        <x:v>HYD02</x:v>
      </x:c>
      <x:c r="B310" s="22" t="n">
        <x:f>DATE(C310,D310,1)</x:f>
        <x:v>44501</x:v>
      </x:c>
      <x:c r="C310" t="n">
        <x:v>2021</x:v>
      </x:c>
      <x:c r="D310" t="n">
        <x:v>11</x:v>
      </x:c>
      <x:c r="E310" t="str">
        <x:f>TEXT(B310,"mmm")</x:f>
        <x:v>Nov</x:v>
      </x:c>
      <x:c r="F310" t="str">
        <x:f>"Q"&amp;ROUNDUP(D310/3,0)</x:f>
        <x:v>Q4</x:v>
      </x:c>
      <x:c r="G310" s="23" t="n">
        <x:v>102.47</x:v>
      </x:c>
      <x:c r="H310" s="23" t="n">
        <x:v>90.48</x:v>
      </x:c>
      <x:c r="I310" s="23" t="n">
        <x:v>96.5</x:v>
      </x:c>
      <x:c r="J310" s="23" t="n">
        <x:f>G310-H310</x:f>
        <x:v>11.989999999999995</x:v>
      </x:c>
      <x:c r="K310" t="str">
        <x:v>HINDCAST</x:v>
      </x:c>
      <x:c r="L310" s="24" t="n">
        <x:v>17.4065</x:v>
      </x:c>
      <x:c r="M310" s="24" t="n">
        <x:v>78.4772</x:v>
      </x:c>
      <x:c r="N310" t="str">
        <x:f>IF(I310&gt;70,"70+ dB",IF(I310&gt;55,"56-70 dB","41-55 dB"))</x:f>
        <x:v>70+ dB</x:v>
      </x:c>
      <x:c r="O310" t="str">
        <x:f>IF(I310&gt;70,"High",IF(I310&gt;55,"Moderate","Low"))</x:f>
        <x:v>High</x:v>
      </x:c>
      <x:c r="P310" t="str">
        <x:f>IF(I310&gt;=70,"Yes","No")</x:f>
        <x:v>Yes</x:v>
      </x:c>
      <x:c r="Q310" t="str">
        <x:f>TEXT(B310,"yyyy-mm")</x:f>
        <x:v>2021-11</x:v>
      </x:c>
    </x:row>
    <x:row r="311">
      <x:c r="A311" t="str">
        <x:v>HYD02</x:v>
      </x:c>
      <x:c r="B311" s="22" t="n">
        <x:f>DATE(C311,D311,1)</x:f>
        <x:v>44531</x:v>
      </x:c>
      <x:c r="C311" t="n">
        <x:v>2021</x:v>
      </x:c>
      <x:c r="D311" t="n">
        <x:v>12</x:v>
      </x:c>
      <x:c r="E311" t="str">
        <x:f>TEXT(B311,"mmm")</x:f>
        <x:v>Dec</x:v>
      </x:c>
      <x:c r="F311" t="str">
        <x:f>"Q"&amp;ROUNDUP(D311/3,0)</x:f>
        <x:v>Q4</x:v>
      </x:c>
      <x:c r="G311" s="23" t="n">
        <x:v>102.08</x:v>
      </x:c>
      <x:c r="H311" s="23" t="n">
        <x:v>86.3</x:v>
      </x:c>
      <x:c r="I311" s="23" t="n">
        <x:v>94.2</x:v>
      </x:c>
      <x:c r="J311" s="23" t="n">
        <x:f>G311-H311</x:f>
        <x:v>15.780000000000001</x:v>
      </x:c>
      <x:c r="K311" t="str">
        <x:v>HINDCAST</x:v>
      </x:c>
      <x:c r="L311" s="24" t="n">
        <x:v>17.4065</x:v>
      </x:c>
      <x:c r="M311" s="24" t="n">
        <x:v>78.4772</x:v>
      </x:c>
      <x:c r="N311" t="str">
        <x:f>IF(I311&gt;70,"70+ dB",IF(I311&gt;55,"56-70 dB","41-55 dB"))</x:f>
        <x:v>70+ dB</x:v>
      </x:c>
      <x:c r="O311" t="str">
        <x:f>IF(I311&gt;70,"High",IF(I311&gt;55,"Moderate","Low"))</x:f>
        <x:v>High</x:v>
      </x:c>
      <x:c r="P311" t="str">
        <x:f>IF(I311&gt;=70,"Yes","No")</x:f>
        <x:v>Yes</x:v>
      </x:c>
      <x:c r="Q311" t="str">
        <x:f>TEXT(B311,"yyyy-mm")</x:f>
        <x:v>2021-12</x:v>
      </x:c>
    </x:row>
    <x:row r="312">
      <x:c r="A312" t="str">
        <x:v>HYD02</x:v>
      </x:c>
      <x:c r="B312" s="22" t="n">
        <x:f>DATE(C312,D312,1)</x:f>
        <x:v>44562</x:v>
      </x:c>
      <x:c r="C312" t="n">
        <x:v>2022</x:v>
      </x:c>
      <x:c r="D312" t="n">
        <x:v>1</x:v>
      </x:c>
      <x:c r="E312" t="str">
        <x:f>TEXT(B312,"mmm")</x:f>
        <x:v>Jan</x:v>
      </x:c>
      <x:c r="F312" t="str">
        <x:f>"Q"&amp;ROUNDUP(D312/3,0)</x:f>
        <x:v>Q1</x:v>
      </x:c>
      <x:c r="G312" s="23" t="n">
        <x:v>105.77</x:v>
      </x:c>
      <x:c r="H312" s="23" t="n">
        <x:v>94.78</x:v>
      </x:c>
      <x:c r="I312" s="23" t="n">
        <x:v>100.3</x:v>
      </x:c>
      <x:c r="J312" s="23" t="n">
        <x:f>G312-H312</x:f>
        <x:v>10.989999999999995</x:v>
      </x:c>
      <x:c r="K312" t="str">
        <x:v>HINDCAST</x:v>
      </x:c>
      <x:c r="L312" s="24" t="n">
        <x:v>17.4065</x:v>
      </x:c>
      <x:c r="M312" s="24" t="n">
        <x:v>78.4772</x:v>
      </x:c>
      <x:c r="N312" t="str">
        <x:f>IF(I312&gt;70,"70+ dB",IF(I312&gt;55,"56-70 dB","41-55 dB"))</x:f>
        <x:v>70+ dB</x:v>
      </x:c>
      <x:c r="O312" t="str">
        <x:f>IF(I312&gt;70,"High",IF(I312&gt;55,"Moderate","Low"))</x:f>
        <x:v>High</x:v>
      </x:c>
      <x:c r="P312" t="str">
        <x:f>IF(I312&gt;=70,"Yes","No")</x:f>
        <x:v>Yes</x:v>
      </x:c>
      <x:c r="Q312" t="str">
        <x:f>TEXT(B312,"yyyy-mm")</x:f>
        <x:v>2022-01</x:v>
      </x:c>
    </x:row>
    <x:row r="313">
      <x:c r="A313" t="str">
        <x:v>HYD02</x:v>
      </x:c>
      <x:c r="B313" s="22" t="n">
        <x:f>DATE(C313,D313,1)</x:f>
        <x:v>44593</x:v>
      </x:c>
      <x:c r="C313" t="n">
        <x:v>2022</x:v>
      </x:c>
      <x:c r="D313" t="n">
        <x:v>2</x:v>
      </x:c>
      <x:c r="E313" t="str">
        <x:f>TEXT(B313,"mmm")</x:f>
        <x:v>Feb</x:v>
      </x:c>
      <x:c r="F313" t="str">
        <x:f>"Q"&amp;ROUNDUP(D313/3,0)</x:f>
        <x:v>Q1</x:v>
      </x:c>
      <x:c r="G313" s="23" t="n">
        <x:v>105.69</x:v>
      </x:c>
      <x:c r="H313" s="23" t="n">
        <x:v>92.34</x:v>
      </x:c>
      <x:c r="I313" s="23" t="n">
        <x:v>99</x:v>
      </x:c>
      <x:c r="J313" s="23" t="n">
        <x:f>G313-H313</x:f>
        <x:v>13.349999999999994</x:v>
      </x:c>
      <x:c r="K313" t="str">
        <x:v>HINDCAST</x:v>
      </x:c>
      <x:c r="L313" s="24" t="n">
        <x:v>17.4065</x:v>
      </x:c>
      <x:c r="M313" s="24" t="n">
        <x:v>78.4772</x:v>
      </x:c>
      <x:c r="N313" t="str">
        <x:f>IF(I313&gt;70,"70+ dB",IF(I313&gt;55,"56-70 dB","41-55 dB"))</x:f>
        <x:v>70+ dB</x:v>
      </x:c>
      <x:c r="O313" t="str">
        <x:f>IF(I313&gt;70,"High",IF(I313&gt;55,"Moderate","Low"))</x:f>
        <x:v>High</x:v>
      </x:c>
      <x:c r="P313" t="str">
        <x:f>IF(I313&gt;=70,"Yes","No")</x:f>
        <x:v>Yes</x:v>
      </x:c>
      <x:c r="Q313" t="str">
        <x:f>TEXT(B313,"yyyy-mm")</x:f>
        <x:v>2022-02</x:v>
      </x:c>
    </x:row>
    <x:row r="314">
      <x:c r="A314" t="str">
        <x:v>HYD02</x:v>
      </x:c>
      <x:c r="B314" s="22" t="n">
        <x:f>DATE(C314,D314,1)</x:f>
        <x:v>44621</x:v>
      </x:c>
      <x:c r="C314" t="n">
        <x:v>2022</x:v>
      </x:c>
      <x:c r="D314" t="n">
        <x:v>3</x:v>
      </x:c>
      <x:c r="E314" t="str">
        <x:f>TEXT(B314,"mmm")</x:f>
        <x:v>Mar</x:v>
      </x:c>
      <x:c r="F314" t="str">
        <x:f>"Q"&amp;ROUNDUP(D314/3,0)</x:f>
        <x:v>Q1</x:v>
      </x:c>
      <x:c r="G314" s="23" t="n">
        <x:v>104.29</x:v>
      </x:c>
      <x:c r="H314" s="23" t="n">
        <x:v>89.03</x:v>
      </x:c>
      <x:c r="I314" s="23" t="n">
        <x:v>96.7</x:v>
      </x:c>
      <x:c r="J314" s="23" t="n">
        <x:f>G314-H314</x:f>
        <x:v>15.260000000000005</x:v>
      </x:c>
      <x:c r="K314" t="str">
        <x:v>HINDCAST</x:v>
      </x:c>
      <x:c r="L314" s="24" t="n">
        <x:v>17.4065</x:v>
      </x:c>
      <x:c r="M314" s="24" t="n">
        <x:v>78.4772</x:v>
      </x:c>
      <x:c r="N314" t="str">
        <x:f>IF(I314&gt;70,"70+ dB",IF(I314&gt;55,"56-70 dB","41-55 dB"))</x:f>
        <x:v>70+ dB</x:v>
      </x:c>
      <x:c r="O314" t="str">
        <x:f>IF(I314&gt;70,"High",IF(I314&gt;55,"Moderate","Low"))</x:f>
        <x:v>High</x:v>
      </x:c>
      <x:c r="P314" t="str">
        <x:f>IF(I314&gt;=70,"Yes","No")</x:f>
        <x:v>Yes</x:v>
      </x:c>
      <x:c r="Q314" t="str">
        <x:f>TEXT(B314,"yyyy-mm")</x:f>
        <x:v>2022-03</x:v>
      </x:c>
    </x:row>
    <x:row r="315">
      <x:c r="A315" t="str">
        <x:v>HYD02</x:v>
      </x:c>
      <x:c r="B315" s="22" t="n">
        <x:f>DATE(C315,D315,1)</x:f>
        <x:v>44652</x:v>
      </x:c>
      <x:c r="C315" t="n">
        <x:v>2022</x:v>
      </x:c>
      <x:c r="D315" t="n">
        <x:v>4</x:v>
      </x:c>
      <x:c r="E315" t="str">
        <x:f>TEXT(B315,"mmm")</x:f>
        <x:v>Apr</x:v>
      </x:c>
      <x:c r="F315" t="str">
        <x:f>"Q"&amp;ROUNDUP(D315/3,0)</x:f>
        <x:v>Q2</x:v>
      </x:c>
      <x:c r="G315" s="23" t="n">
        <x:v>104.61</x:v>
      </x:c>
      <x:c r="H315" s="23" t="n">
        <x:v>88.61</x:v>
      </x:c>
      <x:c r="I315" s="23" t="n">
        <x:v>96.6</x:v>
      </x:c>
      <x:c r="J315" s="23" t="n">
        <x:f>G315-H315</x:f>
        <x:v>16</x:v>
      </x:c>
      <x:c r="K315" t="str">
        <x:v>HINDCAST</x:v>
      </x:c>
      <x:c r="L315" s="24" t="n">
        <x:v>17.4065</x:v>
      </x:c>
      <x:c r="M315" s="24" t="n">
        <x:v>78.4772</x:v>
      </x:c>
      <x:c r="N315" t="str">
        <x:f>IF(I315&gt;70,"70+ dB",IF(I315&gt;55,"56-70 dB","41-55 dB"))</x:f>
        <x:v>70+ dB</x:v>
      </x:c>
      <x:c r="O315" t="str">
        <x:f>IF(I315&gt;70,"High",IF(I315&gt;55,"Moderate","Low"))</x:f>
        <x:v>High</x:v>
      </x:c>
      <x:c r="P315" t="str">
        <x:f>IF(I315&gt;=70,"Yes","No")</x:f>
        <x:v>Yes</x:v>
      </x:c>
      <x:c r="Q315" t="str">
        <x:f>TEXT(B315,"yyyy-mm")</x:f>
        <x:v>2022-04</x:v>
      </x:c>
    </x:row>
    <x:row r="316">
      <x:c r="A316" t="str">
        <x:v>HYD02</x:v>
      </x:c>
      <x:c r="B316" s="22" t="n">
        <x:f>DATE(C316,D316,1)</x:f>
        <x:v>44682</x:v>
      </x:c>
      <x:c r="C316" t="n">
        <x:v>2022</x:v>
      </x:c>
      <x:c r="D316" t="n">
        <x:v>5</x:v>
      </x:c>
      <x:c r="E316" t="str">
        <x:f>TEXT(B316,"mmm")</x:f>
        <x:v>May</x:v>
      </x:c>
      <x:c r="F316" t="str">
        <x:f>"Q"&amp;ROUNDUP(D316/3,0)</x:f>
        <x:v>Q2</x:v>
      </x:c>
      <x:c r="G316" s="23" t="n">
        <x:v>105.32</x:v>
      </x:c>
      <x:c r="H316" s="23" t="n">
        <x:v>90.26</x:v>
      </x:c>
      <x:c r="I316" s="23" t="n">
        <x:v>97.8</x:v>
      </x:c>
      <x:c r="J316" s="23" t="n">
        <x:f>G316-H316</x:f>
        <x:v>15.059999999999988</x:v>
      </x:c>
      <x:c r="K316" t="str">
        <x:v>HINDCAST</x:v>
      </x:c>
      <x:c r="L316" s="24" t="n">
        <x:v>17.4065</x:v>
      </x:c>
      <x:c r="M316" s="24" t="n">
        <x:v>78.4772</x:v>
      </x:c>
      <x:c r="N316" t="str">
        <x:f>IF(I316&gt;70,"70+ dB",IF(I316&gt;55,"56-70 dB","41-55 dB"))</x:f>
        <x:v>70+ dB</x:v>
      </x:c>
      <x:c r="O316" t="str">
        <x:f>IF(I316&gt;70,"High",IF(I316&gt;55,"Moderate","Low"))</x:f>
        <x:v>High</x:v>
      </x:c>
      <x:c r="P316" t="str">
        <x:f>IF(I316&gt;=70,"Yes","No")</x:f>
        <x:v>Yes</x:v>
      </x:c>
      <x:c r="Q316" t="str">
        <x:f>TEXT(B316,"yyyy-mm")</x:f>
        <x:v>2022-05</x:v>
      </x:c>
    </x:row>
    <x:row r="317">
      <x:c r="A317" t="str">
        <x:v>HYD02</x:v>
      </x:c>
      <x:c r="B317" s="22" t="n">
        <x:f>DATE(C317,D317,1)</x:f>
        <x:v>44713</x:v>
      </x:c>
      <x:c r="C317" t="n">
        <x:v>2022</x:v>
      </x:c>
      <x:c r="D317" t="n">
        <x:v>6</x:v>
      </x:c>
      <x:c r="E317" t="str">
        <x:f>TEXT(B317,"mmm")</x:f>
        <x:v>Jun</x:v>
      </x:c>
      <x:c r="F317" t="str">
        <x:f>"Q"&amp;ROUNDUP(D317/3,0)</x:f>
        <x:v>Q2</x:v>
      </x:c>
      <x:c r="G317" s="23" t="n">
        <x:v>102.55</x:v>
      </x:c>
      <x:c r="H317" s="23" t="n">
        <x:v>79.52</x:v>
      </x:c>
      <x:c r="I317" s="23" t="n">
        <x:v>91</x:v>
      </x:c>
      <x:c r="J317" s="23" t="n">
        <x:f>G317-H317</x:f>
        <x:v>23.03</x:v>
      </x:c>
      <x:c r="K317" t="str">
        <x:v>HINDCAST</x:v>
      </x:c>
      <x:c r="L317" s="24" t="n">
        <x:v>17.4065</x:v>
      </x:c>
      <x:c r="M317" s="24" t="n">
        <x:v>78.4772</x:v>
      </x:c>
      <x:c r="N317" t="str">
        <x:f>IF(I317&gt;70,"70+ dB",IF(I317&gt;55,"56-70 dB","41-55 dB"))</x:f>
        <x:v>70+ dB</x:v>
      </x:c>
      <x:c r="O317" t="str">
        <x:f>IF(I317&gt;70,"High",IF(I317&gt;55,"Moderate","Low"))</x:f>
        <x:v>High</x:v>
      </x:c>
      <x:c r="P317" t="str">
        <x:f>IF(I317&gt;=70,"Yes","No")</x:f>
        <x:v>Yes</x:v>
      </x:c>
      <x:c r="Q317" t="str">
        <x:f>TEXT(B317,"yyyy-mm")</x:f>
        <x:v>2022-06</x:v>
      </x:c>
    </x:row>
    <x:row r="318">
      <x:c r="A318" t="str">
        <x:v>HYD02</x:v>
      </x:c>
      <x:c r="B318" s="22" t="n">
        <x:f>DATE(C318,D318,1)</x:f>
        <x:v>44743</x:v>
      </x:c>
      <x:c r="C318" t="n">
        <x:v>2022</x:v>
      </x:c>
      <x:c r="D318" t="n">
        <x:v>7</x:v>
      </x:c>
      <x:c r="E318" t="str">
        <x:f>TEXT(B318,"mmm")</x:f>
        <x:v>Jul</x:v>
      </x:c>
      <x:c r="F318" t="str">
        <x:f>"Q"&amp;ROUNDUP(D318/3,0)</x:f>
        <x:v>Q3</x:v>
      </x:c>
      <x:c r="G318" s="23" t="n">
        <x:v>99.16</x:v>
      </x:c>
      <x:c r="H318" s="23" t="n">
        <x:v>75.95</x:v>
      </x:c>
      <x:c r="I318" s="23" t="n">
        <x:v>87.6</x:v>
      </x:c>
      <x:c r="J318" s="23" t="n">
        <x:f>G318-H318</x:f>
        <x:v>23.209999999999994</x:v>
      </x:c>
      <x:c r="K318" t="str">
        <x:v>HINDCAST</x:v>
      </x:c>
      <x:c r="L318" s="24" t="n">
        <x:v>17.4065</x:v>
      </x:c>
      <x:c r="M318" s="24" t="n">
        <x:v>78.4772</x:v>
      </x:c>
      <x:c r="N318" t="str">
        <x:f>IF(I318&gt;70,"70+ dB",IF(I318&gt;55,"56-70 dB","41-55 dB"))</x:f>
        <x:v>70+ dB</x:v>
      </x:c>
      <x:c r="O318" t="str">
        <x:f>IF(I318&gt;70,"High",IF(I318&gt;55,"Moderate","Low"))</x:f>
        <x:v>High</x:v>
      </x:c>
      <x:c r="P318" t="str">
        <x:f>IF(I318&gt;=70,"Yes","No")</x:f>
        <x:v>Yes</x:v>
      </x:c>
      <x:c r="Q318" t="str">
        <x:f>TEXT(B318,"yyyy-mm")</x:f>
        <x:v>2022-07</x:v>
      </x:c>
    </x:row>
    <x:row r="319">
      <x:c r="A319" t="str">
        <x:v>HYD02</x:v>
      </x:c>
      <x:c r="B319" s="22" t="n">
        <x:f>DATE(C319,D319,1)</x:f>
        <x:v>44774</x:v>
      </x:c>
      <x:c r="C319" t="n">
        <x:v>2022</x:v>
      </x:c>
      <x:c r="D319" t="n">
        <x:v>8</x:v>
      </x:c>
      <x:c r="E319" t="str">
        <x:f>TEXT(B319,"mmm")</x:f>
        <x:v>Aug</x:v>
      </x:c>
      <x:c r="F319" t="str">
        <x:f>"Q"&amp;ROUNDUP(D319/3,0)</x:f>
        <x:v>Q3</x:v>
      </x:c>
      <x:c r="G319" s="23" t="n">
        <x:v>98.51</x:v>
      </x:c>
      <x:c r="H319" s="23" t="n">
        <x:v>74.29</x:v>
      </x:c>
      <x:c r="I319" s="23" t="n">
        <x:v>86.4</x:v>
      </x:c>
      <x:c r="J319" s="23" t="n">
        <x:f>G319-H319</x:f>
        <x:v>24.22</x:v>
      </x:c>
      <x:c r="K319" t="str">
        <x:v>HINDCAST</x:v>
      </x:c>
      <x:c r="L319" s="24" t="n">
        <x:v>17.4065</x:v>
      </x:c>
      <x:c r="M319" s="24" t="n">
        <x:v>78.4772</x:v>
      </x:c>
      <x:c r="N319" t="str">
        <x:f>IF(I319&gt;70,"70+ dB",IF(I319&gt;55,"56-70 dB","41-55 dB"))</x:f>
        <x:v>70+ dB</x:v>
      </x:c>
      <x:c r="O319" t="str">
        <x:f>IF(I319&gt;70,"High",IF(I319&gt;55,"Moderate","Low"))</x:f>
        <x:v>High</x:v>
      </x:c>
      <x:c r="P319" t="str">
        <x:f>IF(I319&gt;=70,"Yes","No")</x:f>
        <x:v>Yes</x:v>
      </x:c>
      <x:c r="Q319" t="str">
        <x:f>TEXT(B319,"yyyy-mm")</x:f>
        <x:v>2022-08</x:v>
      </x:c>
    </x:row>
    <x:row r="320">
      <x:c r="A320" t="str">
        <x:v>HYD02</x:v>
      </x:c>
      <x:c r="B320" s="22" t="n">
        <x:f>DATE(C320,D320,1)</x:f>
        <x:v>44805</x:v>
      </x:c>
      <x:c r="C320" t="n">
        <x:v>2022</x:v>
      </x:c>
      <x:c r="D320" t="n">
        <x:v>9</x:v>
      </x:c>
      <x:c r="E320" t="str">
        <x:f>TEXT(B320,"mmm")</x:f>
        <x:v>Sep</x:v>
      </x:c>
      <x:c r="F320" t="str">
        <x:f>"Q"&amp;ROUNDUP(D320/3,0)</x:f>
        <x:v>Q3</x:v>
      </x:c>
      <x:c r="G320" s="23" t="n">
        <x:v>102.6</x:v>
      </x:c>
      <x:c r="H320" s="23" t="n">
        <x:v>82.37</x:v>
      </x:c>
      <x:c r="I320" s="23" t="n">
        <x:v>92.5</x:v>
      </x:c>
      <x:c r="J320" s="23" t="n">
        <x:f>G320-H320</x:f>
        <x:v>20.22999999999999</x:v>
      </x:c>
      <x:c r="K320" t="str">
        <x:v>HINDCAST</x:v>
      </x:c>
      <x:c r="L320" s="24" t="n">
        <x:v>17.4065</x:v>
      </x:c>
      <x:c r="M320" s="24" t="n">
        <x:v>78.4772</x:v>
      </x:c>
      <x:c r="N320" t="str">
        <x:f>IF(I320&gt;70,"70+ dB",IF(I320&gt;55,"56-70 dB","41-55 dB"))</x:f>
        <x:v>70+ dB</x:v>
      </x:c>
      <x:c r="O320" t="str">
        <x:f>IF(I320&gt;70,"High",IF(I320&gt;55,"Moderate","Low"))</x:f>
        <x:v>High</x:v>
      </x:c>
      <x:c r="P320" t="str">
        <x:f>IF(I320&gt;=70,"Yes","No")</x:f>
        <x:v>Yes</x:v>
      </x:c>
      <x:c r="Q320" t="str">
        <x:f>TEXT(B320,"yyyy-mm")</x:f>
        <x:v>2022-09</x:v>
      </x:c>
    </x:row>
    <x:row r="321">
      <x:c r="A321" t="str">
        <x:v>HYD02</x:v>
      </x:c>
      <x:c r="B321" s="22" t="n">
        <x:f>DATE(C321,D321,1)</x:f>
        <x:v>44835</x:v>
      </x:c>
      <x:c r="C321" t="n">
        <x:v>2022</x:v>
      </x:c>
      <x:c r="D321" t="n">
        <x:v>10</x:v>
      </x:c>
      <x:c r="E321" t="str">
        <x:f>TEXT(B321,"mmm")</x:f>
        <x:v>Oct</x:v>
      </x:c>
      <x:c r="F321" t="str">
        <x:f>"Q"&amp;ROUNDUP(D321/3,0)</x:f>
        <x:v>Q4</x:v>
      </x:c>
      <x:c r="G321" s="23" t="n">
        <x:v>108.83</x:v>
      </x:c>
      <x:c r="H321" s="23" t="n">
        <x:v>95.67</x:v>
      </x:c>
      <x:c r="I321" s="23" t="n">
        <x:v>102.2</x:v>
      </x:c>
      <x:c r="J321" s="23" t="n">
        <x:f>G321-H321</x:f>
        <x:v>13.159999999999997</x:v>
      </x:c>
      <x:c r="K321" t="str">
        <x:v>HINDCAST</x:v>
      </x:c>
      <x:c r="L321" s="24" t="n">
        <x:v>17.4065</x:v>
      </x:c>
      <x:c r="M321" s="24" t="n">
        <x:v>78.4772</x:v>
      </x:c>
      <x:c r="N321" t="str">
        <x:f>IF(I321&gt;70,"70+ dB",IF(I321&gt;55,"56-70 dB","41-55 dB"))</x:f>
        <x:v>70+ dB</x:v>
      </x:c>
      <x:c r="O321" t="str">
        <x:f>IF(I321&gt;70,"High",IF(I321&gt;55,"Moderate","Low"))</x:f>
        <x:v>High</x:v>
      </x:c>
      <x:c r="P321" t="str">
        <x:f>IF(I321&gt;=70,"Yes","No")</x:f>
        <x:v>Yes</x:v>
      </x:c>
      <x:c r="Q321" t="str">
        <x:f>TEXT(B321,"yyyy-mm")</x:f>
        <x:v>2022-10</x:v>
      </x:c>
    </x:row>
    <x:row r="322">
      <x:c r="A322" t="str">
        <x:v>HYD02</x:v>
      </x:c>
      <x:c r="B322" s="22" t="n">
        <x:f>DATE(C322,D322,1)</x:f>
        <x:v>44866</x:v>
      </x:c>
      <x:c r="C322" t="n">
        <x:v>2022</x:v>
      </x:c>
      <x:c r="D322" t="n">
        <x:v>11</x:v>
      </x:c>
      <x:c r="E322" t="str">
        <x:f>TEXT(B322,"mmm")</x:f>
        <x:v>Nov</x:v>
      </x:c>
      <x:c r="F322" t="str">
        <x:f>"Q"&amp;ROUNDUP(D322/3,0)</x:f>
        <x:v>Q4</x:v>
      </x:c>
      <x:c r="G322" s="23" t="n">
        <x:v>111.28</x:v>
      </x:c>
      <x:c r="H322" s="23" t="n">
        <x:v>100.09</x:v>
      </x:c>
      <x:c r="I322" s="23" t="n">
        <x:v>105.7</x:v>
      </x:c>
      <x:c r="J322" s="23" t="n">
        <x:f>G322-H322</x:f>
        <x:v>11.189999999999998</x:v>
      </x:c>
      <x:c r="K322" t="str">
        <x:v>HINDCAST</x:v>
      </x:c>
      <x:c r="L322" s="24" t="n">
        <x:v>17.4065</x:v>
      </x:c>
      <x:c r="M322" s="24" t="n">
        <x:v>78.4772</x:v>
      </x:c>
      <x:c r="N322" t="str">
        <x:f>IF(I322&gt;70,"70+ dB",IF(I322&gt;55,"56-70 dB","41-55 dB"))</x:f>
        <x:v>70+ dB</x:v>
      </x:c>
      <x:c r="O322" t="str">
        <x:f>IF(I322&gt;70,"High",IF(I322&gt;55,"Moderate","Low"))</x:f>
        <x:v>High</x:v>
      </x:c>
      <x:c r="P322" t="str">
        <x:f>IF(I322&gt;=70,"Yes","No")</x:f>
        <x:v>Yes</x:v>
      </x:c>
      <x:c r="Q322" t="str">
        <x:f>TEXT(B322,"yyyy-mm")</x:f>
        <x:v>2022-11</x:v>
      </x:c>
    </x:row>
    <x:row r="323">
      <x:c r="A323" t="str">
        <x:v>HYD02</x:v>
      </x:c>
      <x:c r="B323" s="22" t="n">
        <x:f>DATE(C323,D323,1)</x:f>
        <x:v>44896</x:v>
      </x:c>
      <x:c r="C323" t="n">
        <x:v>2022</x:v>
      </x:c>
      <x:c r="D323" t="n">
        <x:v>12</x:v>
      </x:c>
      <x:c r="E323" t="str">
        <x:f>TEXT(B323,"mmm")</x:f>
        <x:v>Dec</x:v>
      </x:c>
      <x:c r="F323" t="str">
        <x:f>"Q"&amp;ROUNDUP(D323/3,0)</x:f>
        <x:v>Q4</x:v>
      </x:c>
      <x:c r="G323" s="23" t="n">
        <x:v>110.7</x:v>
      </x:c>
      <x:c r="H323" s="23" t="n">
        <x:v>94.47</x:v>
      </x:c>
      <x:c r="I323" s="23" t="n">
        <x:v>102.6</x:v>
      </x:c>
      <x:c r="J323" s="23" t="n">
        <x:f>G323-H323</x:f>
        <x:v>16.230000000000004</x:v>
      </x:c>
      <x:c r="K323" t="str">
        <x:v>HINDCAST</x:v>
      </x:c>
      <x:c r="L323" s="24" t="n">
        <x:v>17.4065</x:v>
      </x:c>
      <x:c r="M323" s="24" t="n">
        <x:v>78.4772</x:v>
      </x:c>
      <x:c r="N323" t="str">
        <x:f>IF(I323&gt;70,"70+ dB",IF(I323&gt;55,"56-70 dB","41-55 dB"))</x:f>
        <x:v>70+ dB</x:v>
      </x:c>
      <x:c r="O323" t="str">
        <x:f>IF(I323&gt;70,"High",IF(I323&gt;55,"Moderate","Low"))</x:f>
        <x:v>High</x:v>
      </x:c>
      <x:c r="P323" t="str">
        <x:f>IF(I323&gt;=70,"Yes","No")</x:f>
        <x:v>Yes</x:v>
      </x:c>
      <x:c r="Q323" t="str">
        <x:f>TEXT(B323,"yyyy-mm")</x:f>
        <x:v>2022-12</x:v>
      </x:c>
    </x:row>
    <x:row r="324">
      <x:c r="A324" t="str">
        <x:v>HYD02</x:v>
      </x:c>
      <x:c r="B324" s="22" t="n">
        <x:f>DATE(C324,D324,1)</x:f>
        <x:v>44927</x:v>
      </x:c>
      <x:c r="C324" t="n">
        <x:v>2023</x:v>
      </x:c>
      <x:c r="D324" t="n">
        <x:v>1</x:v>
      </x:c>
      <x:c r="E324" t="str">
        <x:f>TEXT(B324,"mmm")</x:f>
        <x:v>Jan</x:v>
      </x:c>
      <x:c r="F324" t="str">
        <x:f>"Q"&amp;ROUNDUP(D324/3,0)</x:f>
        <x:v>Q1</x:v>
      </x:c>
      <x:c r="G324" s="23" t="n">
        <x:v>113.89</x:v>
      </x:c>
      <x:c r="H324" s="23" t="n">
        <x:v>100.53</x:v>
      </x:c>
      <x:c r="I324" s="23" t="n">
        <x:v>107.2</x:v>
      </x:c>
      <x:c r="J324" s="23" t="n">
        <x:f>G324-H324</x:f>
        <x:v>13.36</x:v>
      </x:c>
      <x:c r="K324" t="str">
        <x:v>HINDCAST</x:v>
      </x:c>
      <x:c r="L324" s="24" t="n">
        <x:v>17.4065</x:v>
      </x:c>
      <x:c r="M324" s="24" t="n">
        <x:v>78.4772</x:v>
      </x:c>
      <x:c r="N324" t="str">
        <x:f>IF(I324&gt;70,"70+ dB",IF(I324&gt;55,"56-70 dB","41-55 dB"))</x:f>
        <x:v>70+ dB</x:v>
      </x:c>
      <x:c r="O324" t="str">
        <x:f>IF(I324&gt;70,"High",IF(I324&gt;55,"Moderate","Low"))</x:f>
        <x:v>High</x:v>
      </x:c>
      <x:c r="P324" t="str">
        <x:f>IF(I324&gt;=70,"Yes","No")</x:f>
        <x:v>Yes</x:v>
      </x:c>
      <x:c r="Q324" t="str">
        <x:f>TEXT(B324,"yyyy-mm")</x:f>
        <x:v>2023-01</x:v>
      </x:c>
    </x:row>
    <x:row r="325">
      <x:c r="A325" t="str">
        <x:v>HYD02</x:v>
      </x:c>
      <x:c r="B325" s="22" t="n">
        <x:f>DATE(C325,D325,1)</x:f>
        <x:v>44958</x:v>
      </x:c>
      <x:c r="C325" t="n">
        <x:v>2023</x:v>
      </x:c>
      <x:c r="D325" t="n">
        <x:v>2</x:v>
      </x:c>
      <x:c r="E325" t="str">
        <x:f>TEXT(B325,"mmm")</x:f>
        <x:v>Feb</x:v>
      </x:c>
      <x:c r="F325" t="str">
        <x:f>"Q"&amp;ROUNDUP(D325/3,0)</x:f>
        <x:v>Q1</x:v>
      </x:c>
      <x:c r="G325" s="23" t="n">
        <x:v>113.93</x:v>
      </x:c>
      <x:c r="H325" s="23" t="n">
        <x:v>98.11</x:v>
      </x:c>
      <x:c r="I325" s="23" t="n">
        <x:v>106</x:v>
      </x:c>
      <x:c r="J325" s="23" t="n">
        <x:f>G325-H325</x:f>
        <x:v>15.820000000000007</x:v>
      </x:c>
      <x:c r="K325" t="str">
        <x:v>HINDCAST</x:v>
      </x:c>
      <x:c r="L325" s="24" t="n">
        <x:v>17.4065</x:v>
      </x:c>
      <x:c r="M325" s="24" t="n">
        <x:v>78.4772</x:v>
      </x:c>
      <x:c r="N325" t="str">
        <x:f>IF(I325&gt;70,"70+ dB",IF(I325&gt;55,"56-70 dB","41-55 dB"))</x:f>
        <x:v>70+ dB</x:v>
      </x:c>
      <x:c r="O325" t="str">
        <x:f>IF(I325&gt;70,"High",IF(I325&gt;55,"Moderate","Low"))</x:f>
        <x:v>High</x:v>
      </x:c>
      <x:c r="P325" t="str">
        <x:f>IF(I325&gt;=70,"Yes","No")</x:f>
        <x:v>Yes</x:v>
      </x:c>
      <x:c r="Q325" t="str">
        <x:f>TEXT(B325,"yyyy-mm")</x:f>
        <x:v>2023-02</x:v>
      </x:c>
    </x:row>
    <x:row r="326">
      <x:c r="A326" t="str">
        <x:v>HYD02</x:v>
      </x:c>
      <x:c r="B326" s="22" t="n">
        <x:f>DATE(C326,D326,1)</x:f>
        <x:v>44986</x:v>
      </x:c>
      <x:c r="C326" t="n">
        <x:v>2023</x:v>
      </x:c>
      <x:c r="D326" t="n">
        <x:v>3</x:v>
      </x:c>
      <x:c r="E326" t="str">
        <x:f>TEXT(B326,"mmm")</x:f>
        <x:v>Mar</x:v>
      </x:c>
      <x:c r="F326" t="str">
        <x:f>"Q"&amp;ROUNDUP(D326/3,0)</x:f>
        <x:v>Q1</x:v>
      </x:c>
      <x:c r="G326" s="23" t="n">
        <x:v>112.57</x:v>
      </x:c>
      <x:c r="H326" s="23" t="n">
        <x:v>94.64</x:v>
      </x:c>
      <x:c r="I326" s="23" t="n">
        <x:v>103.6</x:v>
      </x:c>
      <x:c r="J326" s="23" t="n">
        <x:f>G326-H326</x:f>
        <x:v>17.929999999999993</x:v>
      </x:c>
      <x:c r="K326" t="str">
        <x:v>HINDCAST</x:v>
      </x:c>
      <x:c r="L326" s="24" t="n">
        <x:v>17.4065</x:v>
      </x:c>
      <x:c r="M326" s="24" t="n">
        <x:v>78.4772</x:v>
      </x:c>
      <x:c r="N326" t="str">
        <x:f>IF(I326&gt;70,"70+ dB",IF(I326&gt;55,"56-70 dB","41-55 dB"))</x:f>
        <x:v>70+ dB</x:v>
      </x:c>
      <x:c r="O326" t="str">
        <x:f>IF(I326&gt;70,"High",IF(I326&gt;55,"Moderate","Low"))</x:f>
        <x:v>High</x:v>
      </x:c>
      <x:c r="P326" t="str">
        <x:f>IF(I326&gt;=70,"Yes","No")</x:f>
        <x:v>Yes</x:v>
      </x:c>
      <x:c r="Q326" t="str">
        <x:f>TEXT(B326,"yyyy-mm")</x:f>
        <x:v>2023-03</x:v>
      </x:c>
    </x:row>
    <x:row r="327">
      <x:c r="A327" t="str">
        <x:v>HYD02</x:v>
      </x:c>
      <x:c r="B327" s="22" t="n">
        <x:f>DATE(C327,D327,1)</x:f>
        <x:v>45017</x:v>
      </x:c>
      <x:c r="C327" t="n">
        <x:v>2023</x:v>
      </x:c>
      <x:c r="D327" t="n">
        <x:v>4</x:v>
      </x:c>
      <x:c r="E327" t="str">
        <x:f>TEXT(B327,"mmm")</x:f>
        <x:v>Apr</x:v>
      </x:c>
      <x:c r="F327" t="str">
        <x:f>"Q"&amp;ROUNDUP(D327/3,0)</x:f>
        <x:v>Q2</x:v>
      </x:c>
      <x:c r="G327" s="23" t="n">
        <x:v>112.85</x:v>
      </x:c>
      <x:c r="H327" s="23" t="n">
        <x:v>94.32</x:v>
      </x:c>
      <x:c r="I327" s="23" t="n">
        <x:v>103.6</x:v>
      </x:c>
      <x:c r="J327" s="23" t="n">
        <x:f>G327-H327</x:f>
        <x:v>18.53</x:v>
      </x:c>
      <x:c r="K327" t="str">
        <x:v>HINDCAST</x:v>
      </x:c>
      <x:c r="L327" s="24" t="n">
        <x:v>17.4065</x:v>
      </x:c>
      <x:c r="M327" s="24" t="n">
        <x:v>78.4772</x:v>
      </x:c>
      <x:c r="N327" t="str">
        <x:f>IF(I327&gt;70,"70+ dB",IF(I327&gt;55,"56-70 dB","41-55 dB"))</x:f>
        <x:v>70+ dB</x:v>
      </x:c>
      <x:c r="O327" t="str">
        <x:f>IF(I327&gt;70,"High",IF(I327&gt;55,"Moderate","Low"))</x:f>
        <x:v>High</x:v>
      </x:c>
      <x:c r="P327" t="str">
        <x:f>IF(I327&gt;=70,"Yes","No")</x:f>
        <x:v>Yes</x:v>
      </x:c>
      <x:c r="Q327" t="str">
        <x:f>TEXT(B327,"yyyy-mm")</x:f>
        <x:v>2023-04</x:v>
      </x:c>
    </x:row>
    <x:row r="328">
      <x:c r="A328" t="str">
        <x:v>HYD02</x:v>
      </x:c>
      <x:c r="B328" s="22" t="n">
        <x:f>DATE(C328,D328,1)</x:f>
        <x:v>45047</x:v>
      </x:c>
      <x:c r="C328" t="n">
        <x:v>2023</x:v>
      </x:c>
      <x:c r="D328" t="n">
        <x:v>5</x:v>
      </x:c>
      <x:c r="E328" t="str">
        <x:f>TEXT(B328,"mmm")</x:f>
        <x:v>May</x:v>
      </x:c>
      <x:c r="F328" t="str">
        <x:f>"Q"&amp;ROUNDUP(D328/3,0)</x:f>
        <x:v>Q2</x:v>
      </x:c>
      <x:c r="G328" s="23" t="n">
        <x:v>113.54</x:v>
      </x:c>
      <x:c r="H328" s="23" t="n">
        <x:v>95.6</x:v>
      </x:c>
      <x:c r="I328" s="23" t="n">
        <x:v>104.6</x:v>
      </x:c>
      <x:c r="J328" s="23" t="n">
        <x:f>G328-H328</x:f>
        <x:v>17.940000000000012</x:v>
      </x:c>
      <x:c r="K328" t="str">
        <x:v>HINDCAST</x:v>
      </x:c>
      <x:c r="L328" s="24" t="n">
        <x:v>17.4065</x:v>
      </x:c>
      <x:c r="M328" s="24" t="n">
        <x:v>78.4772</x:v>
      </x:c>
      <x:c r="N328" t="str">
        <x:f>IF(I328&gt;70,"70+ dB",IF(I328&gt;55,"56-70 dB","41-55 dB"))</x:f>
        <x:v>70+ dB</x:v>
      </x:c>
      <x:c r="O328" t="str">
        <x:f>IF(I328&gt;70,"High",IF(I328&gt;55,"Moderate","Low"))</x:f>
        <x:v>High</x:v>
      </x:c>
      <x:c r="P328" t="str">
        <x:f>IF(I328&gt;=70,"Yes","No")</x:f>
        <x:v>Yes</x:v>
      </x:c>
      <x:c r="Q328" t="str">
        <x:f>TEXT(B328,"yyyy-mm")</x:f>
        <x:v>2023-05</x:v>
      </x:c>
    </x:row>
    <x:row r="329">
      <x:c r="A329" t="str">
        <x:v>HYD02</x:v>
      </x:c>
      <x:c r="B329" s="22" t="n">
        <x:f>DATE(C329,D329,1)</x:f>
        <x:v>45078</x:v>
      </x:c>
      <x:c r="C329" t="n">
        <x:v>2023</x:v>
      </x:c>
      <x:c r="D329" t="n">
        <x:v>6</x:v>
      </x:c>
      <x:c r="E329" t="str">
        <x:f>TEXT(B329,"mmm")</x:f>
        <x:v>Jun</x:v>
      </x:c>
      <x:c r="F329" t="str">
        <x:f>"Q"&amp;ROUNDUP(D329/3,0)</x:f>
        <x:v>Q2</x:v>
      </x:c>
      <x:c r="G329" s="23" t="n">
        <x:v>111.04</x:v>
      </x:c>
      <x:c r="H329" s="23" t="n">
        <x:v>86.99</x:v>
      </x:c>
      <x:c r="I329" s="23" t="n">
        <x:v>99</x:v>
      </x:c>
      <x:c r="J329" s="23" t="n">
        <x:f>G329-H329</x:f>
        <x:v>24.05000000000001</x:v>
      </x:c>
      <x:c r="K329" t="str">
        <x:v>HINDCAST</x:v>
      </x:c>
      <x:c r="L329" s="24" t="n">
        <x:v>17.4065</x:v>
      </x:c>
      <x:c r="M329" s="24" t="n">
        <x:v>78.4772</x:v>
      </x:c>
      <x:c r="N329" t="str">
        <x:f>IF(I329&gt;70,"70+ dB",IF(I329&gt;55,"56-70 dB","41-55 dB"))</x:f>
        <x:v>70+ dB</x:v>
      </x:c>
      <x:c r="O329" t="str">
        <x:f>IF(I329&gt;70,"High",IF(I329&gt;55,"Moderate","Low"))</x:f>
        <x:v>High</x:v>
      </x:c>
      <x:c r="P329" t="str">
        <x:f>IF(I329&gt;=70,"Yes","No")</x:f>
        <x:v>Yes</x:v>
      </x:c>
      <x:c r="Q329" t="str">
        <x:f>TEXT(B329,"yyyy-mm")</x:f>
        <x:v>2023-06</x:v>
      </x:c>
    </x:row>
    <x:row r="330">
      <x:c r="A330" t="str">
        <x:v>HYD02</x:v>
      </x:c>
      <x:c r="B330" s="22" t="n">
        <x:f>DATE(C330,D330,1)</x:f>
        <x:v>45108</x:v>
      </x:c>
      <x:c r="C330" t="n">
        <x:v>2023</x:v>
      </x:c>
      <x:c r="D330" t="n">
        <x:v>7</x:v>
      </x:c>
      <x:c r="E330" t="str">
        <x:f>TEXT(B330,"mmm")</x:f>
        <x:v>Jul</x:v>
      </x:c>
      <x:c r="F330" t="str">
        <x:f>"Q"&amp;ROUNDUP(D330/3,0)</x:f>
        <x:v>Q3</x:v>
      </x:c>
      <x:c r="G330" s="23" t="n">
        <x:v>107.95</x:v>
      </x:c>
      <x:c r="H330" s="23" t="n">
        <x:v>83.52</x:v>
      </x:c>
      <x:c r="I330" s="23" t="n">
        <x:v>95.7</x:v>
      </x:c>
      <x:c r="J330" s="23" t="n">
        <x:f>G330-H330</x:f>
        <x:v>24.430000000000007</x:v>
      </x:c>
      <x:c r="K330" t="str">
        <x:v>HINDCAST</x:v>
      </x:c>
      <x:c r="L330" s="24" t="n">
        <x:v>17.4065</x:v>
      </x:c>
      <x:c r="M330" s="24" t="n">
        <x:v>78.4772</x:v>
      </x:c>
      <x:c r="N330" t="str">
        <x:f>IF(I330&gt;70,"70+ dB",IF(I330&gt;55,"56-70 dB","41-55 dB"))</x:f>
        <x:v>70+ dB</x:v>
      </x:c>
      <x:c r="O330" t="str">
        <x:f>IF(I330&gt;70,"High",IF(I330&gt;55,"Moderate","Low"))</x:f>
        <x:v>High</x:v>
      </x:c>
      <x:c r="P330" t="str">
        <x:f>IF(I330&gt;=70,"Yes","No")</x:f>
        <x:v>Yes</x:v>
      </x:c>
      <x:c r="Q330" t="str">
        <x:f>TEXT(B330,"yyyy-mm")</x:f>
        <x:v>2023-07</x:v>
      </x:c>
    </x:row>
    <x:row r="331">
      <x:c r="A331" t="str">
        <x:v>HYD02</x:v>
      </x:c>
      <x:c r="B331" s="22" t="n">
        <x:f>DATE(C331,D331,1)</x:f>
        <x:v>45139</x:v>
      </x:c>
      <x:c r="C331" t="n">
        <x:v>2023</x:v>
      </x:c>
      <x:c r="D331" t="n">
        <x:v>8</x:v>
      </x:c>
      <x:c r="E331" t="str">
        <x:f>TEXT(B331,"mmm")</x:f>
        <x:v>Aug</x:v>
      </x:c>
      <x:c r="F331" t="str">
        <x:f>"Q"&amp;ROUNDUP(D331/3,0)</x:f>
        <x:v>Q3</x:v>
      </x:c>
      <x:c r="G331" s="23" t="n">
        <x:v>107.32</x:v>
      </x:c>
      <x:c r="H331" s="23" t="n">
        <x:v>81.95</x:v>
      </x:c>
      <x:c r="I331" s="23" t="n">
        <x:v>94.6</x:v>
      </x:c>
      <x:c r="J331" s="23" t="n">
        <x:f>G331-H331</x:f>
        <x:v>25.36999999999999</x:v>
      </x:c>
      <x:c r="K331" t="str">
        <x:v>HINDCAST</x:v>
      </x:c>
      <x:c r="L331" s="24" t="n">
        <x:v>17.4065</x:v>
      </x:c>
      <x:c r="M331" s="24" t="n">
        <x:v>78.4772</x:v>
      </x:c>
      <x:c r="N331" t="str">
        <x:f>IF(I331&gt;70,"70+ dB",IF(I331&gt;55,"56-70 dB","41-55 dB"))</x:f>
        <x:v>70+ dB</x:v>
      </x:c>
      <x:c r="O331" t="str">
        <x:f>IF(I331&gt;70,"High",IF(I331&gt;55,"Moderate","Low"))</x:f>
        <x:v>High</x:v>
      </x:c>
      <x:c r="P331" t="str">
        <x:f>IF(I331&gt;=70,"Yes","No")</x:f>
        <x:v>Yes</x:v>
      </x:c>
      <x:c r="Q331" t="str">
        <x:f>TEXT(B331,"yyyy-mm")</x:f>
        <x:v>2023-08</x:v>
      </x:c>
    </x:row>
    <x:row r="332">
      <x:c r="A332" t="str">
        <x:v>HYD02</x:v>
      </x:c>
      <x:c r="B332" s="22" t="n">
        <x:f>DATE(C332,D332,1)</x:f>
        <x:v>45170</x:v>
      </x:c>
      <x:c r="C332" t="n">
        <x:v>2023</x:v>
      </x:c>
      <x:c r="D332" t="n">
        <x:v>9</x:v>
      </x:c>
      <x:c r="E332" t="str">
        <x:f>TEXT(B332,"mmm")</x:f>
        <x:v>Sep</x:v>
      </x:c>
      <x:c r="F332" t="str">
        <x:f>"Q"&amp;ROUNDUP(D332/3,0)</x:f>
        <x:v>Q3</x:v>
      </x:c>
      <x:c r="G332" s="23" t="n">
        <x:v>111.28</x:v>
      </x:c>
      <x:c r="H332" s="23" t="n">
        <x:v>89.25</x:v>
      </x:c>
      <x:c r="I332" s="23" t="n">
        <x:v>100.3</x:v>
      </x:c>
      <x:c r="J332" s="23" t="n">
        <x:f>G332-H332</x:f>
        <x:v>22.03</x:v>
      </x:c>
      <x:c r="K332" t="str">
        <x:v>HINDCAST</x:v>
      </x:c>
      <x:c r="L332" s="24" t="n">
        <x:v>17.4065</x:v>
      </x:c>
      <x:c r="M332" s="24" t="n">
        <x:v>78.4772</x:v>
      </x:c>
      <x:c r="N332" t="str">
        <x:f>IF(I332&gt;70,"70+ dB",IF(I332&gt;55,"56-70 dB","41-55 dB"))</x:f>
        <x:v>70+ dB</x:v>
      </x:c>
      <x:c r="O332" t="str">
        <x:f>IF(I332&gt;70,"High",IF(I332&gt;55,"Moderate","Low"))</x:f>
        <x:v>High</x:v>
      </x:c>
      <x:c r="P332" t="str">
        <x:f>IF(I332&gt;=70,"Yes","No")</x:f>
        <x:v>Yes</x:v>
      </x:c>
      <x:c r="Q332" t="str">
        <x:f>TEXT(B332,"yyyy-mm")</x:f>
        <x:v>2023-09</x:v>
      </x:c>
    </x:row>
    <x:row r="333">
      <x:c r="A333" t="str">
        <x:v>HYD02</x:v>
      </x:c>
      <x:c r="B333" s="22" t="n">
        <x:f>DATE(C333,D333,1)</x:f>
        <x:v>45200</x:v>
      </x:c>
      <x:c r="C333" t="n">
        <x:v>2023</x:v>
      </x:c>
      <x:c r="D333" t="n">
        <x:v>10</x:v>
      </x:c>
      <x:c r="E333" t="str">
        <x:f>TEXT(B333,"mmm")</x:f>
        <x:v>Oct</x:v>
      </x:c>
      <x:c r="F333" t="str">
        <x:f>"Q"&amp;ROUNDUP(D333/3,0)</x:f>
        <x:v>Q4</x:v>
      </x:c>
      <x:c r="G333" s="23" t="n">
        <x:v>116.82</x:v>
      </x:c>
      <x:c r="H333" s="23" t="n">
        <x:v>100.03</x:v>
      </x:c>
      <x:c r="I333" s="23" t="n">
        <x:v>108.4</x:v>
      </x:c>
      <x:c r="J333" s="23" t="n">
        <x:f>G333-H333</x:f>
        <x:v>16.789999999999992</x:v>
      </x:c>
      <x:c r="K333" t="str">
        <x:v>HINDCAST</x:v>
      </x:c>
      <x:c r="L333" s="24" t="n">
        <x:v>17.4065</x:v>
      </x:c>
      <x:c r="M333" s="24" t="n">
        <x:v>78.4772</x:v>
      </x:c>
      <x:c r="N333" t="str">
        <x:f>IF(I333&gt;70,"70+ dB",IF(I333&gt;55,"56-70 dB","41-55 dB"))</x:f>
        <x:v>70+ dB</x:v>
      </x:c>
      <x:c r="O333" t="str">
        <x:f>IF(I333&gt;70,"High",IF(I333&gt;55,"Moderate","Low"))</x:f>
        <x:v>High</x:v>
      </x:c>
      <x:c r="P333" t="str">
        <x:f>IF(I333&gt;=70,"Yes","No")</x:f>
        <x:v>Yes</x:v>
      </x:c>
      <x:c r="Q333" t="str">
        <x:f>TEXT(B333,"yyyy-mm")</x:f>
        <x:v>2023-10</x:v>
      </x:c>
    </x:row>
    <x:row r="334">
      <x:c r="A334" t="str">
        <x:v>HYD02</x:v>
      </x:c>
      <x:c r="B334" s="22" t="n">
        <x:f>DATE(C334,D334,1)</x:f>
        <x:v>45231</x:v>
      </x:c>
      <x:c r="C334" t="n">
        <x:v>2023</x:v>
      </x:c>
      <x:c r="D334" t="n">
        <x:v>11</x:v>
      </x:c>
      <x:c r="E334" t="str">
        <x:f>TEXT(B334,"mmm")</x:f>
        <x:v>Nov</x:v>
      </x:c>
      <x:c r="F334" t="str">
        <x:f>"Q"&amp;ROUNDUP(D334/3,0)</x:f>
        <x:v>Q4</x:v>
      </x:c>
      <x:c r="G334" s="23" t="n">
        <x:v>119.04</x:v>
      </x:c>
      <x:c r="H334" s="23" t="n">
        <x:v>103.78</x:v>
      </x:c>
      <x:c r="I334" s="23" t="n">
        <x:v>111.4</x:v>
      </x:c>
      <x:c r="J334" s="23" t="n">
        <x:f>G334-H334</x:f>
        <x:v>15.260000000000005</x:v>
      </x:c>
      <x:c r="K334" t="str">
        <x:v>HINDCAST</x:v>
      </x:c>
      <x:c r="L334" s="24" t="n">
        <x:v>17.4065</x:v>
      </x:c>
      <x:c r="M334" s="24" t="n">
        <x:v>78.4772</x:v>
      </x:c>
      <x:c r="N334" t="str">
        <x:f>IF(I334&gt;70,"70+ dB",IF(I334&gt;55,"56-70 dB","41-55 dB"))</x:f>
        <x:v>70+ dB</x:v>
      </x:c>
      <x:c r="O334" t="str">
        <x:f>IF(I334&gt;70,"High",IF(I334&gt;55,"Moderate","Low"))</x:f>
        <x:v>High</x:v>
      </x:c>
      <x:c r="P334" t="str">
        <x:f>IF(I334&gt;=70,"Yes","No")</x:f>
        <x:v>Yes</x:v>
      </x:c>
      <x:c r="Q334" t="str">
        <x:f>TEXT(B334,"yyyy-mm")</x:f>
        <x:v>2023-11</x:v>
      </x:c>
    </x:row>
    <x:row r="335">
      <x:c r="A335" t="str">
        <x:v>HYD02</x:v>
      </x:c>
      <x:c r="B335" s="22" t="n">
        <x:f>DATE(C335,D335,1)</x:f>
        <x:v>45261</x:v>
      </x:c>
      <x:c r="C335" t="n">
        <x:v>2023</x:v>
      </x:c>
      <x:c r="D335" t="n">
        <x:v>12</x:v>
      </x:c>
      <x:c r="E335" t="str">
        <x:f>TEXT(B335,"mmm")</x:f>
        <x:v>Dec</x:v>
      </x:c>
      <x:c r="F335" t="str">
        <x:f>"Q"&amp;ROUNDUP(D335/3,0)</x:f>
        <x:v>Q4</x:v>
      </x:c>
      <x:c r="G335" s="23" t="n">
        <x:v>118.55</x:v>
      </x:c>
      <x:c r="H335" s="23" t="n">
        <x:v>99.04</x:v>
      </x:c>
      <x:c r="I335" s="23" t="n">
        <x:v>108.8</x:v>
      </x:c>
      <x:c r="J335" s="23" t="n">
        <x:f>G335-H335</x:f>
        <x:v>19.50999999999999</x:v>
      </x:c>
      <x:c r="K335" t="str">
        <x:v>HINDCAST</x:v>
      </x:c>
      <x:c r="L335" s="24" t="n">
        <x:v>17.4065</x:v>
      </x:c>
      <x:c r="M335" s="24" t="n">
        <x:v>78.4772</x:v>
      </x:c>
      <x:c r="N335" t="str">
        <x:f>IF(I335&gt;70,"70+ dB",IF(I335&gt;55,"56-70 dB","41-55 dB"))</x:f>
        <x:v>70+ dB</x:v>
      </x:c>
      <x:c r="O335" t="str">
        <x:f>IF(I335&gt;70,"High",IF(I335&gt;55,"Moderate","Low"))</x:f>
        <x:v>High</x:v>
      </x:c>
      <x:c r="P335" t="str">
        <x:f>IF(I335&gt;=70,"Yes","No")</x:f>
        <x:v>Yes</x:v>
      </x:c>
      <x:c r="Q335" t="str">
        <x:f>TEXT(B335,"yyyy-mm")</x:f>
        <x:v>2023-12</x:v>
      </x:c>
    </x:row>
    <x:row r="336">
      <x:c r="A336" t="str">
        <x:v>HYD02</x:v>
      </x:c>
      <x:c r="B336" s="22" t="n">
        <x:f>DATE(C336,D336,1)</x:f>
        <x:v>45292</x:v>
      </x:c>
      <x:c r="C336" t="n">
        <x:v>2024</x:v>
      </x:c>
      <x:c r="D336" t="n">
        <x:v>1</x:v>
      </x:c>
      <x:c r="E336" t="str">
        <x:f>TEXT(B336,"mmm")</x:f>
        <x:v>Jan</x:v>
      </x:c>
      <x:c r="F336" t="str">
        <x:f>"Q"&amp;ROUNDUP(D336/3,0)</x:f>
        <x:v>Q1</x:v>
      </x:c>
      <x:c r="G336" s="23" t="n">
        <x:v>121.97</x:v>
      </x:c>
      <x:c r="H336" s="23" t="n">
        <x:v>106.57</x:v>
      </x:c>
      <x:c r="I336" s="23" t="n">
        <x:v>114.3</x:v>
      </x:c>
      <x:c r="J336" s="23" t="n">
        <x:f>G336-H336</x:f>
        <x:v>15.400000000000006</x:v>
      </x:c>
      <x:c r="K336" t="str">
        <x:v>HINDCAST</x:v>
      </x:c>
      <x:c r="L336" s="24" t="n">
        <x:v>17.4065</x:v>
      </x:c>
      <x:c r="M336" s="24" t="n">
        <x:v>78.4772</x:v>
      </x:c>
      <x:c r="N336" t="str">
        <x:f>IF(I336&gt;70,"70+ dB",IF(I336&gt;55,"56-70 dB","41-55 dB"))</x:f>
        <x:v>70+ dB</x:v>
      </x:c>
      <x:c r="O336" t="str">
        <x:f>IF(I336&gt;70,"High",IF(I336&gt;55,"Moderate","Low"))</x:f>
        <x:v>High</x:v>
      </x:c>
      <x:c r="P336" t="str">
        <x:f>IF(I336&gt;=70,"Yes","No")</x:f>
        <x:v>Yes</x:v>
      </x:c>
      <x:c r="Q336" t="str">
        <x:f>TEXT(B336,"yyyy-mm")</x:f>
        <x:v>2024-01</x:v>
      </x:c>
    </x:row>
    <x:row r="337">
      <x:c r="A337" t="str">
        <x:v>HYD02</x:v>
      </x:c>
      <x:c r="B337" s="22" t="n">
        <x:f>DATE(C337,D337,1)</x:f>
        <x:v>45323</x:v>
      </x:c>
      <x:c r="C337" t="n">
        <x:v>2024</x:v>
      </x:c>
      <x:c r="D337" t="n">
        <x:v>2</x:v>
      </x:c>
      <x:c r="E337" t="str">
        <x:f>TEXT(B337,"mmm")</x:f>
        <x:v>Feb</x:v>
      </x:c>
      <x:c r="F337" t="str">
        <x:f>"Q"&amp;ROUNDUP(D337/3,0)</x:f>
        <x:v>Q1</x:v>
      </x:c>
      <x:c r="G337" s="23" t="n">
        <x:v>121.95</x:v>
      </x:c>
      <x:c r="H337" s="23" t="n">
        <x:v>104.14</x:v>
      </x:c>
      <x:c r="I337" s="23" t="n">
        <x:v>113</x:v>
      </x:c>
      <x:c r="J337" s="23" t="n">
        <x:f>G337-H337</x:f>
        <x:v>17.810000000000002</x:v>
      </x:c>
      <x:c r="K337" t="str">
        <x:v>HINDCAST</x:v>
      </x:c>
      <x:c r="L337" s="24" t="n">
        <x:v>17.4065</x:v>
      </x:c>
      <x:c r="M337" s="24" t="n">
        <x:v>78.4772</x:v>
      </x:c>
      <x:c r="N337" t="str">
        <x:f>IF(I337&gt;70,"70+ dB",IF(I337&gt;55,"56-70 dB","41-55 dB"))</x:f>
        <x:v>70+ dB</x:v>
      </x:c>
      <x:c r="O337" t="str">
        <x:f>IF(I337&gt;70,"High",IF(I337&gt;55,"Moderate","Low"))</x:f>
        <x:v>High</x:v>
      </x:c>
      <x:c r="P337" t="str">
        <x:f>IF(I337&gt;=70,"Yes","No")</x:f>
        <x:v>Yes</x:v>
      </x:c>
      <x:c r="Q337" t="str">
        <x:f>TEXT(B337,"yyyy-mm")</x:f>
        <x:v>2024-02</x:v>
      </x:c>
    </x:row>
    <x:row r="338">
      <x:c r="A338" t="str">
        <x:v>HYD02</x:v>
      </x:c>
      <x:c r="B338" s="22" t="n">
        <x:f>DATE(C338,D338,1)</x:f>
        <x:v>45352</x:v>
      </x:c>
      <x:c r="C338" t="n">
        <x:v>2024</x:v>
      </x:c>
      <x:c r="D338" t="n">
        <x:v>3</x:v>
      </x:c>
      <x:c r="E338" t="str">
        <x:f>TEXT(B338,"mmm")</x:f>
        <x:v>Mar</x:v>
      </x:c>
      <x:c r="F338" t="str">
        <x:f>"Q"&amp;ROUNDUP(D338/3,0)</x:f>
        <x:v>Q1</x:v>
      </x:c>
      <x:c r="G338" s="23" t="n">
        <x:v>120.57</x:v>
      </x:c>
      <x:c r="H338" s="23" t="n">
        <x:v>100.77</x:v>
      </x:c>
      <x:c r="I338" s="23" t="n">
        <x:v>110.7</x:v>
      </x:c>
      <x:c r="J338" s="23" t="n">
        <x:f>G338-H338</x:f>
        <x:v>19.799999999999997</x:v>
      </x:c>
      <x:c r="K338" t="str">
        <x:v>HINDCAST</x:v>
      </x:c>
      <x:c r="L338" s="24" t="n">
        <x:v>17.4065</x:v>
      </x:c>
      <x:c r="M338" s="24" t="n">
        <x:v>78.4772</x:v>
      </x:c>
      <x:c r="N338" t="str">
        <x:f>IF(I338&gt;70,"70+ dB",IF(I338&gt;55,"56-70 dB","41-55 dB"))</x:f>
        <x:v>70+ dB</x:v>
      </x:c>
      <x:c r="O338" t="str">
        <x:f>IF(I338&gt;70,"High",IF(I338&gt;55,"Moderate","Low"))</x:f>
        <x:v>High</x:v>
      </x:c>
      <x:c r="P338" t="str">
        <x:f>IF(I338&gt;=70,"Yes","No")</x:f>
        <x:v>Yes</x:v>
      </x:c>
      <x:c r="Q338" t="str">
        <x:f>TEXT(B338,"yyyy-mm")</x:f>
        <x:v>2024-03</x:v>
      </x:c>
    </x:row>
    <x:row r="339">
      <x:c r="A339" t="str">
        <x:v>HYD02</x:v>
      </x:c>
      <x:c r="B339" s="22" t="n">
        <x:f>DATE(C339,D339,1)</x:f>
        <x:v>45383</x:v>
      </x:c>
      <x:c r="C339" t="n">
        <x:v>2024</x:v>
      </x:c>
      <x:c r="D339" t="n">
        <x:v>4</x:v>
      </x:c>
      <x:c r="E339" t="str">
        <x:f>TEXT(B339,"mmm")</x:f>
        <x:v>Apr</x:v>
      </x:c>
      <x:c r="F339" t="str">
        <x:f>"Q"&amp;ROUNDUP(D339/3,0)</x:f>
        <x:v>Q2</x:v>
      </x:c>
      <x:c r="G339" s="23" t="n">
        <x:v>120.87</x:v>
      </x:c>
      <x:c r="H339" s="23" t="n">
        <x:v>100.39</x:v>
      </x:c>
      <x:c r="I339" s="23" t="n">
        <x:v>110.6</x:v>
      </x:c>
      <x:c r="J339" s="23" t="n">
        <x:f>G339-H339</x:f>
        <x:v>20.480000000000004</x:v>
      </x:c>
      <x:c r="K339" t="str">
        <x:v>HINDCAST</x:v>
      </x:c>
      <x:c r="L339" s="24" t="n">
        <x:v>17.4065</x:v>
      </x:c>
      <x:c r="M339" s="24" t="n">
        <x:v>78.4772</x:v>
      </x:c>
      <x:c r="N339" t="str">
        <x:f>IF(I339&gt;70,"70+ dB",IF(I339&gt;55,"56-70 dB","41-55 dB"))</x:f>
        <x:v>70+ dB</x:v>
      </x:c>
      <x:c r="O339" t="str">
        <x:f>IF(I339&gt;70,"High",IF(I339&gt;55,"Moderate","Low"))</x:f>
        <x:v>High</x:v>
      </x:c>
      <x:c r="P339" t="str">
        <x:f>IF(I339&gt;=70,"Yes","No")</x:f>
        <x:v>Yes</x:v>
      </x:c>
      <x:c r="Q339" t="str">
        <x:f>TEXT(B339,"yyyy-mm")</x:f>
        <x:v>2024-04</x:v>
      </x:c>
    </x:row>
    <x:row r="340">
      <x:c r="A340" t="str">
        <x:v>HYD02</x:v>
      </x:c>
      <x:c r="B340" s="22" t="n">
        <x:f>DATE(C340,D340,1)</x:f>
        <x:v>45413</x:v>
      </x:c>
      <x:c r="C340" t="n">
        <x:v>2024</x:v>
      </x:c>
      <x:c r="D340" t="n">
        <x:v>5</x:v>
      </x:c>
      <x:c r="E340" t="str">
        <x:f>TEXT(B340,"mmm")</x:f>
        <x:v>May</x:v>
      </x:c>
      <x:c r="F340" t="str">
        <x:f>"Q"&amp;ROUNDUP(D340/3,0)</x:f>
        <x:v>Q2</x:v>
      </x:c>
      <x:c r="G340" s="23" t="n">
        <x:v>121.57</x:v>
      </x:c>
      <x:c r="H340" s="23" t="n">
        <x:v>101.9</x:v>
      </x:c>
      <x:c r="I340" s="23" t="n">
        <x:v>111.7</x:v>
      </x:c>
      <x:c r="J340" s="23" t="n">
        <x:f>G340-H340</x:f>
        <x:v>19.669999999999987</x:v>
      </x:c>
      <x:c r="K340" t="str">
        <x:v>HINDCAST</x:v>
      </x:c>
      <x:c r="L340" s="24" t="n">
        <x:v>17.4065</x:v>
      </x:c>
      <x:c r="M340" s="24" t="n">
        <x:v>78.4772</x:v>
      </x:c>
      <x:c r="N340" t="str">
        <x:f>IF(I340&gt;70,"70+ dB",IF(I340&gt;55,"56-70 dB","41-55 dB"))</x:f>
        <x:v>70+ dB</x:v>
      </x:c>
      <x:c r="O340" t="str">
        <x:f>IF(I340&gt;70,"High",IF(I340&gt;55,"Moderate","Low"))</x:f>
        <x:v>High</x:v>
      </x:c>
      <x:c r="P340" t="str">
        <x:f>IF(I340&gt;=70,"Yes","No")</x:f>
        <x:v>Yes</x:v>
      </x:c>
      <x:c r="Q340" t="str">
        <x:f>TEXT(B340,"yyyy-mm")</x:f>
        <x:v>2024-05</x:v>
      </x:c>
    </x:row>
    <x:row r="341">
      <x:c r="A341" t="str">
        <x:v>HYD02</x:v>
      </x:c>
      <x:c r="B341" s="22" t="n">
        <x:f>DATE(C341,D341,1)</x:f>
        <x:v>45444</x:v>
      </x:c>
      <x:c r="C341" t="n">
        <x:v>2024</x:v>
      </x:c>
      <x:c r="D341" t="n">
        <x:v>6</x:v>
      </x:c>
      <x:c r="E341" t="str">
        <x:f>TEXT(B341,"mmm")</x:f>
        <x:v>Jun</x:v>
      </x:c>
      <x:c r="F341" t="str">
        <x:f>"Q"&amp;ROUNDUP(D341/3,0)</x:f>
        <x:v>Q2</x:v>
      </x:c>
      <x:c r="G341" s="23" t="n">
        <x:v>118.95</x:v>
      </x:c>
      <x:c r="H341" s="23" t="n">
        <x:v>91.99</x:v>
      </x:c>
      <x:c r="I341" s="23" t="n">
        <x:v>105.5</x:v>
      </x:c>
      <x:c r="J341" s="23" t="n">
        <x:f>G341-H341</x:f>
        <x:v>26.960000000000008</x:v>
      </x:c>
      <x:c r="K341" t="str">
        <x:v>HINDCAST</x:v>
      </x:c>
      <x:c r="L341" s="24" t="n">
        <x:v>17.4065</x:v>
      </x:c>
      <x:c r="M341" s="24" t="n">
        <x:v>78.4772</x:v>
      </x:c>
      <x:c r="N341" t="str">
        <x:f>IF(I341&gt;70,"70+ dB",IF(I341&gt;55,"56-70 dB","41-55 dB"))</x:f>
        <x:v>70+ dB</x:v>
      </x:c>
      <x:c r="O341" t="str">
        <x:f>IF(I341&gt;70,"High",IF(I341&gt;55,"Moderate","Low"))</x:f>
        <x:v>High</x:v>
      </x:c>
      <x:c r="P341" t="str">
        <x:f>IF(I341&gt;=70,"Yes","No")</x:f>
        <x:v>Yes</x:v>
      </x:c>
      <x:c r="Q341" t="str">
        <x:f>TEXT(B341,"yyyy-mm")</x:f>
        <x:v>2024-06</x:v>
      </x:c>
    </x:row>
    <x:row r="342">
      <x:c r="A342" t="str">
        <x:v>HYD02</x:v>
      </x:c>
      <x:c r="B342" s="22" t="n">
        <x:f>DATE(C342,D342,1)</x:f>
        <x:v>45474</x:v>
      </x:c>
      <x:c r="C342" t="n">
        <x:v>2024</x:v>
      </x:c>
      <x:c r="D342" t="n">
        <x:v>7</x:v>
      </x:c>
      <x:c r="E342" t="str">
        <x:f>TEXT(B342,"mmm")</x:f>
        <x:v>Jul</x:v>
      </x:c>
      <x:c r="F342" t="str">
        <x:f>"Q"&amp;ROUNDUP(D342/3,0)</x:f>
        <x:v>Q3</x:v>
      </x:c>
      <x:c r="G342" s="23" t="n">
        <x:v>115.73</x:v>
      </x:c>
      <x:c r="H342" s="23" t="n">
        <x:v>88.46</x:v>
      </x:c>
      <x:c r="I342" s="23" t="n">
        <x:v>102.1</x:v>
      </x:c>
      <x:c r="J342" s="23" t="n">
        <x:f>G342-H342</x:f>
        <x:v>27.27000000000001</x:v>
      </x:c>
      <x:c r="K342" t="str">
        <x:v>HINDCAST</x:v>
      </x:c>
      <x:c r="L342" s="24" t="n">
        <x:v>17.4065</x:v>
      </x:c>
      <x:c r="M342" s="24" t="n">
        <x:v>78.4772</x:v>
      </x:c>
      <x:c r="N342" t="str">
        <x:f>IF(I342&gt;70,"70+ dB",IF(I342&gt;55,"56-70 dB","41-55 dB"))</x:f>
        <x:v>70+ dB</x:v>
      </x:c>
      <x:c r="O342" t="str">
        <x:f>IF(I342&gt;70,"High",IF(I342&gt;55,"Moderate","Low"))</x:f>
        <x:v>High</x:v>
      </x:c>
      <x:c r="P342" t="str">
        <x:f>IF(I342&gt;=70,"Yes","No")</x:f>
        <x:v>Yes</x:v>
      </x:c>
      <x:c r="Q342" t="str">
        <x:f>TEXT(B342,"yyyy-mm")</x:f>
        <x:v>2024-07</x:v>
      </x:c>
    </x:row>
    <x:row r="343">
      <x:c r="A343" t="str">
        <x:v>HYD02</x:v>
      </x:c>
      <x:c r="B343" s="22" t="n">
        <x:f>DATE(C343,D343,1)</x:f>
        <x:v>45505</x:v>
      </x:c>
      <x:c r="C343" t="n">
        <x:v>2024</x:v>
      </x:c>
      <x:c r="D343" t="n">
        <x:v>8</x:v>
      </x:c>
      <x:c r="E343" t="str">
        <x:f>TEXT(B343,"mmm")</x:f>
        <x:v>Aug</x:v>
      </x:c>
      <x:c r="F343" t="str">
        <x:f>"Q"&amp;ROUNDUP(D343/3,0)</x:f>
        <x:v>Q3</x:v>
      </x:c>
      <x:c r="G343" s="23" t="n">
        <x:v>115.08</x:v>
      </x:c>
      <x:c r="H343" s="23" t="n">
        <x:v>86.83</x:v>
      </x:c>
      <x:c r="I343" s="23" t="n">
        <x:v>101</x:v>
      </x:c>
      <x:c r="J343" s="23" t="n">
        <x:f>G343-H343</x:f>
        <x:v>28.25</x:v>
      </x:c>
      <x:c r="K343" t="str">
        <x:v>HINDCAST</x:v>
      </x:c>
      <x:c r="L343" s="24" t="n">
        <x:v>17.4065</x:v>
      </x:c>
      <x:c r="M343" s="24" t="n">
        <x:v>78.4772</x:v>
      </x:c>
      <x:c r="N343" t="str">
        <x:f>IF(I343&gt;70,"70+ dB",IF(I343&gt;55,"56-70 dB","41-55 dB"))</x:f>
        <x:v>70+ dB</x:v>
      </x:c>
      <x:c r="O343" t="str">
        <x:f>IF(I343&gt;70,"High",IF(I343&gt;55,"Moderate","Low"))</x:f>
        <x:v>High</x:v>
      </x:c>
      <x:c r="P343" t="str">
        <x:f>IF(I343&gt;=70,"Yes","No")</x:f>
        <x:v>Yes</x:v>
      </x:c>
      <x:c r="Q343" t="str">
        <x:f>TEXT(B343,"yyyy-mm")</x:f>
        <x:v>2024-08</x:v>
      </x:c>
    </x:row>
    <x:row r="344">
      <x:c r="A344" t="str">
        <x:v>HYD02</x:v>
      </x:c>
      <x:c r="B344" s="22" t="n">
        <x:f>DATE(C344,D344,1)</x:f>
        <x:v>45536</x:v>
      </x:c>
      <x:c r="C344" t="n">
        <x:v>2024</x:v>
      </x:c>
      <x:c r="D344" t="n">
        <x:v>9</x:v>
      </x:c>
      <x:c r="E344" t="str">
        <x:f>TEXT(B344,"mmm")</x:f>
        <x:v>Sep</x:v>
      </x:c>
      <x:c r="F344" t="str">
        <x:f>"Q"&amp;ROUNDUP(D344/3,0)</x:f>
        <x:v>Q3</x:v>
      </x:c>
      <x:c r="G344" s="23" t="n">
        <x:v>119.1</x:v>
      </x:c>
      <x:c r="H344" s="23" t="n">
        <x:v>94.61</x:v>
      </x:c>
      <x:c r="I344" s="23" t="n">
        <x:v>106.9</x:v>
      </x:c>
      <x:c r="J344" s="23" t="n">
        <x:f>G344-H344</x:f>
        <x:v>24.489999999999995</x:v>
      </x:c>
      <x:c r="K344" t="str">
        <x:v>HINDCAST</x:v>
      </x:c>
      <x:c r="L344" s="24" t="n">
        <x:v>17.4065</x:v>
      </x:c>
      <x:c r="M344" s="24" t="n">
        <x:v>78.4772</x:v>
      </x:c>
      <x:c r="N344" t="str">
        <x:f>IF(I344&gt;70,"70+ dB",IF(I344&gt;55,"56-70 dB","41-55 dB"))</x:f>
        <x:v>70+ dB</x:v>
      </x:c>
      <x:c r="O344" t="str">
        <x:f>IF(I344&gt;70,"High",IF(I344&gt;55,"Moderate","Low"))</x:f>
        <x:v>High</x:v>
      </x:c>
      <x:c r="P344" t="str">
        <x:f>IF(I344&gt;=70,"Yes","No")</x:f>
        <x:v>Yes</x:v>
      </x:c>
      <x:c r="Q344" t="str">
        <x:f>TEXT(B344,"yyyy-mm")</x:f>
        <x:v>2024-09</x:v>
      </x:c>
    </x:row>
    <x:row r="345">
      <x:c r="A345" t="str">
        <x:v>HYD02</x:v>
      </x:c>
      <x:c r="B345" s="22" t="n">
        <x:f>DATE(C345,D345,1)</x:f>
        <x:v>45566</x:v>
      </x:c>
      <x:c r="C345" t="n">
        <x:v>2024</x:v>
      </x:c>
      <x:c r="D345" t="n">
        <x:v>10</x:v>
      </x:c>
      <x:c r="E345" t="str">
        <x:f>TEXT(B345,"mmm")</x:f>
        <x:v>Oct</x:v>
      </x:c>
      <x:c r="F345" t="str">
        <x:f>"Q"&amp;ROUNDUP(D345/3,0)</x:f>
        <x:v>Q4</x:v>
      </x:c>
      <x:c r="G345" s="23" t="n">
        <x:v>124.96</x:v>
      </x:c>
      <x:c r="H345" s="23" t="n">
        <x:v>106.93</x:v>
      </x:c>
      <x:c r="I345" s="23" t="n">
        <x:v>115.9</x:v>
      </x:c>
      <x:c r="J345" s="23" t="n">
        <x:f>G345-H345</x:f>
        <x:v>18.029999999999987</x:v>
      </x:c>
      <x:c r="K345" t="str">
        <x:v>HINDCAST</x:v>
      </x:c>
      <x:c r="L345" s="24" t="n">
        <x:v>17.4065</x:v>
      </x:c>
      <x:c r="M345" s="24" t="n">
        <x:v>78.4772</x:v>
      </x:c>
      <x:c r="N345" t="str">
        <x:f>IF(I345&gt;70,"70+ dB",IF(I345&gt;55,"56-70 dB","41-55 dB"))</x:f>
        <x:v>70+ dB</x:v>
      </x:c>
      <x:c r="O345" t="str">
        <x:f>IF(I345&gt;70,"High",IF(I345&gt;55,"Moderate","Low"))</x:f>
        <x:v>High</x:v>
      </x:c>
      <x:c r="P345" t="str">
        <x:f>IF(I345&gt;=70,"Yes","No")</x:f>
        <x:v>Yes</x:v>
      </x:c>
      <x:c r="Q345" t="str">
        <x:f>TEXT(B345,"yyyy-mm")</x:f>
        <x:v>2024-10</x:v>
      </x:c>
    </x:row>
    <x:row r="346">
      <x:c r="A346" t="str">
        <x:v>HYD02</x:v>
      </x:c>
      <x:c r="B346" s="22" t="n">
        <x:f>DATE(C346,D346,1)</x:f>
        <x:v>45597</x:v>
      </x:c>
      <x:c r="C346" t="n">
        <x:v>2024</x:v>
      </x:c>
      <x:c r="D346" t="n">
        <x:v>11</x:v>
      </x:c>
      <x:c r="E346" t="str">
        <x:f>TEXT(B346,"mmm")</x:f>
        <x:v>Nov</x:v>
      </x:c>
      <x:c r="F346" t="str">
        <x:f>"Q"&amp;ROUNDUP(D346/3,0)</x:f>
        <x:v>Q4</x:v>
      </x:c>
      <x:c r="G346" s="23" t="n">
        <x:v>127.28</x:v>
      </x:c>
      <x:c r="H346" s="23" t="n">
        <x:v>111.08</x:v>
      </x:c>
      <x:c r="I346" s="23" t="n">
        <x:v>119.2</x:v>
      </x:c>
      <x:c r="J346" s="23" t="n">
        <x:f>G346-H346</x:f>
        <x:v>16.200000000000003</x:v>
      </x:c>
      <x:c r="K346" t="str">
        <x:v>HINDCAST</x:v>
      </x:c>
      <x:c r="L346" s="24" t="n">
        <x:v>17.4065</x:v>
      </x:c>
      <x:c r="M346" s="24" t="n">
        <x:v>78.4772</x:v>
      </x:c>
      <x:c r="N346" t="str">
        <x:f>IF(I346&gt;70,"70+ dB",IF(I346&gt;55,"56-70 dB","41-55 dB"))</x:f>
        <x:v>70+ dB</x:v>
      </x:c>
      <x:c r="O346" t="str">
        <x:f>IF(I346&gt;70,"High",IF(I346&gt;55,"Moderate","Low"))</x:f>
        <x:v>High</x:v>
      </x:c>
      <x:c r="P346" t="str">
        <x:f>IF(I346&gt;=70,"Yes","No")</x:f>
        <x:v>Yes</x:v>
      </x:c>
      <x:c r="Q346" t="str">
        <x:f>TEXT(B346,"yyyy-mm")</x:f>
        <x:v>2024-11</x:v>
      </x:c>
    </x:row>
    <x:row r="347">
      <x:c r="A347" t="str">
        <x:v>HYD02</x:v>
      </x:c>
      <x:c r="B347" s="22" t="n">
        <x:f>DATE(C347,D347,1)</x:f>
        <x:v>45627</x:v>
      </x:c>
      <x:c r="C347" t="n">
        <x:v>2024</x:v>
      </x:c>
      <x:c r="D347" t="n">
        <x:v>12</x:v>
      </x:c>
      <x:c r="E347" t="str">
        <x:f>TEXT(B347,"mmm")</x:f>
        <x:v>Dec</x:v>
      </x:c>
      <x:c r="F347" t="str">
        <x:f>"Q"&amp;ROUNDUP(D347/3,0)</x:f>
        <x:v>Q4</x:v>
      </x:c>
      <x:c r="G347" s="23" t="n">
        <x:v>126.75</x:v>
      </x:c>
      <x:c r="H347" s="23" t="n">
        <x:v>105.81</x:v>
      </x:c>
      <x:c r="I347" s="23" t="n">
        <x:v>116.3</x:v>
      </x:c>
      <x:c r="J347" s="23" t="n">
        <x:f>G347-H347</x:f>
        <x:v>20.939999999999998</x:v>
      </x:c>
      <x:c r="K347" t="str">
        <x:v>HINDCAST</x:v>
      </x:c>
      <x:c r="L347" s="24" t="n">
        <x:v>17.4065</x:v>
      </x:c>
      <x:c r="M347" s="24" t="n">
        <x:v>78.4772</x:v>
      </x:c>
      <x:c r="N347" t="str">
        <x:f>IF(I347&gt;70,"70+ dB",IF(I347&gt;55,"56-70 dB","41-55 dB"))</x:f>
        <x:v>70+ dB</x:v>
      </x:c>
      <x:c r="O347" t="str">
        <x:f>IF(I347&gt;70,"High",IF(I347&gt;55,"Moderate","Low"))</x:f>
        <x:v>High</x:v>
      </x:c>
      <x:c r="P347" t="str">
        <x:f>IF(I347&gt;=70,"Yes","No")</x:f>
        <x:v>Yes</x:v>
      </x:c>
      <x:c r="Q347" t="str">
        <x:f>TEXT(B347,"yyyy-mm")</x:f>
        <x:v>2024-12</x:v>
      </x:c>
    </x:row>
    <x:row r="348">
      <x:c r="A348" t="str">
        <x:v>HYD02</x:v>
      </x:c>
      <x:c r="B348" s="22" t="n">
        <x:f>DATE(C348,D348,1)</x:f>
        <x:v>45658</x:v>
      </x:c>
      <x:c r="C348" t="n">
        <x:v>2025</x:v>
      </x:c>
      <x:c r="D348" t="n">
        <x:v>1</x:v>
      </x:c>
      <x:c r="E348" t="str">
        <x:f>TEXT(B348,"mmm")</x:f>
        <x:v>Jan</x:v>
      </x:c>
      <x:c r="F348" t="str">
        <x:f>"Q"&amp;ROUNDUP(D348/3,0)</x:f>
        <x:v>Q1</x:v>
      </x:c>
      <x:c r="G348" s="23" t="n">
        <x:v>130.06</x:v>
      </x:c>
      <x:c r="H348" s="23" t="n">
        <x:v>112.44</x:v>
      </x:c>
      <x:c r="I348" s="23" t="n">
        <x:v>121.2</x:v>
      </x:c>
      <x:c r="J348" s="23" t="n">
        <x:f>G348-H348</x:f>
        <x:v>17.620000000000005</x:v>
      </x:c>
      <x:c r="K348" t="str">
        <x:v>HINDCAST</x:v>
      </x:c>
      <x:c r="L348" s="24" t="n">
        <x:v>17.4065</x:v>
      </x:c>
      <x:c r="M348" s="24" t="n">
        <x:v>78.4772</x:v>
      </x:c>
      <x:c r="N348" t="str">
        <x:f>IF(I348&gt;70,"70+ dB",IF(I348&gt;55,"56-70 dB","41-55 dB"))</x:f>
        <x:v>70+ dB</x:v>
      </x:c>
      <x:c r="O348" t="str">
        <x:f>IF(I348&gt;70,"High",IF(I348&gt;55,"Moderate","Low"))</x:f>
        <x:v>High</x:v>
      </x:c>
      <x:c r="P348" t="str">
        <x:f>IF(I348&gt;=70,"Yes","No")</x:f>
        <x:v>Yes</x:v>
      </x:c>
      <x:c r="Q348" t="str">
        <x:f>TEXT(B348,"yyyy-mm")</x:f>
        <x:v>2025-01</x:v>
      </x:c>
    </x:row>
    <x:row r="349">
      <x:c r="A349" t="str">
        <x:v>HYD02</x:v>
      </x:c>
      <x:c r="B349" s="22" t="n">
        <x:f>DATE(C349,D349,1)</x:f>
        <x:v>45689</x:v>
      </x:c>
      <x:c r="C349" t="n">
        <x:v>2025</x:v>
      </x:c>
      <x:c r="D349" t="n">
        <x:v>2</x:v>
      </x:c>
      <x:c r="E349" t="str">
        <x:f>TEXT(B349,"mmm")</x:f>
        <x:v>Feb</x:v>
      </x:c>
      <x:c r="F349" t="str">
        <x:f>"Q"&amp;ROUNDUP(D349/3,0)</x:f>
        <x:v>Q1</x:v>
      </x:c>
      <x:c r="G349" s="23" t="n">
        <x:v>130.07</x:v>
      </x:c>
      <x:c r="H349" s="23" t="n">
        <x:v>110.01</x:v>
      </x:c>
      <x:c r="I349" s="23" t="n">
        <x:v>120</x:v>
      </x:c>
      <x:c r="J349" s="23" t="n">
        <x:f>G349-H349</x:f>
        <x:v>20.059999999999988</x:v>
      </x:c>
      <x:c r="K349" t="str">
        <x:v>HINDCAST</x:v>
      </x:c>
      <x:c r="L349" s="24" t="n">
        <x:v>17.4065</x:v>
      </x:c>
      <x:c r="M349" s="24" t="n">
        <x:v>78.4772</x:v>
      </x:c>
      <x:c r="N349" t="str">
        <x:f>IF(I349&gt;70,"70+ dB",IF(I349&gt;55,"56-70 dB","41-55 dB"))</x:f>
        <x:v>70+ dB</x:v>
      </x:c>
      <x:c r="O349" t="str">
        <x:f>IF(I349&gt;70,"High",IF(I349&gt;55,"Moderate","Low"))</x:f>
        <x:v>High</x:v>
      </x:c>
      <x:c r="P349" t="str">
        <x:f>IF(I349&gt;=70,"Yes","No")</x:f>
        <x:v>Yes</x:v>
      </x:c>
      <x:c r="Q349" t="str">
        <x:f>TEXT(B349,"yyyy-mm")</x:f>
        <x:v>2025-02</x:v>
      </x:c>
    </x:row>
    <x:row r="350">
      <x:c r="A350" t="str">
        <x:v>HYD02</x:v>
      </x:c>
      <x:c r="B350" s="22" t="n">
        <x:f>DATE(C350,D350,1)</x:f>
        <x:v>45717</x:v>
      </x:c>
      <x:c r="C350" t="n">
        <x:v>2025</x:v>
      </x:c>
      <x:c r="D350" t="n">
        <x:v>3</x:v>
      </x:c>
      <x:c r="E350" t="str">
        <x:f>TEXT(B350,"mmm")</x:f>
        <x:v>Mar</x:v>
      </x:c>
      <x:c r="F350" t="str">
        <x:f>"Q"&amp;ROUNDUP(D350/3,0)</x:f>
        <x:v>Q1</x:v>
      </x:c>
      <x:c r="G350" s="23" t="n">
        <x:v>128.7</x:v>
      </x:c>
      <x:c r="H350" s="23" t="n">
        <x:v>106.58</x:v>
      </x:c>
      <x:c r="I350" s="23" t="n">
        <x:v>117.6</x:v>
      </x:c>
      <x:c r="J350" s="23" t="n">
        <x:f>G350-H350</x:f>
        <x:v>22.11999999999999</x:v>
      </x:c>
      <x:c r="K350" t="str">
        <x:v>HINDCAST</x:v>
      </x:c>
      <x:c r="L350" s="24" t="n">
        <x:v>17.4065</x:v>
      </x:c>
      <x:c r="M350" s="24" t="n">
        <x:v>78.4772</x:v>
      </x:c>
      <x:c r="N350" t="str">
        <x:f>IF(I350&gt;70,"70+ dB",IF(I350&gt;55,"56-70 dB","41-55 dB"))</x:f>
        <x:v>70+ dB</x:v>
      </x:c>
      <x:c r="O350" t="str">
        <x:f>IF(I350&gt;70,"High",IF(I350&gt;55,"Moderate","Low"))</x:f>
        <x:v>High</x:v>
      </x:c>
      <x:c r="P350" t="str">
        <x:f>IF(I350&gt;=70,"Yes","No")</x:f>
        <x:v>Yes</x:v>
      </x:c>
      <x:c r="Q350" t="str">
        <x:f>TEXT(B350,"yyyy-mm")</x:f>
        <x:v>2025-03</x:v>
      </x:c>
    </x:row>
    <x:row r="351">
      <x:c r="A351" t="str">
        <x:v>HYD02</x:v>
      </x:c>
      <x:c r="B351" s="22" t="n">
        <x:f>DATE(C351,D351,1)</x:f>
        <x:v>45748</x:v>
      </x:c>
      <x:c r="C351" t="n">
        <x:v>2025</x:v>
      </x:c>
      <x:c r="D351" t="n">
        <x:v>4</x:v>
      </x:c>
      <x:c r="E351" t="str">
        <x:f>TEXT(B351,"mmm")</x:f>
        <x:v>Apr</x:v>
      </x:c>
      <x:c r="F351" t="str">
        <x:f>"Q"&amp;ROUNDUP(D351/3,0)</x:f>
        <x:v>Q2</x:v>
      </x:c>
      <x:c r="G351" s="23" t="n">
        <x:v>128.99</x:v>
      </x:c>
      <x:c r="H351" s="23" t="n">
        <x:v>106.24</x:v>
      </x:c>
      <x:c r="I351" s="23" t="n">
        <x:v>117.6</x:v>
      </x:c>
      <x:c r="J351" s="23" t="n">
        <x:f>G351-H351</x:f>
        <x:v>22.750000000000014</x:v>
      </x:c>
      <x:c r="K351" t="str">
        <x:v>HINDCAST</x:v>
      </x:c>
      <x:c r="L351" s="24" t="n">
        <x:v>17.4065</x:v>
      </x:c>
      <x:c r="M351" s="24" t="n">
        <x:v>78.4772</x:v>
      </x:c>
      <x:c r="N351" t="str">
        <x:f>IF(I351&gt;70,"70+ dB",IF(I351&gt;55,"56-70 dB","41-55 dB"))</x:f>
        <x:v>70+ dB</x:v>
      </x:c>
      <x:c r="O351" t="str">
        <x:f>IF(I351&gt;70,"High",IF(I351&gt;55,"Moderate","Low"))</x:f>
        <x:v>High</x:v>
      </x:c>
      <x:c r="P351" t="str">
        <x:f>IF(I351&gt;=70,"Yes","No")</x:f>
        <x:v>Yes</x:v>
      </x:c>
      <x:c r="Q351" t="str">
        <x:f>TEXT(B351,"yyyy-mm")</x:f>
        <x:v>2025-04</x:v>
      </x:c>
    </x:row>
    <x:row r="352">
      <x:c r="A352" t="str">
        <x:v>HYD02</x:v>
      </x:c>
      <x:c r="B352" s="22" t="n">
        <x:f>DATE(C352,D352,1)</x:f>
        <x:v>45778</x:v>
      </x:c>
      <x:c r="C352" t="n">
        <x:v>2025</x:v>
      </x:c>
      <x:c r="D352" t="n">
        <x:v>5</x:v>
      </x:c>
      <x:c r="E352" t="str">
        <x:f>TEXT(B352,"mmm")</x:f>
        <x:v>May</x:v>
      </x:c>
      <x:c r="F352" t="str">
        <x:f>"Q"&amp;ROUNDUP(D352/3,0)</x:f>
        <x:v>Q2</x:v>
      </x:c>
      <x:c r="G352" s="23" t="n">
        <x:v>129.69</x:v>
      </x:c>
      <x:c r="H352" s="23" t="n">
        <x:v>107.61</x:v>
      </x:c>
      <x:c r="I352" s="23" t="n">
        <x:v>118.6</x:v>
      </x:c>
      <x:c r="J352" s="23" t="n">
        <x:f>G352-H352</x:f>
        <x:v>22.08</x:v>
      </x:c>
      <x:c r="K352" t="str">
        <x:v>HINDCAST</x:v>
      </x:c>
      <x:c r="L352" s="24" t="n">
        <x:v>17.4065</x:v>
      </x:c>
      <x:c r="M352" s="24" t="n">
        <x:v>78.4772</x:v>
      </x:c>
      <x:c r="N352" t="str">
        <x:f>IF(I352&gt;70,"70+ dB",IF(I352&gt;55,"56-70 dB","41-55 dB"))</x:f>
        <x:v>70+ dB</x:v>
      </x:c>
      <x:c r="O352" t="str">
        <x:f>IF(I352&gt;70,"High",IF(I352&gt;55,"Moderate","Low"))</x:f>
        <x:v>High</x:v>
      </x:c>
      <x:c r="P352" t="str">
        <x:f>IF(I352&gt;=70,"Yes","No")</x:f>
        <x:v>Yes</x:v>
      </x:c>
      <x:c r="Q352" t="str">
        <x:f>TEXT(B352,"yyyy-mm")</x:f>
        <x:v>2025-05</x:v>
      </x:c>
    </x:row>
    <x:row r="353">
      <x:c r="A353" t="str">
        <x:v>HYD02</x:v>
      </x:c>
      <x:c r="B353" s="22" t="n">
        <x:f>DATE(C353,D353,1)</x:f>
        <x:v>45809</x:v>
      </x:c>
      <x:c r="C353" t="n">
        <x:v>2025</x:v>
      </x:c>
      <x:c r="D353" t="n">
        <x:v>6</x:v>
      </x:c>
      <x:c r="E353" t="str">
        <x:f>TEXT(B353,"mmm")</x:f>
        <x:v>Jun</x:v>
      </x:c>
      <x:c r="F353" t="str">
        <x:f>"Q"&amp;ROUNDUP(D353/3,0)</x:f>
        <x:v>Q2</x:v>
      </x:c>
      <x:c r="G353" s="23" t="n">
        <x:v>127.13</x:v>
      </x:c>
      <x:c r="H353" s="23" t="n">
        <x:v>98.49</x:v>
      </x:c>
      <x:c r="I353" s="23" t="n">
        <x:v>112.8</x:v>
      </x:c>
      <x:c r="J353" s="23" t="n">
        <x:f>G353-H353</x:f>
        <x:v>28.64</x:v>
      </x:c>
      <x:c r="K353" t="str">
        <x:v>HINDCAST</x:v>
      </x:c>
      <x:c r="L353" s="24" t="n">
        <x:v>17.4065</x:v>
      </x:c>
      <x:c r="M353" s="24" t="n">
        <x:v>78.4772</x:v>
      </x:c>
      <x:c r="N353" t="str">
        <x:f>IF(I353&gt;70,"70+ dB",IF(I353&gt;55,"56-70 dB","41-55 dB"))</x:f>
        <x:v>70+ dB</x:v>
      </x:c>
      <x:c r="O353" t="str">
        <x:f>IF(I353&gt;70,"High",IF(I353&gt;55,"Moderate","Low"))</x:f>
        <x:v>High</x:v>
      </x:c>
      <x:c r="P353" t="str">
        <x:f>IF(I353&gt;=70,"Yes","No")</x:f>
        <x:v>Yes</x:v>
      </x:c>
      <x:c r="Q353" t="str">
        <x:f>TEXT(B353,"yyyy-mm")</x:f>
        <x:v>2025-06</x:v>
      </x:c>
    </x:row>
    <x:row r="354">
      <x:c r="A354" t="str">
        <x:v>HYD02</x:v>
      </x:c>
      <x:c r="B354" s="22" t="n">
        <x:f>DATE(C354,D354,1)</x:f>
        <x:v>45839</x:v>
      </x:c>
      <x:c r="C354" t="n">
        <x:v>2025</x:v>
      </x:c>
      <x:c r="D354" t="n">
        <x:v>7</x:v>
      </x:c>
      <x:c r="E354" t="str">
        <x:f>TEXT(B354,"mmm")</x:f>
        <x:v>Jul</x:v>
      </x:c>
      <x:c r="F354" t="str">
        <x:f>"Q"&amp;ROUNDUP(D354/3,0)</x:f>
        <x:v>Q3</x:v>
      </x:c>
      <x:c r="G354" s="23" t="n">
        <x:v>123.96</x:v>
      </x:c>
      <x:c r="H354" s="23" t="n">
        <x:v>95</x:v>
      </x:c>
      <x:c r="I354" s="23" t="n">
        <x:v>109.5</x:v>
      </x:c>
      <x:c r="J354" s="23" t="n">
        <x:f>G354-H354</x:f>
        <x:v>28.959999999999994</x:v>
      </x:c>
      <x:c r="K354" t="str">
        <x:v>HINDCAST</x:v>
      </x:c>
      <x:c r="L354" s="24" t="n">
        <x:v>17.4065</x:v>
      </x:c>
      <x:c r="M354" s="24" t="n">
        <x:v>78.4772</x:v>
      </x:c>
      <x:c r="N354" t="str">
        <x:f>IF(I354&gt;70,"70+ dB",IF(I354&gt;55,"56-70 dB","41-55 dB"))</x:f>
        <x:v>70+ dB</x:v>
      </x:c>
      <x:c r="O354" t="str">
        <x:f>IF(I354&gt;70,"High",IF(I354&gt;55,"Moderate","Low"))</x:f>
        <x:v>High</x:v>
      </x:c>
      <x:c r="P354" t="str">
        <x:f>IF(I354&gt;=70,"Yes","No")</x:f>
        <x:v>Yes</x:v>
      </x:c>
      <x:c r="Q354" t="str">
        <x:f>TEXT(B354,"yyyy-mm")</x:f>
        <x:v>2025-07</x:v>
      </x:c>
    </x:row>
    <x:row r="355">
      <x:c r="A355" t="str">
        <x:v>HYD02</x:v>
      </x:c>
      <x:c r="B355" s="22" t="n">
        <x:f>DATE(C355,D355,1)</x:f>
        <x:v>45870</x:v>
      </x:c>
      <x:c r="C355" t="n">
        <x:v>2025</x:v>
      </x:c>
      <x:c r="D355" t="n">
        <x:v>8</x:v>
      </x:c>
      <x:c r="E355" t="str">
        <x:f>TEXT(B355,"mmm")</x:f>
        <x:v>Aug</x:v>
      </x:c>
      <x:c r="F355" t="str">
        <x:f>"Q"&amp;ROUNDUP(D355/3,0)</x:f>
        <x:v>Q3</x:v>
      </x:c>
      <x:c r="G355" s="23" t="n">
        <x:v>123.32</x:v>
      </x:c>
      <x:c r="H355" s="23" t="n">
        <x:v>93.4</x:v>
      </x:c>
      <x:c r="I355" s="23" t="n">
        <x:v>108.4</x:v>
      </x:c>
      <x:c r="J355" s="23" t="n">
        <x:f>G355-H355</x:f>
        <x:v>29.919999999999987</x:v>
      </x:c>
      <x:c r="K355" t="str">
        <x:v>HINDCAST</x:v>
      </x:c>
      <x:c r="L355" s="24" t="n">
        <x:v>17.4065</x:v>
      </x:c>
      <x:c r="M355" s="24" t="n">
        <x:v>78.4772</x:v>
      </x:c>
      <x:c r="N355" t="str">
        <x:f>IF(I355&gt;70,"70+ dB",IF(I355&gt;55,"56-70 dB","41-55 dB"))</x:f>
        <x:v>70+ dB</x:v>
      </x:c>
      <x:c r="O355" t="str">
        <x:f>IF(I355&gt;70,"High",IF(I355&gt;55,"Moderate","Low"))</x:f>
        <x:v>High</x:v>
      </x:c>
      <x:c r="P355" t="str">
        <x:f>IF(I355&gt;=70,"Yes","No")</x:f>
        <x:v>Yes</x:v>
      </x:c>
      <x:c r="Q355" t="str">
        <x:f>TEXT(B355,"yyyy-mm")</x:f>
        <x:v>2025-08</x:v>
      </x:c>
    </x:row>
    <x:row r="356">
      <x:c r="A356" t="str">
        <x:v>HYD02</x:v>
      </x:c>
      <x:c r="B356" s="22" t="n">
        <x:f>DATE(C356,D356,1)</x:f>
        <x:v>45901</x:v>
      </x:c>
      <x:c r="C356" t="n">
        <x:v>2025</x:v>
      </x:c>
      <x:c r="D356" t="n">
        <x:v>9</x:v>
      </x:c>
      <x:c r="E356" t="str">
        <x:f>TEXT(B356,"mmm")</x:f>
        <x:v>Sep</x:v>
      </x:c>
      <x:c r="F356" t="str">
        <x:f>"Q"&amp;ROUNDUP(D356/3,0)</x:f>
        <x:v>Q3</x:v>
      </x:c>
      <x:c r="G356" s="23" t="n">
        <x:v>127.32</x:v>
      </x:c>
      <x:c r="H356" s="23" t="n">
        <x:v>100.89</x:v>
      </x:c>
      <x:c r="I356" s="23" t="n">
        <x:v>114.1</x:v>
      </x:c>
      <x:c r="J356" s="23" t="n">
        <x:f>G356-H356</x:f>
        <x:v>26.429999999999993</x:v>
      </x:c>
      <x:c r="K356" t="str">
        <x:v>HINDCAST</x:v>
      </x:c>
      <x:c r="L356" s="24" t="n">
        <x:v>17.4065</x:v>
      </x:c>
      <x:c r="M356" s="24" t="n">
        <x:v>78.4772</x:v>
      </x:c>
      <x:c r="N356" t="str">
        <x:f>IF(I356&gt;70,"70+ dB",IF(I356&gt;55,"56-70 dB","41-55 dB"))</x:f>
        <x:v>70+ dB</x:v>
      </x:c>
      <x:c r="O356" t="str">
        <x:f>IF(I356&gt;70,"High",IF(I356&gt;55,"Moderate","Low"))</x:f>
        <x:v>High</x:v>
      </x:c>
      <x:c r="P356" t="str">
        <x:f>IF(I356&gt;=70,"Yes","No")</x:f>
        <x:v>Yes</x:v>
      </x:c>
      <x:c r="Q356" t="str">
        <x:f>TEXT(B356,"yyyy-mm")</x:f>
        <x:v>2025-09</x:v>
      </x:c>
    </x:row>
    <x:row r="357">
      <x:c r="A357" t="str">
        <x:v>HYD02</x:v>
      </x:c>
      <x:c r="B357" s="22" t="n">
        <x:f>DATE(C357,D357,1)</x:f>
        <x:v>45931</x:v>
      </x:c>
      <x:c r="C357" t="n">
        <x:v>2025</x:v>
      </x:c>
      <x:c r="D357" t="n">
        <x:v>10</x:v>
      </x:c>
      <x:c r="E357" t="str">
        <x:f>TEXT(B357,"mmm")</x:f>
        <x:v>Oct</x:v>
      </x:c>
      <x:c r="F357" t="str">
        <x:f>"Q"&amp;ROUNDUP(D357/3,0)</x:f>
        <x:v>Q4</x:v>
      </x:c>
      <x:c r="G357" s="23" t="n">
        <x:v>133.03</x:v>
      </x:c>
      <x:c r="H357" s="23" t="n">
        <x:v>112.27</x:v>
      </x:c>
      <x:c r="I357" s="23" t="n">
        <x:v>122.6</x:v>
      </x:c>
      <x:c r="J357" s="23" t="n">
        <x:f>G357-H357</x:f>
        <x:v>20.760000000000005</x:v>
      </x:c>
      <x:c r="K357" t="str">
        <x:v>HINDCAST</x:v>
      </x:c>
      <x:c r="L357" s="24" t="n">
        <x:v>17.4065</x:v>
      </x:c>
      <x:c r="M357" s="24" t="n">
        <x:v>78.4772</x:v>
      </x:c>
      <x:c r="N357" t="str">
        <x:f>IF(I357&gt;70,"70+ dB",IF(I357&gt;55,"56-70 dB","41-55 dB"))</x:f>
        <x:v>70+ dB</x:v>
      </x:c>
      <x:c r="O357" t="str">
        <x:f>IF(I357&gt;70,"High",IF(I357&gt;55,"Moderate","Low"))</x:f>
        <x:v>High</x:v>
      </x:c>
      <x:c r="P357" t="str">
        <x:f>IF(I357&gt;=70,"Yes","No")</x:f>
        <x:v>Yes</x:v>
      </x:c>
      <x:c r="Q357" t="str">
        <x:f>TEXT(B357,"yyyy-mm")</x:f>
        <x:v>2025-10</x:v>
      </x:c>
    </x:row>
    <x:row r="358">
      <x:c r="A358" t="str">
        <x:v>HYD02</x:v>
      </x:c>
      <x:c r="B358" s="22" t="n">
        <x:f>DATE(C358,D358,1)</x:f>
        <x:v>45962</x:v>
      </x:c>
      <x:c r="C358" t="n">
        <x:v>2025</x:v>
      </x:c>
      <x:c r="D358" t="n">
        <x:v>11</x:v>
      </x:c>
      <x:c r="E358" t="str">
        <x:f>TEXT(B358,"mmm")</x:f>
        <x:v>Nov</x:v>
      </x:c>
      <x:c r="F358" t="str">
        <x:f>"Q"&amp;ROUNDUP(D358/3,0)</x:f>
        <x:v>Q4</x:v>
      </x:c>
      <x:c r="G358" s="23" t="n">
        <x:v>135.31</x:v>
      </x:c>
      <x:c r="H358" s="23" t="n">
        <x:v>116.18</x:v>
      </x:c>
      <x:c r="I358" s="23" t="n">
        <x:v>125.7</x:v>
      </x:c>
      <x:c r="J358" s="23" t="n">
        <x:f>G358-H358</x:f>
        <x:v>19.129999999999995</x:v>
      </x:c>
      <x:c r="K358" t="str">
        <x:v>HINDCAST</x:v>
      </x:c>
      <x:c r="L358" s="24" t="n">
        <x:v>17.4065</x:v>
      </x:c>
      <x:c r="M358" s="24" t="n">
        <x:v>78.4772</x:v>
      </x:c>
      <x:c r="N358" t="str">
        <x:f>IF(I358&gt;70,"70+ dB",IF(I358&gt;55,"56-70 dB","41-55 dB"))</x:f>
        <x:v>70+ dB</x:v>
      </x:c>
      <x:c r="O358" t="str">
        <x:f>IF(I358&gt;70,"High",IF(I358&gt;55,"Moderate","Low"))</x:f>
        <x:v>High</x:v>
      </x:c>
      <x:c r="P358" t="str">
        <x:f>IF(I358&gt;=70,"Yes","No")</x:f>
        <x:v>Yes</x:v>
      </x:c>
      <x:c r="Q358" t="str">
        <x:f>TEXT(B358,"yyyy-mm")</x:f>
        <x:v>2025-11</x:v>
      </x:c>
    </x:row>
    <x:row r="359">
      <x:c r="A359" t="str">
        <x:v>HYD02</x:v>
      </x:c>
      <x:c r="B359" s="22" t="n">
        <x:f>DATE(C359,D359,1)</x:f>
        <x:v>45992</x:v>
      </x:c>
      <x:c r="C359" t="n">
        <x:v>2025</x:v>
      </x:c>
      <x:c r="D359" t="n">
        <x:v>12</x:v>
      </x:c>
      <x:c r="E359" t="str">
        <x:f>TEXT(B359,"mmm")</x:f>
        <x:v>Dec</x:v>
      </x:c>
      <x:c r="F359" t="str">
        <x:f>"Q"&amp;ROUNDUP(D359/3,0)</x:f>
        <x:v>Q4</x:v>
      </x:c>
      <x:c r="G359" s="23" t="n">
        <x:v>134.79</x:v>
      </x:c>
      <x:c r="H359" s="23" t="n">
        <x:v>111.23</x:v>
      </x:c>
      <x:c r="I359" s="23" t="n">
        <x:v>123</x:v>
      </x:c>
      <x:c r="J359" s="23" t="n">
        <x:f>G359-H359</x:f>
        <x:v>23.559999999999988</x:v>
      </x:c>
      <x:c r="K359" t="str">
        <x:v>HINDCAST</x:v>
      </x:c>
      <x:c r="L359" s="24" t="n">
        <x:v>17.4065</x:v>
      </x:c>
      <x:c r="M359" s="24" t="n">
        <x:v>78.4772</x:v>
      </x:c>
      <x:c r="N359" t="str">
        <x:f>IF(I359&gt;70,"70+ dB",IF(I359&gt;55,"56-70 dB","41-55 dB"))</x:f>
        <x:v>70+ dB</x:v>
      </x:c>
      <x:c r="O359" t="str">
        <x:f>IF(I359&gt;70,"High",IF(I359&gt;55,"Moderate","Low"))</x:f>
        <x:v>High</x:v>
      </x:c>
      <x:c r="P359" t="str">
        <x:f>IF(I359&gt;=70,"Yes","No")</x:f>
        <x:v>Yes</x:v>
      </x:c>
      <x:c r="Q359" t="str">
        <x:f>TEXT(B359,"yyyy-mm")</x:f>
        <x:v>2025-12</x:v>
      </x:c>
    </x:row>
    <x:row r="360">
      <x:c r="A360" t="str">
        <x:v>HYD03</x:v>
      </x:c>
      <x:c r="B360" s="22" t="n">
        <x:f>DATE(C360,D360,1)</x:f>
        <x:v>40575</x:v>
      </x:c>
      <x:c r="C360" t="n">
        <x:v>2011</x:v>
      </x:c>
      <x:c r="D360" t="n">
        <x:v>2</x:v>
      </x:c>
      <x:c r="E360" t="str">
        <x:f>TEXT(B360,"mmm")</x:f>
        <x:v>Feb</x:v>
      </x:c>
      <x:c r="F360" t="str">
        <x:f>"Q"&amp;ROUNDUP(D360/3,0)</x:f>
        <x:v>Q1</x:v>
      </x:c>
      <x:c r="G360" s="23" t="n">
        <x:v>57</x:v>
      </x:c>
      <x:c r="H360" s="23" t="n">
        <x:v>49</x:v>
      </x:c>
      <x:c r="I360" s="23" t="n">
        <x:v>53</x:v>
      </x:c>
      <x:c r="J360" s="23" t="n">
        <x:f>G360-H360</x:f>
        <x:v>8</x:v>
      </x:c>
      <x:c r="K360" t="str">
        <x:v>OBSERVED</x:v>
      </x:c>
      <x:c r="L360" s="24" t="n">
        <x:v>17.4948</x:v>
      </x:c>
      <x:c r="M360" s="24" t="n">
        <x:v>78.3927</x:v>
      </x:c>
      <x:c r="N360" t="str">
        <x:f>IF(I360&gt;70,"70+ dB",IF(I360&gt;55,"56-70 dB","41-55 dB"))</x:f>
        <x:v>41-55 dB</x:v>
      </x:c>
      <x:c r="O360" t="str">
        <x:f>IF(I360&gt;70,"High",IF(I360&gt;55,"Moderate","Low"))</x:f>
        <x:v>Low</x:v>
      </x:c>
      <x:c r="P360" t="str">
        <x:f>IF(I360&gt;=70,"Yes","No")</x:f>
        <x:v>No</x:v>
      </x:c>
      <x:c r="Q360" t="str">
        <x:f>TEXT(B360,"yyyy-mm")</x:f>
        <x:v>2011-02</x:v>
      </x:c>
    </x:row>
    <x:row r="361">
      <x:c r="A361" t="str">
        <x:v>HYD03</x:v>
      </x:c>
      <x:c r="B361" s="22" t="n">
        <x:f>DATE(C361,D361,1)</x:f>
        <x:v>40603</x:v>
      </x:c>
      <x:c r="C361" t="n">
        <x:v>2011</x:v>
      </x:c>
      <x:c r="D361" t="n">
        <x:v>3</x:v>
      </x:c>
      <x:c r="E361" t="str">
        <x:f>TEXT(B361,"mmm")</x:f>
        <x:v>Mar</x:v>
      </x:c>
      <x:c r="F361" t="str">
        <x:f>"Q"&amp;ROUNDUP(D361/3,0)</x:f>
        <x:v>Q1</x:v>
      </x:c>
      <x:c r="G361" s="23" t="n">
        <x:v>58</x:v>
      </x:c>
      <x:c r="H361" s="23" t="n">
        <x:v>52</x:v>
      </x:c>
      <x:c r="I361" s="23" t="n">
        <x:v>55</x:v>
      </x:c>
      <x:c r="J361" s="23" t="n">
        <x:f>G361-H361</x:f>
        <x:v>6</x:v>
      </x:c>
      <x:c r="K361" t="str">
        <x:v>OBSERVED</x:v>
      </x:c>
      <x:c r="L361" s="24" t="n">
        <x:v>17.4948</x:v>
      </x:c>
      <x:c r="M361" s="24" t="n">
        <x:v>78.3927</x:v>
      </x:c>
      <x:c r="N361" t="str">
        <x:f>IF(I361&gt;70,"70+ dB",IF(I361&gt;55,"56-70 dB","41-55 dB"))</x:f>
        <x:v>41-55 dB</x:v>
      </x:c>
      <x:c r="O361" t="str">
        <x:f>IF(I361&gt;70,"High",IF(I361&gt;55,"Moderate","Low"))</x:f>
        <x:v>Low</x:v>
      </x:c>
      <x:c r="P361" t="str">
        <x:f>IF(I361&gt;=70,"Yes","No")</x:f>
        <x:v>No</x:v>
      </x:c>
      <x:c r="Q361" t="str">
        <x:f>TEXT(B361,"yyyy-mm")</x:f>
        <x:v>2011-03</x:v>
      </x:c>
    </x:row>
    <x:row r="362">
      <x:c r="A362" t="str">
        <x:v>HYD03</x:v>
      </x:c>
      <x:c r="B362" s="22" t="n">
        <x:f>DATE(C362,D362,1)</x:f>
        <x:v>40634</x:v>
      </x:c>
      <x:c r="C362" t="n">
        <x:v>2011</x:v>
      </x:c>
      <x:c r="D362" t="n">
        <x:v>4</x:v>
      </x:c>
      <x:c r="E362" t="str">
        <x:f>TEXT(B362,"mmm")</x:f>
        <x:v>Apr</x:v>
      </x:c>
      <x:c r="F362" t="str">
        <x:f>"Q"&amp;ROUNDUP(D362/3,0)</x:f>
        <x:v>Q2</x:v>
      </x:c>
      <x:c r="G362" s="23" t="n">
        <x:v>58</x:v>
      </x:c>
      <x:c r="H362" s="23" t="n">
        <x:v>52</x:v>
      </x:c>
      <x:c r="I362" s="23" t="n">
        <x:v>55</x:v>
      </x:c>
      <x:c r="J362" s="23" t="n">
        <x:f>G362-H362</x:f>
        <x:v>6</x:v>
      </x:c>
      <x:c r="K362" t="str">
        <x:v>OBSERVED</x:v>
      </x:c>
      <x:c r="L362" s="24" t="n">
        <x:v>17.4948</x:v>
      </x:c>
      <x:c r="M362" s="24" t="n">
        <x:v>78.3927</x:v>
      </x:c>
      <x:c r="N362" t="str">
        <x:f>IF(I362&gt;70,"70+ dB",IF(I362&gt;55,"56-70 dB","41-55 dB"))</x:f>
        <x:v>41-55 dB</x:v>
      </x:c>
      <x:c r="O362" t="str">
        <x:f>IF(I362&gt;70,"High",IF(I362&gt;55,"Moderate","Low"))</x:f>
        <x:v>Low</x:v>
      </x:c>
      <x:c r="P362" t="str">
        <x:f>IF(I362&gt;=70,"Yes","No")</x:f>
        <x:v>No</x:v>
      </x:c>
      <x:c r="Q362" t="str">
        <x:f>TEXT(B362,"yyyy-mm")</x:f>
        <x:v>2011-04</x:v>
      </x:c>
    </x:row>
    <x:row r="363">
      <x:c r="A363" t="str">
        <x:v>HYD03</x:v>
      </x:c>
      <x:c r="B363" s="22" t="n">
        <x:f>DATE(C363,D363,1)</x:f>
        <x:v>40664</x:v>
      </x:c>
      <x:c r="C363" t="n">
        <x:v>2011</x:v>
      </x:c>
      <x:c r="D363" t="n">
        <x:v>5</x:v>
      </x:c>
      <x:c r="E363" t="str">
        <x:f>TEXT(B363,"mmm")</x:f>
        <x:v>May</x:v>
      </x:c>
      <x:c r="F363" t="str">
        <x:f>"Q"&amp;ROUNDUP(D363/3,0)</x:f>
        <x:v>Q2</x:v>
      </x:c>
      <x:c r="G363" s="23" t="n">
        <x:v>56</x:v>
      </x:c>
      <x:c r="H363" s="23" t="n">
        <x:v>49</x:v>
      </x:c>
      <x:c r="I363" s="23" t="n">
        <x:v>52.5</x:v>
      </x:c>
      <x:c r="J363" s="23" t="n">
        <x:f>G363-H363</x:f>
        <x:v>7</x:v>
      </x:c>
      <x:c r="K363" t="str">
        <x:v>OBSERVED</x:v>
      </x:c>
      <x:c r="L363" s="24" t="n">
        <x:v>17.4948</x:v>
      </x:c>
      <x:c r="M363" s="24" t="n">
        <x:v>78.3927</x:v>
      </x:c>
      <x:c r="N363" t="str">
        <x:f>IF(I363&gt;70,"70+ dB",IF(I363&gt;55,"56-70 dB","41-55 dB"))</x:f>
        <x:v>41-55 dB</x:v>
      </x:c>
      <x:c r="O363" t="str">
        <x:f>IF(I363&gt;70,"High",IF(I363&gt;55,"Moderate","Low"))</x:f>
        <x:v>Low</x:v>
      </x:c>
      <x:c r="P363" t="str">
        <x:f>IF(I363&gt;=70,"Yes","No")</x:f>
        <x:v>No</x:v>
      </x:c>
      <x:c r="Q363" t="str">
        <x:f>TEXT(B363,"yyyy-mm")</x:f>
        <x:v>2011-05</x:v>
      </x:c>
    </x:row>
    <x:row r="364">
      <x:c r="A364" t="str">
        <x:v>HYD03</x:v>
      </x:c>
      <x:c r="B364" s="22" t="n">
        <x:f>DATE(C364,D364,1)</x:f>
        <x:v>40695</x:v>
      </x:c>
      <x:c r="C364" t="n">
        <x:v>2011</x:v>
      </x:c>
      <x:c r="D364" t="n">
        <x:v>6</x:v>
      </x:c>
      <x:c r="E364" t="str">
        <x:f>TEXT(B364,"mmm")</x:f>
        <x:v>Jun</x:v>
      </x:c>
      <x:c r="F364" t="str">
        <x:f>"Q"&amp;ROUNDUP(D364/3,0)</x:f>
        <x:v>Q2</x:v>
      </x:c>
      <x:c r="G364" s="23" t="n">
        <x:v>57</x:v>
      </x:c>
      <x:c r="H364" s="23" t="n">
        <x:v>50</x:v>
      </x:c>
      <x:c r="I364" s="23" t="n">
        <x:v>53.5</x:v>
      </x:c>
      <x:c r="J364" s="23" t="n">
        <x:f>G364-H364</x:f>
        <x:v>7</x:v>
      </x:c>
      <x:c r="K364" t="str">
        <x:v>OBSERVED</x:v>
      </x:c>
      <x:c r="L364" s="24" t="n">
        <x:v>17.4948</x:v>
      </x:c>
      <x:c r="M364" s="24" t="n">
        <x:v>78.3927</x:v>
      </x:c>
      <x:c r="N364" t="str">
        <x:f>IF(I364&gt;70,"70+ dB",IF(I364&gt;55,"56-70 dB","41-55 dB"))</x:f>
        <x:v>41-55 dB</x:v>
      </x:c>
      <x:c r="O364" t="str">
        <x:f>IF(I364&gt;70,"High",IF(I364&gt;55,"Moderate","Low"))</x:f>
        <x:v>Low</x:v>
      </x:c>
      <x:c r="P364" t="str">
        <x:f>IF(I364&gt;=70,"Yes","No")</x:f>
        <x:v>No</x:v>
      </x:c>
      <x:c r="Q364" t="str">
        <x:f>TEXT(B364,"yyyy-mm")</x:f>
        <x:v>2011-06</x:v>
      </x:c>
    </x:row>
    <x:row r="365">
      <x:c r="A365" t="str">
        <x:v>HYD03</x:v>
      </x:c>
      <x:c r="B365" s="22" t="n">
        <x:f>DATE(C365,D365,1)</x:f>
        <x:v>40725</x:v>
      </x:c>
      <x:c r="C365" t="n">
        <x:v>2011</x:v>
      </x:c>
      <x:c r="D365" t="n">
        <x:v>7</x:v>
      </x:c>
      <x:c r="E365" t="str">
        <x:f>TEXT(B365,"mmm")</x:f>
        <x:v>Jul</x:v>
      </x:c>
      <x:c r="F365" t="str">
        <x:f>"Q"&amp;ROUNDUP(D365/3,0)</x:f>
        <x:v>Q3</x:v>
      </x:c>
      <x:c r="G365" s="23" t="n">
        <x:v>59</x:v>
      </x:c>
      <x:c r="H365" s="23" t="n">
        <x:v>51</x:v>
      </x:c>
      <x:c r="I365" s="23" t="n">
        <x:v>55</x:v>
      </x:c>
      <x:c r="J365" s="23" t="n">
        <x:f>G365-H365</x:f>
        <x:v>8</x:v>
      </x:c>
      <x:c r="K365" t="str">
        <x:v>OBSERVED</x:v>
      </x:c>
      <x:c r="L365" s="24" t="n">
        <x:v>17.4948</x:v>
      </x:c>
      <x:c r="M365" s="24" t="n">
        <x:v>78.3927</x:v>
      </x:c>
      <x:c r="N365" t="str">
        <x:f>IF(I365&gt;70,"70+ dB",IF(I365&gt;55,"56-70 dB","41-55 dB"))</x:f>
        <x:v>41-55 dB</x:v>
      </x:c>
      <x:c r="O365" t="str">
        <x:f>IF(I365&gt;70,"High",IF(I365&gt;55,"Moderate","Low"))</x:f>
        <x:v>Low</x:v>
      </x:c>
      <x:c r="P365" t="str">
        <x:f>IF(I365&gt;=70,"Yes","No")</x:f>
        <x:v>No</x:v>
      </x:c>
      <x:c r="Q365" t="str">
        <x:f>TEXT(B365,"yyyy-mm")</x:f>
        <x:v>2011-07</x:v>
      </x:c>
    </x:row>
    <x:row r="366">
      <x:c r="A366" t="str">
        <x:v>HYD03</x:v>
      </x:c>
      <x:c r="B366" s="22" t="n">
        <x:f>DATE(C366,D366,1)</x:f>
        <x:v>40756</x:v>
      </x:c>
      <x:c r="C366" t="n">
        <x:v>2011</x:v>
      </x:c>
      <x:c r="D366" t="n">
        <x:v>8</x:v>
      </x:c>
      <x:c r="E366" t="str">
        <x:f>TEXT(B366,"mmm")</x:f>
        <x:v>Aug</x:v>
      </x:c>
      <x:c r="F366" t="str">
        <x:f>"Q"&amp;ROUNDUP(D366/3,0)</x:f>
        <x:v>Q3</x:v>
      </x:c>
      <x:c r="G366" s="23" t="n">
        <x:v>59</x:v>
      </x:c>
      <x:c r="H366" s="23" t="n">
        <x:v>51</x:v>
      </x:c>
      <x:c r="I366" s="23" t="n">
        <x:v>55</x:v>
      </x:c>
      <x:c r="J366" s="23" t="n">
        <x:f>G366-H366</x:f>
        <x:v>8</x:v>
      </x:c>
      <x:c r="K366" t="str">
        <x:v>OBSERVED</x:v>
      </x:c>
      <x:c r="L366" s="24" t="n">
        <x:v>17.4948</x:v>
      </x:c>
      <x:c r="M366" s="24" t="n">
        <x:v>78.3927</x:v>
      </x:c>
      <x:c r="N366" t="str">
        <x:f>IF(I366&gt;70,"70+ dB",IF(I366&gt;55,"56-70 dB","41-55 dB"))</x:f>
        <x:v>41-55 dB</x:v>
      </x:c>
      <x:c r="O366" t="str">
        <x:f>IF(I366&gt;70,"High",IF(I366&gt;55,"Moderate","Low"))</x:f>
        <x:v>Low</x:v>
      </x:c>
      <x:c r="P366" t="str">
        <x:f>IF(I366&gt;=70,"Yes","No")</x:f>
        <x:v>No</x:v>
      </x:c>
      <x:c r="Q366" t="str">
        <x:f>TEXT(B366,"yyyy-mm")</x:f>
        <x:v>2011-08</x:v>
      </x:c>
    </x:row>
    <x:row r="367">
      <x:c r="A367" t="str">
        <x:v>HYD03</x:v>
      </x:c>
      <x:c r="B367" s="22" t="n">
        <x:f>DATE(C367,D367,1)</x:f>
        <x:v>40787</x:v>
      </x:c>
      <x:c r="C367" t="n">
        <x:v>2011</x:v>
      </x:c>
      <x:c r="D367" t="n">
        <x:v>9</x:v>
      </x:c>
      <x:c r="E367" t="str">
        <x:f>TEXT(B367,"mmm")</x:f>
        <x:v>Sep</x:v>
      </x:c>
      <x:c r="F367" t="str">
        <x:f>"Q"&amp;ROUNDUP(D367/3,0)</x:f>
        <x:v>Q3</x:v>
      </x:c>
      <x:c r="G367" s="23" t="n">
        <x:v>83</x:v>
      </x:c>
      <x:c r="H367" s="23" t="n">
        <x:v>49</x:v>
      </x:c>
      <x:c r="I367" s="23" t="n">
        <x:v>66</x:v>
      </x:c>
      <x:c r="J367" s="23" t="n">
        <x:f>G367-H367</x:f>
        <x:v>34</x:v>
      </x:c>
      <x:c r="K367" t="str">
        <x:v>OBSERVED</x:v>
      </x:c>
      <x:c r="L367" s="24" t="n">
        <x:v>17.4948</x:v>
      </x:c>
      <x:c r="M367" s="24" t="n">
        <x:v>78.3927</x:v>
      </x:c>
      <x:c r="N367" t="str">
        <x:f>IF(I367&gt;70,"70+ dB",IF(I367&gt;55,"56-70 dB","41-55 dB"))</x:f>
        <x:v>56-70 dB</x:v>
      </x:c>
      <x:c r="O367" t="str">
        <x:f>IF(I367&gt;70,"High",IF(I367&gt;55,"Moderate","Low"))</x:f>
        <x:v>Moderate</x:v>
      </x:c>
      <x:c r="P367" t="str">
        <x:f>IF(I367&gt;=70,"Yes","No")</x:f>
        <x:v>No</x:v>
      </x:c>
      <x:c r="Q367" t="str">
        <x:f>TEXT(B367,"yyyy-mm")</x:f>
        <x:v>2011-09</x:v>
      </x:c>
    </x:row>
    <x:row r="368">
      <x:c r="A368" t="str">
        <x:v>HYD03</x:v>
      </x:c>
      <x:c r="B368" s="22" t="n">
        <x:f>DATE(C368,D368,1)</x:f>
        <x:v>40817</x:v>
      </x:c>
      <x:c r="C368" t="n">
        <x:v>2011</x:v>
      </x:c>
      <x:c r="D368" t="n">
        <x:v>10</x:v>
      </x:c>
      <x:c r="E368" t="str">
        <x:f>TEXT(B368,"mmm")</x:f>
        <x:v>Oct</x:v>
      </x:c>
      <x:c r="F368" t="str">
        <x:f>"Q"&amp;ROUNDUP(D368/3,0)</x:f>
        <x:v>Q4</x:v>
      </x:c>
      <x:c r="G368" s="23" t="n">
        <x:v>66</x:v>
      </x:c>
      <x:c r="H368" s="23" t="n">
        <x:v>53</x:v>
      </x:c>
      <x:c r="I368" s="23" t="n">
        <x:v>59.5</x:v>
      </x:c>
      <x:c r="J368" s="23" t="n">
        <x:f>G368-H368</x:f>
        <x:v>13</x:v>
      </x:c>
      <x:c r="K368" t="str">
        <x:v>OBSERVED</x:v>
      </x:c>
      <x:c r="L368" s="24" t="n">
        <x:v>17.4948</x:v>
      </x:c>
      <x:c r="M368" s="24" t="n">
        <x:v>78.3927</x:v>
      </x:c>
      <x:c r="N368" t="str">
        <x:f>IF(I368&gt;70,"70+ dB",IF(I368&gt;55,"56-70 dB","41-55 dB"))</x:f>
        <x:v>56-70 dB</x:v>
      </x:c>
      <x:c r="O368" t="str">
        <x:f>IF(I368&gt;70,"High",IF(I368&gt;55,"Moderate","Low"))</x:f>
        <x:v>Moderate</x:v>
      </x:c>
      <x:c r="P368" t="str">
        <x:f>IF(I368&gt;=70,"Yes","No")</x:f>
        <x:v>No</x:v>
      </x:c>
      <x:c r="Q368" t="str">
        <x:f>TEXT(B368,"yyyy-mm")</x:f>
        <x:v>2011-10</x:v>
      </x:c>
    </x:row>
    <x:row r="369">
      <x:c r="A369" t="str">
        <x:v>HYD03</x:v>
      </x:c>
      <x:c r="B369" s="22" t="n">
        <x:f>DATE(C369,D369,1)</x:f>
        <x:v>40848</x:v>
      </x:c>
      <x:c r="C369" t="n">
        <x:v>2011</x:v>
      </x:c>
      <x:c r="D369" t="n">
        <x:v>11</x:v>
      </x:c>
      <x:c r="E369" t="str">
        <x:f>TEXT(B369,"mmm")</x:f>
        <x:v>Nov</x:v>
      </x:c>
      <x:c r="F369" t="str">
        <x:f>"Q"&amp;ROUNDUP(D369/3,0)</x:f>
        <x:v>Q4</x:v>
      </x:c>
      <x:c r="G369" s="23" t="n">
        <x:v>57</x:v>
      </x:c>
      <x:c r="H369" s="23" t="n">
        <x:v>50</x:v>
      </x:c>
      <x:c r="I369" s="23" t="n">
        <x:v>53.5</x:v>
      </x:c>
      <x:c r="J369" s="23" t="n">
        <x:f>G369-H369</x:f>
        <x:v>7</x:v>
      </x:c>
      <x:c r="K369" t="str">
        <x:v>OBSERVED</x:v>
      </x:c>
      <x:c r="L369" s="24" t="n">
        <x:v>17.4948</x:v>
      </x:c>
      <x:c r="M369" s="24" t="n">
        <x:v>78.3927</x:v>
      </x:c>
      <x:c r="N369" t="str">
        <x:f>IF(I369&gt;70,"70+ dB",IF(I369&gt;55,"56-70 dB","41-55 dB"))</x:f>
        <x:v>41-55 dB</x:v>
      </x:c>
      <x:c r="O369" t="str">
        <x:f>IF(I369&gt;70,"High",IF(I369&gt;55,"Moderate","Low"))</x:f>
        <x:v>Low</x:v>
      </x:c>
      <x:c r="P369" t="str">
        <x:f>IF(I369&gt;=70,"Yes","No")</x:f>
        <x:v>No</x:v>
      </x:c>
      <x:c r="Q369" t="str">
        <x:f>TEXT(B369,"yyyy-mm")</x:f>
        <x:v>2011-11</x:v>
      </x:c>
    </x:row>
    <x:row r="370">
      <x:c r="A370" t="str">
        <x:v>HYD03</x:v>
      </x:c>
      <x:c r="B370" s="22" t="n">
        <x:f>DATE(C370,D370,1)</x:f>
        <x:v>40878</x:v>
      </x:c>
      <x:c r="C370" t="n">
        <x:v>2011</x:v>
      </x:c>
      <x:c r="D370" t="n">
        <x:v>12</x:v>
      </x:c>
      <x:c r="E370" t="str">
        <x:f>TEXT(B370,"mmm")</x:f>
        <x:v>Dec</x:v>
      </x:c>
      <x:c r="F370" t="str">
        <x:f>"Q"&amp;ROUNDUP(D370/3,0)</x:f>
        <x:v>Q4</x:v>
      </x:c>
      <x:c r="G370" s="23" t="n">
        <x:v>56</x:v>
      </x:c>
      <x:c r="H370" s="23" t="n">
        <x:v>47</x:v>
      </x:c>
      <x:c r="I370" s="23" t="n">
        <x:v>51.5</x:v>
      </x:c>
      <x:c r="J370" s="23" t="n">
        <x:f>G370-H370</x:f>
        <x:v>9</x:v>
      </x:c>
      <x:c r="K370" t="str">
        <x:v>OBSERVED</x:v>
      </x:c>
      <x:c r="L370" s="24" t="n">
        <x:v>17.4948</x:v>
      </x:c>
      <x:c r="M370" s="24" t="n">
        <x:v>78.3927</x:v>
      </x:c>
      <x:c r="N370" t="str">
        <x:f>IF(I370&gt;70,"70+ dB",IF(I370&gt;55,"56-70 dB","41-55 dB"))</x:f>
        <x:v>41-55 dB</x:v>
      </x:c>
      <x:c r="O370" t="str">
        <x:f>IF(I370&gt;70,"High",IF(I370&gt;55,"Moderate","Low"))</x:f>
        <x:v>Low</x:v>
      </x:c>
      <x:c r="P370" t="str">
        <x:f>IF(I370&gt;=70,"Yes","No")</x:f>
        <x:v>No</x:v>
      </x:c>
      <x:c r="Q370" t="str">
        <x:f>TEXT(B370,"yyyy-mm")</x:f>
        <x:v>2011-12</x:v>
      </x:c>
    </x:row>
    <x:row r="371">
      <x:c r="A371" t="str">
        <x:v>HYD03</x:v>
      </x:c>
      <x:c r="B371" s="22" t="n">
        <x:f>DATE(C371,D371,1)</x:f>
        <x:v>40909</x:v>
      </x:c>
      <x:c r="C371" t="n">
        <x:v>2012</x:v>
      </x:c>
      <x:c r="D371" t="n">
        <x:v>1</x:v>
      </x:c>
      <x:c r="E371" t="str">
        <x:f>TEXT(B371,"mmm")</x:f>
        <x:v>Jan</x:v>
      </x:c>
      <x:c r="F371" t="str">
        <x:f>"Q"&amp;ROUNDUP(D371/3,0)</x:f>
        <x:v>Q1</x:v>
      </x:c>
      <x:c r="G371" s="23" t="n">
        <x:v>56</x:v>
      </x:c>
      <x:c r="H371" s="23" t="n">
        <x:v>48</x:v>
      </x:c>
      <x:c r="I371" s="23" t="n">
        <x:v>52</x:v>
      </x:c>
      <x:c r="J371" s="23" t="n">
        <x:f>G371-H371</x:f>
        <x:v>8</x:v>
      </x:c>
      <x:c r="K371" t="str">
        <x:v>OBSERVED</x:v>
      </x:c>
      <x:c r="L371" s="24" t="n">
        <x:v>17.4948</x:v>
      </x:c>
      <x:c r="M371" s="24" t="n">
        <x:v>78.3927</x:v>
      </x:c>
      <x:c r="N371" t="str">
        <x:f>IF(I371&gt;70,"70+ dB",IF(I371&gt;55,"56-70 dB","41-55 dB"))</x:f>
        <x:v>41-55 dB</x:v>
      </x:c>
      <x:c r="O371" t="str">
        <x:f>IF(I371&gt;70,"High",IF(I371&gt;55,"Moderate","Low"))</x:f>
        <x:v>Low</x:v>
      </x:c>
      <x:c r="P371" t="str">
        <x:f>IF(I371&gt;=70,"Yes","No")</x:f>
        <x:v>No</x:v>
      </x:c>
      <x:c r="Q371" t="str">
        <x:f>TEXT(B371,"yyyy-mm")</x:f>
        <x:v>2012-01</x:v>
      </x:c>
    </x:row>
    <x:row r="372">
      <x:c r="A372" t="str">
        <x:v>HYD03</x:v>
      </x:c>
      <x:c r="B372" s="22" t="n">
        <x:f>DATE(C372,D372,1)</x:f>
        <x:v>40940</x:v>
      </x:c>
      <x:c r="C372" t="n">
        <x:v>2012</x:v>
      </x:c>
      <x:c r="D372" t="n">
        <x:v>2</x:v>
      </x:c>
      <x:c r="E372" t="str">
        <x:f>TEXT(B372,"mmm")</x:f>
        <x:v>Feb</x:v>
      </x:c>
      <x:c r="F372" t="str">
        <x:f>"Q"&amp;ROUNDUP(D372/3,0)</x:f>
        <x:v>Q1</x:v>
      </x:c>
      <x:c r="G372" s="23" t="n">
        <x:v>55</x:v>
      </x:c>
      <x:c r="H372" s="23" t="n">
        <x:v>48</x:v>
      </x:c>
      <x:c r="I372" s="23" t="n">
        <x:v>51.5</x:v>
      </x:c>
      <x:c r="J372" s="23" t="n">
        <x:f>G372-H372</x:f>
        <x:v>7</x:v>
      </x:c>
      <x:c r="K372" t="str">
        <x:v>OBSERVED</x:v>
      </x:c>
      <x:c r="L372" s="24" t="n">
        <x:v>17.4948</x:v>
      </x:c>
      <x:c r="M372" s="24" t="n">
        <x:v>78.3927</x:v>
      </x:c>
      <x:c r="N372" t="str">
        <x:f>IF(I372&gt;70,"70+ dB",IF(I372&gt;55,"56-70 dB","41-55 dB"))</x:f>
        <x:v>41-55 dB</x:v>
      </x:c>
      <x:c r="O372" t="str">
        <x:f>IF(I372&gt;70,"High",IF(I372&gt;55,"Moderate","Low"))</x:f>
        <x:v>Low</x:v>
      </x:c>
      <x:c r="P372" t="str">
        <x:f>IF(I372&gt;=70,"Yes","No")</x:f>
        <x:v>No</x:v>
      </x:c>
      <x:c r="Q372" t="str">
        <x:f>TEXT(B372,"yyyy-mm")</x:f>
        <x:v>2012-02</x:v>
      </x:c>
    </x:row>
    <x:row r="373">
      <x:c r="A373" t="str">
        <x:v>HYD03</x:v>
      </x:c>
      <x:c r="B373" s="22" t="n">
        <x:f>DATE(C373,D373,1)</x:f>
        <x:v>40969</x:v>
      </x:c>
      <x:c r="C373" t="n">
        <x:v>2012</x:v>
      </x:c>
      <x:c r="D373" t="n">
        <x:v>3</x:v>
      </x:c>
      <x:c r="E373" t="str">
        <x:f>TEXT(B373,"mmm")</x:f>
        <x:v>Mar</x:v>
      </x:c>
      <x:c r="F373" t="str">
        <x:f>"Q"&amp;ROUNDUP(D373/3,0)</x:f>
        <x:v>Q1</x:v>
      </x:c>
      <x:c r="G373" s="23" t="n">
        <x:v>55</x:v>
      </x:c>
      <x:c r="H373" s="23" t="n">
        <x:v>48</x:v>
      </x:c>
      <x:c r="I373" s="23" t="n">
        <x:v>51.5</x:v>
      </x:c>
      <x:c r="J373" s="23" t="n">
        <x:f>G373-H373</x:f>
        <x:v>7</x:v>
      </x:c>
      <x:c r="K373" t="str">
        <x:v>OBSERVED</x:v>
      </x:c>
      <x:c r="L373" s="24" t="n">
        <x:v>17.4948</x:v>
      </x:c>
      <x:c r="M373" s="24" t="n">
        <x:v>78.3927</x:v>
      </x:c>
      <x:c r="N373" t="str">
        <x:f>IF(I373&gt;70,"70+ dB",IF(I373&gt;55,"56-70 dB","41-55 dB"))</x:f>
        <x:v>41-55 dB</x:v>
      </x:c>
      <x:c r="O373" t="str">
        <x:f>IF(I373&gt;70,"High",IF(I373&gt;55,"Moderate","Low"))</x:f>
        <x:v>Low</x:v>
      </x:c>
      <x:c r="P373" t="str">
        <x:f>IF(I373&gt;=70,"Yes","No")</x:f>
        <x:v>No</x:v>
      </x:c>
      <x:c r="Q373" t="str">
        <x:f>TEXT(B373,"yyyy-mm")</x:f>
        <x:v>2012-03</x:v>
      </x:c>
    </x:row>
    <x:row r="374">
      <x:c r="A374" t="str">
        <x:v>HYD03</x:v>
      </x:c>
      <x:c r="B374" s="22" t="n">
        <x:f>DATE(C374,D374,1)</x:f>
        <x:v>41000</x:v>
      </x:c>
      <x:c r="C374" t="n">
        <x:v>2012</x:v>
      </x:c>
      <x:c r="D374" t="n">
        <x:v>4</x:v>
      </x:c>
      <x:c r="E374" t="str">
        <x:f>TEXT(B374,"mmm")</x:f>
        <x:v>Apr</x:v>
      </x:c>
      <x:c r="F374" t="str">
        <x:f>"Q"&amp;ROUNDUP(D374/3,0)</x:f>
        <x:v>Q2</x:v>
      </x:c>
      <x:c r="G374" s="23" t="n">
        <x:v>57</x:v>
      </x:c>
      <x:c r="H374" s="23" t="n">
        <x:v>48</x:v>
      </x:c>
      <x:c r="I374" s="23" t="n">
        <x:v>52.5</x:v>
      </x:c>
      <x:c r="J374" s="23" t="n">
        <x:f>G374-H374</x:f>
        <x:v>9</x:v>
      </x:c>
      <x:c r="K374" t="str">
        <x:v>OBSERVED</x:v>
      </x:c>
      <x:c r="L374" s="24" t="n">
        <x:v>17.4948</x:v>
      </x:c>
      <x:c r="M374" s="24" t="n">
        <x:v>78.3927</x:v>
      </x:c>
      <x:c r="N374" t="str">
        <x:f>IF(I374&gt;70,"70+ dB",IF(I374&gt;55,"56-70 dB","41-55 dB"))</x:f>
        <x:v>41-55 dB</x:v>
      </x:c>
      <x:c r="O374" t="str">
        <x:f>IF(I374&gt;70,"High",IF(I374&gt;55,"Moderate","Low"))</x:f>
        <x:v>Low</x:v>
      </x:c>
      <x:c r="P374" t="str">
        <x:f>IF(I374&gt;=70,"Yes","No")</x:f>
        <x:v>No</x:v>
      </x:c>
      <x:c r="Q374" t="str">
        <x:f>TEXT(B374,"yyyy-mm")</x:f>
        <x:v>2012-04</x:v>
      </x:c>
    </x:row>
    <x:row r="375">
      <x:c r="A375" t="str">
        <x:v>HYD03</x:v>
      </x:c>
      <x:c r="B375" s="22" t="n">
        <x:f>DATE(C375,D375,1)</x:f>
        <x:v>41030</x:v>
      </x:c>
      <x:c r="C375" t="n">
        <x:v>2012</x:v>
      </x:c>
      <x:c r="D375" t="n">
        <x:v>5</x:v>
      </x:c>
      <x:c r="E375" t="str">
        <x:f>TEXT(B375,"mmm")</x:f>
        <x:v>May</x:v>
      </x:c>
      <x:c r="F375" t="str">
        <x:f>"Q"&amp;ROUNDUP(D375/3,0)</x:f>
        <x:v>Q2</x:v>
      </x:c>
      <x:c r="G375" s="23" t="n">
        <x:v>56</x:v>
      </x:c>
      <x:c r="H375" s="23" t="n">
        <x:v>48</x:v>
      </x:c>
      <x:c r="I375" s="23" t="n">
        <x:v>52</x:v>
      </x:c>
      <x:c r="J375" s="23" t="n">
        <x:f>G375-H375</x:f>
        <x:v>8</x:v>
      </x:c>
      <x:c r="K375" t="str">
        <x:v>OBSERVED</x:v>
      </x:c>
      <x:c r="L375" s="24" t="n">
        <x:v>17.4948</x:v>
      </x:c>
      <x:c r="M375" s="24" t="n">
        <x:v>78.3927</x:v>
      </x:c>
      <x:c r="N375" t="str">
        <x:f>IF(I375&gt;70,"70+ dB",IF(I375&gt;55,"56-70 dB","41-55 dB"))</x:f>
        <x:v>41-55 dB</x:v>
      </x:c>
      <x:c r="O375" t="str">
        <x:f>IF(I375&gt;70,"High",IF(I375&gt;55,"Moderate","Low"))</x:f>
        <x:v>Low</x:v>
      </x:c>
      <x:c r="P375" t="str">
        <x:f>IF(I375&gt;=70,"Yes","No")</x:f>
        <x:v>No</x:v>
      </x:c>
      <x:c r="Q375" t="str">
        <x:f>TEXT(B375,"yyyy-mm")</x:f>
        <x:v>2012-05</x:v>
      </x:c>
    </x:row>
    <x:row r="376">
      <x:c r="A376" t="str">
        <x:v>HYD03</x:v>
      </x:c>
      <x:c r="B376" s="22" t="n">
        <x:f>DATE(C376,D376,1)</x:f>
        <x:v>41061</x:v>
      </x:c>
      <x:c r="C376" t="n">
        <x:v>2012</x:v>
      </x:c>
      <x:c r="D376" t="n">
        <x:v>6</x:v>
      </x:c>
      <x:c r="E376" t="str">
        <x:f>TEXT(B376,"mmm")</x:f>
        <x:v>Jun</x:v>
      </x:c>
      <x:c r="F376" t="str">
        <x:f>"Q"&amp;ROUNDUP(D376/3,0)</x:f>
        <x:v>Q2</x:v>
      </x:c>
      <x:c r="G376" s="23" t="n">
        <x:v>56</x:v>
      </x:c>
      <x:c r="H376" s="23" t="n">
        <x:v>49</x:v>
      </x:c>
      <x:c r="I376" s="23" t="n">
        <x:v>52.5</x:v>
      </x:c>
      <x:c r="J376" s="23" t="n">
        <x:f>G376-H376</x:f>
        <x:v>7</x:v>
      </x:c>
      <x:c r="K376" t="str">
        <x:v>OBSERVED</x:v>
      </x:c>
      <x:c r="L376" s="24" t="n">
        <x:v>17.4948</x:v>
      </x:c>
      <x:c r="M376" s="24" t="n">
        <x:v>78.3927</x:v>
      </x:c>
      <x:c r="N376" t="str">
        <x:f>IF(I376&gt;70,"70+ dB",IF(I376&gt;55,"56-70 dB","41-55 dB"))</x:f>
        <x:v>41-55 dB</x:v>
      </x:c>
      <x:c r="O376" t="str">
        <x:f>IF(I376&gt;70,"High",IF(I376&gt;55,"Moderate","Low"))</x:f>
        <x:v>Low</x:v>
      </x:c>
      <x:c r="P376" t="str">
        <x:f>IF(I376&gt;=70,"Yes","No")</x:f>
        <x:v>No</x:v>
      </x:c>
      <x:c r="Q376" t="str">
        <x:f>TEXT(B376,"yyyy-mm")</x:f>
        <x:v>2012-06</x:v>
      </x:c>
    </x:row>
    <x:row r="377">
      <x:c r="A377" t="str">
        <x:v>HYD03</x:v>
      </x:c>
      <x:c r="B377" s="22" t="n">
        <x:f>DATE(C377,D377,1)</x:f>
        <x:v>41091</x:v>
      </x:c>
      <x:c r="C377" t="n">
        <x:v>2012</x:v>
      </x:c>
      <x:c r="D377" t="n">
        <x:v>7</x:v>
      </x:c>
      <x:c r="E377" t="str">
        <x:f>TEXT(B377,"mmm")</x:f>
        <x:v>Jul</x:v>
      </x:c>
      <x:c r="F377" t="str">
        <x:f>"Q"&amp;ROUNDUP(D377/3,0)</x:f>
        <x:v>Q3</x:v>
      </x:c>
      <x:c r="G377" s="23" t="n">
        <x:v>56</x:v>
      </x:c>
      <x:c r="H377" s="23" t="n">
        <x:v>49</x:v>
      </x:c>
      <x:c r="I377" s="23" t="n">
        <x:v>52.5</x:v>
      </x:c>
      <x:c r="J377" s="23" t="n">
        <x:f>G377-H377</x:f>
        <x:v>7</x:v>
      </x:c>
      <x:c r="K377" t="str">
        <x:v>OBSERVED</x:v>
      </x:c>
      <x:c r="L377" s="24" t="n">
        <x:v>17.4948</x:v>
      </x:c>
      <x:c r="M377" s="24" t="n">
        <x:v>78.3927</x:v>
      </x:c>
      <x:c r="N377" t="str">
        <x:f>IF(I377&gt;70,"70+ dB",IF(I377&gt;55,"56-70 dB","41-55 dB"))</x:f>
        <x:v>41-55 dB</x:v>
      </x:c>
      <x:c r="O377" t="str">
        <x:f>IF(I377&gt;70,"High",IF(I377&gt;55,"Moderate","Low"))</x:f>
        <x:v>Low</x:v>
      </x:c>
      <x:c r="P377" t="str">
        <x:f>IF(I377&gt;=70,"Yes","No")</x:f>
        <x:v>No</x:v>
      </x:c>
      <x:c r="Q377" t="str">
        <x:f>TEXT(B377,"yyyy-mm")</x:f>
        <x:v>2012-07</x:v>
      </x:c>
    </x:row>
    <x:row r="378">
      <x:c r="A378" t="str">
        <x:v>HYD03</x:v>
      </x:c>
      <x:c r="B378" s="22" t="n">
        <x:f>DATE(C378,D378,1)</x:f>
        <x:v>41122</x:v>
      </x:c>
      <x:c r="C378" t="n">
        <x:v>2012</x:v>
      </x:c>
      <x:c r="D378" t="n">
        <x:v>8</x:v>
      </x:c>
      <x:c r="E378" t="str">
        <x:f>TEXT(B378,"mmm")</x:f>
        <x:v>Aug</x:v>
      </x:c>
      <x:c r="F378" t="str">
        <x:f>"Q"&amp;ROUNDUP(D378/3,0)</x:f>
        <x:v>Q3</x:v>
      </x:c>
      <x:c r="G378" s="23" t="n">
        <x:v>57</x:v>
      </x:c>
      <x:c r="H378" s="23" t="n">
        <x:v>49</x:v>
      </x:c>
      <x:c r="I378" s="23" t="n">
        <x:v>53</x:v>
      </x:c>
      <x:c r="J378" s="23" t="n">
        <x:f>G378-H378</x:f>
        <x:v>8</x:v>
      </x:c>
      <x:c r="K378" t="str">
        <x:v>OBSERVED</x:v>
      </x:c>
      <x:c r="L378" s="24" t="n">
        <x:v>17.4948</x:v>
      </x:c>
      <x:c r="M378" s="24" t="n">
        <x:v>78.3927</x:v>
      </x:c>
      <x:c r="N378" t="str">
        <x:f>IF(I378&gt;70,"70+ dB",IF(I378&gt;55,"56-70 dB","41-55 dB"))</x:f>
        <x:v>41-55 dB</x:v>
      </x:c>
      <x:c r="O378" t="str">
        <x:f>IF(I378&gt;70,"High",IF(I378&gt;55,"Moderate","Low"))</x:f>
        <x:v>Low</x:v>
      </x:c>
      <x:c r="P378" t="str">
        <x:f>IF(I378&gt;=70,"Yes","No")</x:f>
        <x:v>No</x:v>
      </x:c>
      <x:c r="Q378" t="str">
        <x:f>TEXT(B378,"yyyy-mm")</x:f>
        <x:v>2012-08</x:v>
      </x:c>
    </x:row>
    <x:row r="379">
      <x:c r="A379" t="str">
        <x:v>HYD03</x:v>
      </x:c>
      <x:c r="B379" s="22" t="n">
        <x:f>DATE(C379,D379,1)</x:f>
        <x:v>41153</x:v>
      </x:c>
      <x:c r="C379" t="n">
        <x:v>2012</x:v>
      </x:c>
      <x:c r="D379" t="n">
        <x:v>9</x:v>
      </x:c>
      <x:c r="E379" t="str">
        <x:f>TEXT(B379,"mmm")</x:f>
        <x:v>Sep</x:v>
      </x:c>
      <x:c r="F379" t="str">
        <x:f>"Q"&amp;ROUNDUP(D379/3,0)</x:f>
        <x:v>Q3</x:v>
      </x:c>
      <x:c r="G379" s="23" t="n">
        <x:v>56</x:v>
      </x:c>
      <x:c r="H379" s="23" t="n">
        <x:v>49</x:v>
      </x:c>
      <x:c r="I379" s="23" t="n">
        <x:v>52.5</x:v>
      </x:c>
      <x:c r="J379" s="23" t="n">
        <x:f>G379-H379</x:f>
        <x:v>7</x:v>
      </x:c>
      <x:c r="K379" t="str">
        <x:v>OBSERVED</x:v>
      </x:c>
      <x:c r="L379" s="24" t="n">
        <x:v>17.4948</x:v>
      </x:c>
      <x:c r="M379" s="24" t="n">
        <x:v>78.3927</x:v>
      </x:c>
      <x:c r="N379" t="str">
        <x:f>IF(I379&gt;70,"70+ dB",IF(I379&gt;55,"56-70 dB","41-55 dB"))</x:f>
        <x:v>41-55 dB</x:v>
      </x:c>
      <x:c r="O379" t="str">
        <x:f>IF(I379&gt;70,"High",IF(I379&gt;55,"Moderate","Low"))</x:f>
        <x:v>Low</x:v>
      </x:c>
      <x:c r="P379" t="str">
        <x:f>IF(I379&gt;=70,"Yes","No")</x:f>
        <x:v>No</x:v>
      </x:c>
      <x:c r="Q379" t="str">
        <x:f>TEXT(B379,"yyyy-mm")</x:f>
        <x:v>2012-09</x:v>
      </x:c>
    </x:row>
    <x:row r="380">
      <x:c r="A380" t="str">
        <x:v>HYD03</x:v>
      </x:c>
      <x:c r="B380" s="22" t="n">
        <x:f>DATE(C380,D380,1)</x:f>
        <x:v>41183</x:v>
      </x:c>
      <x:c r="C380" t="n">
        <x:v>2012</x:v>
      </x:c>
      <x:c r="D380" t="n">
        <x:v>10</x:v>
      </x:c>
      <x:c r="E380" t="str">
        <x:f>TEXT(B380,"mmm")</x:f>
        <x:v>Oct</x:v>
      </x:c>
      <x:c r="F380" t="str">
        <x:f>"Q"&amp;ROUNDUP(D380/3,0)</x:f>
        <x:v>Q4</x:v>
      </x:c>
      <x:c r="G380" s="23" t="n">
        <x:v>56</x:v>
      </x:c>
      <x:c r="H380" s="23" t="n">
        <x:v>49</x:v>
      </x:c>
      <x:c r="I380" s="23" t="n">
        <x:v>52.5</x:v>
      </x:c>
      <x:c r="J380" s="23" t="n">
        <x:f>G380-H380</x:f>
        <x:v>7</x:v>
      </x:c>
      <x:c r="K380" t="str">
        <x:v>OBSERVED</x:v>
      </x:c>
      <x:c r="L380" s="24" t="n">
        <x:v>17.4948</x:v>
      </x:c>
      <x:c r="M380" s="24" t="n">
        <x:v>78.3927</x:v>
      </x:c>
      <x:c r="N380" t="str">
        <x:f>IF(I380&gt;70,"70+ dB",IF(I380&gt;55,"56-70 dB","41-55 dB"))</x:f>
        <x:v>41-55 dB</x:v>
      </x:c>
      <x:c r="O380" t="str">
        <x:f>IF(I380&gt;70,"High",IF(I380&gt;55,"Moderate","Low"))</x:f>
        <x:v>Low</x:v>
      </x:c>
      <x:c r="P380" t="str">
        <x:f>IF(I380&gt;=70,"Yes","No")</x:f>
        <x:v>No</x:v>
      </x:c>
      <x:c r="Q380" t="str">
        <x:f>TEXT(B380,"yyyy-mm")</x:f>
        <x:v>2012-10</x:v>
      </x:c>
    </x:row>
    <x:row r="381">
      <x:c r="A381" t="str">
        <x:v>HYD03</x:v>
      </x:c>
      <x:c r="B381" s="22" t="n">
        <x:f>DATE(C381,D381,1)</x:f>
        <x:v>41214</x:v>
      </x:c>
      <x:c r="C381" t="n">
        <x:v>2012</x:v>
      </x:c>
      <x:c r="D381" t="n">
        <x:v>11</x:v>
      </x:c>
      <x:c r="E381" t="str">
        <x:f>TEXT(B381,"mmm")</x:f>
        <x:v>Nov</x:v>
      </x:c>
      <x:c r="F381" t="str">
        <x:f>"Q"&amp;ROUNDUP(D381/3,0)</x:f>
        <x:v>Q4</x:v>
      </x:c>
      <x:c r="G381" s="23" t="n">
        <x:v>57</x:v>
      </x:c>
      <x:c r="H381" s="23" t="n">
        <x:v>49</x:v>
      </x:c>
      <x:c r="I381" s="23" t="n">
        <x:v>53</x:v>
      </x:c>
      <x:c r="J381" s="23" t="n">
        <x:f>G381-H381</x:f>
        <x:v>8</x:v>
      </x:c>
      <x:c r="K381" t="str">
        <x:v>OBSERVED</x:v>
      </x:c>
      <x:c r="L381" s="24" t="n">
        <x:v>17.4948</x:v>
      </x:c>
      <x:c r="M381" s="24" t="n">
        <x:v>78.3927</x:v>
      </x:c>
      <x:c r="N381" t="str">
        <x:f>IF(I381&gt;70,"70+ dB",IF(I381&gt;55,"56-70 dB","41-55 dB"))</x:f>
        <x:v>41-55 dB</x:v>
      </x:c>
      <x:c r="O381" t="str">
        <x:f>IF(I381&gt;70,"High",IF(I381&gt;55,"Moderate","Low"))</x:f>
        <x:v>Low</x:v>
      </x:c>
      <x:c r="P381" t="str">
        <x:f>IF(I381&gt;=70,"Yes","No")</x:f>
        <x:v>No</x:v>
      </x:c>
      <x:c r="Q381" t="str">
        <x:f>TEXT(B381,"yyyy-mm")</x:f>
        <x:v>2012-11</x:v>
      </x:c>
    </x:row>
    <x:row r="382">
      <x:c r="A382" t="str">
        <x:v>HYD03</x:v>
      </x:c>
      <x:c r="B382" s="22" t="n">
        <x:f>DATE(C382,D382,1)</x:f>
        <x:v>41244</x:v>
      </x:c>
      <x:c r="C382" t="n">
        <x:v>2012</x:v>
      </x:c>
      <x:c r="D382" t="n">
        <x:v>12</x:v>
      </x:c>
      <x:c r="E382" t="str">
        <x:f>TEXT(B382,"mmm")</x:f>
        <x:v>Dec</x:v>
      </x:c>
      <x:c r="F382" t="str">
        <x:f>"Q"&amp;ROUNDUP(D382/3,0)</x:f>
        <x:v>Q4</x:v>
      </x:c>
      <x:c r="G382" s="23" t="n">
        <x:v>57</x:v>
      </x:c>
      <x:c r="H382" s="23" t="n">
        <x:v>49</x:v>
      </x:c>
      <x:c r="I382" s="23" t="n">
        <x:v>53</x:v>
      </x:c>
      <x:c r="J382" s="23" t="n">
        <x:f>G382-H382</x:f>
        <x:v>8</x:v>
      </x:c>
      <x:c r="K382" t="str">
        <x:v>OBSERVED</x:v>
      </x:c>
      <x:c r="L382" s="24" t="n">
        <x:v>17.4948</x:v>
      </x:c>
      <x:c r="M382" s="24" t="n">
        <x:v>78.3927</x:v>
      </x:c>
      <x:c r="N382" t="str">
        <x:f>IF(I382&gt;70,"70+ dB",IF(I382&gt;55,"56-70 dB","41-55 dB"))</x:f>
        <x:v>41-55 dB</x:v>
      </x:c>
      <x:c r="O382" t="str">
        <x:f>IF(I382&gt;70,"High",IF(I382&gt;55,"Moderate","Low"))</x:f>
        <x:v>Low</x:v>
      </x:c>
      <x:c r="P382" t="str">
        <x:f>IF(I382&gt;=70,"Yes","No")</x:f>
        <x:v>No</x:v>
      </x:c>
      <x:c r="Q382" t="str">
        <x:f>TEXT(B382,"yyyy-mm")</x:f>
        <x:v>2012-12</x:v>
      </x:c>
    </x:row>
    <x:row r="383">
      <x:c r="A383" t="str">
        <x:v>HYD03</x:v>
      </x:c>
      <x:c r="B383" s="22" t="n">
        <x:f>DATE(C383,D383,1)</x:f>
        <x:v>41275</x:v>
      </x:c>
      <x:c r="C383" t="n">
        <x:v>2013</x:v>
      </x:c>
      <x:c r="D383" t="n">
        <x:v>1</x:v>
      </x:c>
      <x:c r="E383" t="str">
        <x:f>TEXT(B383,"mmm")</x:f>
        <x:v>Jan</x:v>
      </x:c>
      <x:c r="F383" t="str">
        <x:f>"Q"&amp;ROUNDUP(D383/3,0)</x:f>
        <x:v>Q1</x:v>
      </x:c>
      <x:c r="G383" s="23" t="n">
        <x:v>56</x:v>
      </x:c>
      <x:c r="H383" s="23" t="n">
        <x:v>48</x:v>
      </x:c>
      <x:c r="I383" s="23" t="n">
        <x:v>52</x:v>
      </x:c>
      <x:c r="J383" s="23" t="n">
        <x:f>G383-H383</x:f>
        <x:v>8</x:v>
      </x:c>
      <x:c r="K383" t="str">
        <x:v>OBSERVED</x:v>
      </x:c>
      <x:c r="L383" s="24" t="n">
        <x:v>17.4948</x:v>
      </x:c>
      <x:c r="M383" s="24" t="n">
        <x:v>78.3927</x:v>
      </x:c>
      <x:c r="N383" t="str">
        <x:f>IF(I383&gt;70,"70+ dB",IF(I383&gt;55,"56-70 dB","41-55 dB"))</x:f>
        <x:v>41-55 dB</x:v>
      </x:c>
      <x:c r="O383" t="str">
        <x:f>IF(I383&gt;70,"High",IF(I383&gt;55,"Moderate","Low"))</x:f>
        <x:v>Low</x:v>
      </x:c>
      <x:c r="P383" t="str">
        <x:f>IF(I383&gt;=70,"Yes","No")</x:f>
        <x:v>No</x:v>
      </x:c>
      <x:c r="Q383" t="str">
        <x:f>TEXT(B383,"yyyy-mm")</x:f>
        <x:v>2013-01</x:v>
      </x:c>
    </x:row>
    <x:row r="384">
      <x:c r="A384" t="str">
        <x:v>HYD03</x:v>
      </x:c>
      <x:c r="B384" s="22" t="n">
        <x:f>DATE(C384,D384,1)</x:f>
        <x:v>41306</x:v>
      </x:c>
      <x:c r="C384" t="n">
        <x:v>2013</x:v>
      </x:c>
      <x:c r="D384" t="n">
        <x:v>2</x:v>
      </x:c>
      <x:c r="E384" t="str">
        <x:f>TEXT(B384,"mmm")</x:f>
        <x:v>Feb</x:v>
      </x:c>
      <x:c r="F384" t="str">
        <x:f>"Q"&amp;ROUNDUP(D384/3,0)</x:f>
        <x:v>Q1</x:v>
      </x:c>
      <x:c r="G384" s="23" t="n">
        <x:v>57</x:v>
      </x:c>
      <x:c r="H384" s="23" t="n">
        <x:v>50</x:v>
      </x:c>
      <x:c r="I384" s="23" t="n">
        <x:v>53.5</x:v>
      </x:c>
      <x:c r="J384" s="23" t="n">
        <x:f>G384-H384</x:f>
        <x:v>7</x:v>
      </x:c>
      <x:c r="K384" t="str">
        <x:v>OBSERVED</x:v>
      </x:c>
      <x:c r="L384" s="24" t="n">
        <x:v>17.4948</x:v>
      </x:c>
      <x:c r="M384" s="24" t="n">
        <x:v>78.3927</x:v>
      </x:c>
      <x:c r="N384" t="str">
        <x:f>IF(I384&gt;70,"70+ dB",IF(I384&gt;55,"56-70 dB","41-55 dB"))</x:f>
        <x:v>41-55 dB</x:v>
      </x:c>
      <x:c r="O384" t="str">
        <x:f>IF(I384&gt;70,"High",IF(I384&gt;55,"Moderate","Low"))</x:f>
        <x:v>Low</x:v>
      </x:c>
      <x:c r="P384" t="str">
        <x:f>IF(I384&gt;=70,"Yes","No")</x:f>
        <x:v>No</x:v>
      </x:c>
      <x:c r="Q384" t="str">
        <x:f>TEXT(B384,"yyyy-mm")</x:f>
        <x:v>2013-02</x:v>
      </x:c>
    </x:row>
    <x:row r="385">
      <x:c r="A385" t="str">
        <x:v>HYD03</x:v>
      </x:c>
      <x:c r="B385" s="22" t="n">
        <x:f>DATE(C385,D385,1)</x:f>
        <x:v>41334</x:v>
      </x:c>
      <x:c r="C385" t="n">
        <x:v>2013</x:v>
      </x:c>
      <x:c r="D385" t="n">
        <x:v>3</x:v>
      </x:c>
      <x:c r="E385" t="str">
        <x:f>TEXT(B385,"mmm")</x:f>
        <x:v>Mar</x:v>
      </x:c>
      <x:c r="F385" t="str">
        <x:f>"Q"&amp;ROUNDUP(D385/3,0)</x:f>
        <x:v>Q1</x:v>
      </x:c>
      <x:c r="G385" s="23" t="n">
        <x:v>57</x:v>
      </x:c>
      <x:c r="H385" s="23" t="n">
        <x:v>48</x:v>
      </x:c>
      <x:c r="I385" s="23" t="n">
        <x:v>52.5</x:v>
      </x:c>
      <x:c r="J385" s="23" t="n">
        <x:f>G385-H385</x:f>
        <x:v>9</x:v>
      </x:c>
      <x:c r="K385" t="str">
        <x:v>OBSERVED</x:v>
      </x:c>
      <x:c r="L385" s="24" t="n">
        <x:v>17.4948</x:v>
      </x:c>
      <x:c r="M385" s="24" t="n">
        <x:v>78.3927</x:v>
      </x:c>
      <x:c r="N385" t="str">
        <x:f>IF(I385&gt;70,"70+ dB",IF(I385&gt;55,"56-70 dB","41-55 dB"))</x:f>
        <x:v>41-55 dB</x:v>
      </x:c>
      <x:c r="O385" t="str">
        <x:f>IF(I385&gt;70,"High",IF(I385&gt;55,"Moderate","Low"))</x:f>
        <x:v>Low</x:v>
      </x:c>
      <x:c r="P385" t="str">
        <x:f>IF(I385&gt;=70,"Yes","No")</x:f>
        <x:v>No</x:v>
      </x:c>
      <x:c r="Q385" t="str">
        <x:f>TEXT(B385,"yyyy-mm")</x:f>
        <x:v>2013-03</x:v>
      </x:c>
    </x:row>
    <x:row r="386">
      <x:c r="A386" t="str">
        <x:v>HYD03</x:v>
      </x:c>
      <x:c r="B386" s="22" t="n">
        <x:f>DATE(C386,D386,1)</x:f>
        <x:v>41365</x:v>
      </x:c>
      <x:c r="C386" t="n">
        <x:v>2013</x:v>
      </x:c>
      <x:c r="D386" t="n">
        <x:v>4</x:v>
      </x:c>
      <x:c r="E386" t="str">
        <x:f>TEXT(B386,"mmm")</x:f>
        <x:v>Apr</x:v>
      </x:c>
      <x:c r="F386" t="str">
        <x:f>"Q"&amp;ROUNDUP(D386/3,0)</x:f>
        <x:v>Q2</x:v>
      </x:c>
      <x:c r="G386" s="23" t="n">
        <x:v>56</x:v>
      </x:c>
      <x:c r="H386" s="23" t="n">
        <x:v>48</x:v>
      </x:c>
      <x:c r="I386" s="23" t="n">
        <x:v>52</x:v>
      </x:c>
      <x:c r="J386" s="23" t="n">
        <x:f>G386-H386</x:f>
        <x:v>8</x:v>
      </x:c>
      <x:c r="K386" t="str">
        <x:v>OBSERVED</x:v>
      </x:c>
      <x:c r="L386" s="24" t="n">
        <x:v>17.4948</x:v>
      </x:c>
      <x:c r="M386" s="24" t="n">
        <x:v>78.3927</x:v>
      </x:c>
      <x:c r="N386" t="str">
        <x:f>IF(I386&gt;70,"70+ dB",IF(I386&gt;55,"56-70 dB","41-55 dB"))</x:f>
        <x:v>41-55 dB</x:v>
      </x:c>
      <x:c r="O386" t="str">
        <x:f>IF(I386&gt;70,"High",IF(I386&gt;55,"Moderate","Low"))</x:f>
        <x:v>Low</x:v>
      </x:c>
      <x:c r="P386" t="str">
        <x:f>IF(I386&gt;=70,"Yes","No")</x:f>
        <x:v>No</x:v>
      </x:c>
      <x:c r="Q386" t="str">
        <x:f>TEXT(B386,"yyyy-mm")</x:f>
        <x:v>2013-04</x:v>
      </x:c>
    </x:row>
    <x:row r="387">
      <x:c r="A387" t="str">
        <x:v>HYD03</x:v>
      </x:c>
      <x:c r="B387" s="22" t="n">
        <x:f>DATE(C387,D387,1)</x:f>
        <x:v>41395</x:v>
      </x:c>
      <x:c r="C387" t="n">
        <x:v>2013</x:v>
      </x:c>
      <x:c r="D387" t="n">
        <x:v>5</x:v>
      </x:c>
      <x:c r="E387" t="str">
        <x:f>TEXT(B387,"mmm")</x:f>
        <x:v>May</x:v>
      </x:c>
      <x:c r="F387" t="str">
        <x:f>"Q"&amp;ROUNDUP(D387/3,0)</x:f>
        <x:v>Q2</x:v>
      </x:c>
      <x:c r="G387" s="23" t="n">
        <x:v>56</x:v>
      </x:c>
      <x:c r="H387" s="23" t="n">
        <x:v>48</x:v>
      </x:c>
      <x:c r="I387" s="23" t="n">
        <x:v>52</x:v>
      </x:c>
      <x:c r="J387" s="23" t="n">
        <x:f>G387-H387</x:f>
        <x:v>8</x:v>
      </x:c>
      <x:c r="K387" t="str">
        <x:v>OBSERVED</x:v>
      </x:c>
      <x:c r="L387" s="24" t="n">
        <x:v>17.4948</x:v>
      </x:c>
      <x:c r="M387" s="24" t="n">
        <x:v>78.3927</x:v>
      </x:c>
      <x:c r="N387" t="str">
        <x:f>IF(I387&gt;70,"70+ dB",IF(I387&gt;55,"56-70 dB","41-55 dB"))</x:f>
        <x:v>41-55 dB</x:v>
      </x:c>
      <x:c r="O387" t="str">
        <x:f>IF(I387&gt;70,"High",IF(I387&gt;55,"Moderate","Low"))</x:f>
        <x:v>Low</x:v>
      </x:c>
      <x:c r="P387" t="str">
        <x:f>IF(I387&gt;=70,"Yes","No")</x:f>
        <x:v>No</x:v>
      </x:c>
      <x:c r="Q387" t="str">
        <x:f>TEXT(B387,"yyyy-mm")</x:f>
        <x:v>2013-05</x:v>
      </x:c>
    </x:row>
    <x:row r="388">
      <x:c r="A388" t="str">
        <x:v>HYD03</x:v>
      </x:c>
      <x:c r="B388" s="22" t="n">
        <x:f>DATE(C388,D388,1)</x:f>
        <x:v>41426</x:v>
      </x:c>
      <x:c r="C388" t="n">
        <x:v>2013</x:v>
      </x:c>
      <x:c r="D388" t="n">
        <x:v>6</x:v>
      </x:c>
      <x:c r="E388" t="str">
        <x:f>TEXT(B388,"mmm")</x:f>
        <x:v>Jun</x:v>
      </x:c>
      <x:c r="F388" t="str">
        <x:f>"Q"&amp;ROUNDUP(D388/3,0)</x:f>
        <x:v>Q2</x:v>
      </x:c>
      <x:c r="G388" s="23" t="n">
        <x:v>57</x:v>
      </x:c>
      <x:c r="H388" s="23" t="n">
        <x:v>51</x:v>
      </x:c>
      <x:c r="I388" s="23" t="n">
        <x:v>54</x:v>
      </x:c>
      <x:c r="J388" s="23" t="n">
        <x:f>G388-H388</x:f>
        <x:v>6</x:v>
      </x:c>
      <x:c r="K388" t="str">
        <x:v>OBSERVED</x:v>
      </x:c>
      <x:c r="L388" s="24" t="n">
        <x:v>17.4948</x:v>
      </x:c>
      <x:c r="M388" s="24" t="n">
        <x:v>78.3927</x:v>
      </x:c>
      <x:c r="N388" t="str">
        <x:f>IF(I388&gt;70,"70+ dB",IF(I388&gt;55,"56-70 dB","41-55 dB"))</x:f>
        <x:v>41-55 dB</x:v>
      </x:c>
      <x:c r="O388" t="str">
        <x:f>IF(I388&gt;70,"High",IF(I388&gt;55,"Moderate","Low"))</x:f>
        <x:v>Low</x:v>
      </x:c>
      <x:c r="P388" t="str">
        <x:f>IF(I388&gt;=70,"Yes","No")</x:f>
        <x:v>No</x:v>
      </x:c>
      <x:c r="Q388" t="str">
        <x:f>TEXT(B388,"yyyy-mm")</x:f>
        <x:v>2013-06</x:v>
      </x:c>
    </x:row>
    <x:row r="389">
      <x:c r="A389" t="str">
        <x:v>HYD03</x:v>
      </x:c>
      <x:c r="B389" s="22" t="n">
        <x:f>DATE(C389,D389,1)</x:f>
        <x:v>41456</x:v>
      </x:c>
      <x:c r="C389" t="n">
        <x:v>2013</x:v>
      </x:c>
      <x:c r="D389" t="n">
        <x:v>7</x:v>
      </x:c>
      <x:c r="E389" t="str">
        <x:f>TEXT(B389,"mmm")</x:f>
        <x:v>Jul</x:v>
      </x:c>
      <x:c r="F389" t="str">
        <x:f>"Q"&amp;ROUNDUP(D389/3,0)</x:f>
        <x:v>Q3</x:v>
      </x:c>
      <x:c r="G389" s="23" t="n">
        <x:v>57</x:v>
      </x:c>
      <x:c r="H389" s="23" t="n">
        <x:v>51</x:v>
      </x:c>
      <x:c r="I389" s="23" t="n">
        <x:v>54</x:v>
      </x:c>
      <x:c r="J389" s="23" t="n">
        <x:f>G389-H389</x:f>
        <x:v>6</x:v>
      </x:c>
      <x:c r="K389" t="str">
        <x:v>OBSERVED</x:v>
      </x:c>
      <x:c r="L389" s="24" t="n">
        <x:v>17.4948</x:v>
      </x:c>
      <x:c r="M389" s="24" t="n">
        <x:v>78.3927</x:v>
      </x:c>
      <x:c r="N389" t="str">
        <x:f>IF(I389&gt;70,"70+ dB",IF(I389&gt;55,"56-70 dB","41-55 dB"))</x:f>
        <x:v>41-55 dB</x:v>
      </x:c>
      <x:c r="O389" t="str">
        <x:f>IF(I389&gt;70,"High",IF(I389&gt;55,"Moderate","Low"))</x:f>
        <x:v>Low</x:v>
      </x:c>
      <x:c r="P389" t="str">
        <x:f>IF(I389&gt;=70,"Yes","No")</x:f>
        <x:v>No</x:v>
      </x:c>
      <x:c r="Q389" t="str">
        <x:f>TEXT(B389,"yyyy-mm")</x:f>
        <x:v>2013-07</x:v>
      </x:c>
    </x:row>
    <x:row r="390">
      <x:c r="A390" t="str">
        <x:v>HYD03</x:v>
      </x:c>
      <x:c r="B390" s="22" t="n">
        <x:f>DATE(C390,D390,1)</x:f>
        <x:v>41487</x:v>
      </x:c>
      <x:c r="C390" t="n">
        <x:v>2013</x:v>
      </x:c>
      <x:c r="D390" t="n">
        <x:v>8</x:v>
      </x:c>
      <x:c r="E390" t="str">
        <x:f>TEXT(B390,"mmm")</x:f>
        <x:v>Aug</x:v>
      </x:c>
      <x:c r="F390" t="str">
        <x:f>"Q"&amp;ROUNDUP(D390/3,0)</x:f>
        <x:v>Q3</x:v>
      </x:c>
      <x:c r="G390" s="23" t="n">
        <x:v>56</x:v>
      </x:c>
      <x:c r="H390" s="23" t="n">
        <x:v>48</x:v>
      </x:c>
      <x:c r="I390" s="23" t="n">
        <x:v>52</x:v>
      </x:c>
      <x:c r="J390" s="23" t="n">
        <x:f>G390-H390</x:f>
        <x:v>8</x:v>
      </x:c>
      <x:c r="K390" t="str">
        <x:v>OBSERVED</x:v>
      </x:c>
      <x:c r="L390" s="24" t="n">
        <x:v>17.4948</x:v>
      </x:c>
      <x:c r="M390" s="24" t="n">
        <x:v>78.3927</x:v>
      </x:c>
      <x:c r="N390" t="str">
        <x:f>IF(I390&gt;70,"70+ dB",IF(I390&gt;55,"56-70 dB","41-55 dB"))</x:f>
        <x:v>41-55 dB</x:v>
      </x:c>
      <x:c r="O390" t="str">
        <x:f>IF(I390&gt;70,"High",IF(I390&gt;55,"Moderate","Low"))</x:f>
        <x:v>Low</x:v>
      </x:c>
      <x:c r="P390" t="str">
        <x:f>IF(I390&gt;=70,"Yes","No")</x:f>
        <x:v>No</x:v>
      </x:c>
      <x:c r="Q390" t="str">
        <x:f>TEXT(B390,"yyyy-mm")</x:f>
        <x:v>2013-08</x:v>
      </x:c>
    </x:row>
    <x:row r="391">
      <x:c r="A391" t="str">
        <x:v>HYD03</x:v>
      </x:c>
      <x:c r="B391" s="22" t="n">
        <x:f>DATE(C391,D391,1)</x:f>
        <x:v>41518</x:v>
      </x:c>
      <x:c r="C391" t="n">
        <x:v>2013</x:v>
      </x:c>
      <x:c r="D391" t="n">
        <x:v>9</x:v>
      </x:c>
      <x:c r="E391" t="str">
        <x:f>TEXT(B391,"mmm")</x:f>
        <x:v>Sep</x:v>
      </x:c>
      <x:c r="F391" t="str">
        <x:f>"Q"&amp;ROUNDUP(D391/3,0)</x:f>
        <x:v>Q3</x:v>
      </x:c>
      <x:c r="G391" s="23" t="n">
        <x:v>55</x:v>
      </x:c>
      <x:c r="H391" s="23" t="n">
        <x:v>48</x:v>
      </x:c>
      <x:c r="I391" s="23" t="n">
        <x:v>51.5</x:v>
      </x:c>
      <x:c r="J391" s="23" t="n">
        <x:f>G391-H391</x:f>
        <x:v>7</x:v>
      </x:c>
      <x:c r="K391" t="str">
        <x:v>OBSERVED</x:v>
      </x:c>
      <x:c r="L391" s="24" t="n">
        <x:v>17.4948</x:v>
      </x:c>
      <x:c r="M391" s="24" t="n">
        <x:v>78.3927</x:v>
      </x:c>
      <x:c r="N391" t="str">
        <x:f>IF(I391&gt;70,"70+ dB",IF(I391&gt;55,"56-70 dB","41-55 dB"))</x:f>
        <x:v>41-55 dB</x:v>
      </x:c>
      <x:c r="O391" t="str">
        <x:f>IF(I391&gt;70,"High",IF(I391&gt;55,"Moderate","Low"))</x:f>
        <x:v>Low</x:v>
      </x:c>
      <x:c r="P391" t="str">
        <x:f>IF(I391&gt;=70,"Yes","No")</x:f>
        <x:v>No</x:v>
      </x:c>
      <x:c r="Q391" t="str">
        <x:f>TEXT(B391,"yyyy-mm")</x:f>
        <x:v>2013-09</x:v>
      </x:c>
    </x:row>
    <x:row r="392">
      <x:c r="A392" t="str">
        <x:v>HYD03</x:v>
      </x:c>
      <x:c r="B392" s="22" t="n">
        <x:f>DATE(C392,D392,1)</x:f>
        <x:v>41548</x:v>
      </x:c>
      <x:c r="C392" t="n">
        <x:v>2013</x:v>
      </x:c>
      <x:c r="D392" t="n">
        <x:v>10</x:v>
      </x:c>
      <x:c r="E392" t="str">
        <x:f>TEXT(B392,"mmm")</x:f>
        <x:v>Oct</x:v>
      </x:c>
      <x:c r="F392" t="str">
        <x:f>"Q"&amp;ROUNDUP(D392/3,0)</x:f>
        <x:v>Q4</x:v>
      </x:c>
      <x:c r="G392" s="23" t="n">
        <x:v>56</x:v>
      </x:c>
      <x:c r="H392" s="23" t="n">
        <x:v>48</x:v>
      </x:c>
      <x:c r="I392" s="23" t="n">
        <x:v>52</x:v>
      </x:c>
      <x:c r="J392" s="23" t="n">
        <x:f>G392-H392</x:f>
        <x:v>8</x:v>
      </x:c>
      <x:c r="K392" t="str">
        <x:v>OBSERVED</x:v>
      </x:c>
      <x:c r="L392" s="24" t="n">
        <x:v>17.4948</x:v>
      </x:c>
      <x:c r="M392" s="24" t="n">
        <x:v>78.3927</x:v>
      </x:c>
      <x:c r="N392" t="str">
        <x:f>IF(I392&gt;70,"70+ dB",IF(I392&gt;55,"56-70 dB","41-55 dB"))</x:f>
        <x:v>41-55 dB</x:v>
      </x:c>
      <x:c r="O392" t="str">
        <x:f>IF(I392&gt;70,"High",IF(I392&gt;55,"Moderate","Low"))</x:f>
        <x:v>Low</x:v>
      </x:c>
      <x:c r="P392" t="str">
        <x:f>IF(I392&gt;=70,"Yes","No")</x:f>
        <x:v>No</x:v>
      </x:c>
      <x:c r="Q392" t="str">
        <x:f>TEXT(B392,"yyyy-mm")</x:f>
        <x:v>2013-10</x:v>
      </x:c>
    </x:row>
    <x:row r="393">
      <x:c r="A393" t="str">
        <x:v>HYD03</x:v>
      </x:c>
      <x:c r="B393" s="22" t="n">
        <x:f>DATE(C393,D393,1)</x:f>
        <x:v>41579</x:v>
      </x:c>
      <x:c r="C393" t="n">
        <x:v>2013</x:v>
      </x:c>
      <x:c r="D393" t="n">
        <x:v>11</x:v>
      </x:c>
      <x:c r="E393" t="str">
        <x:f>TEXT(B393,"mmm")</x:f>
        <x:v>Nov</x:v>
      </x:c>
      <x:c r="F393" t="str">
        <x:f>"Q"&amp;ROUNDUP(D393/3,0)</x:f>
        <x:v>Q4</x:v>
      </x:c>
      <x:c r="G393" s="23" t="n">
        <x:v>56</x:v>
      </x:c>
      <x:c r="H393" s="23" t="n">
        <x:v>48</x:v>
      </x:c>
      <x:c r="I393" s="23" t="n">
        <x:v>52</x:v>
      </x:c>
      <x:c r="J393" s="23" t="n">
        <x:f>G393-H393</x:f>
        <x:v>8</x:v>
      </x:c>
      <x:c r="K393" t="str">
        <x:v>OBSERVED</x:v>
      </x:c>
      <x:c r="L393" s="24" t="n">
        <x:v>17.4948</x:v>
      </x:c>
      <x:c r="M393" s="24" t="n">
        <x:v>78.3927</x:v>
      </x:c>
      <x:c r="N393" t="str">
        <x:f>IF(I393&gt;70,"70+ dB",IF(I393&gt;55,"56-70 dB","41-55 dB"))</x:f>
        <x:v>41-55 dB</x:v>
      </x:c>
      <x:c r="O393" t="str">
        <x:f>IF(I393&gt;70,"High",IF(I393&gt;55,"Moderate","Low"))</x:f>
        <x:v>Low</x:v>
      </x:c>
      <x:c r="P393" t="str">
        <x:f>IF(I393&gt;=70,"Yes","No")</x:f>
        <x:v>No</x:v>
      </x:c>
      <x:c r="Q393" t="str">
        <x:f>TEXT(B393,"yyyy-mm")</x:f>
        <x:v>2013-11</x:v>
      </x:c>
    </x:row>
    <x:row r="394">
      <x:c r="A394" t="str">
        <x:v>HYD03</x:v>
      </x:c>
      <x:c r="B394" s="22" t="n">
        <x:f>DATE(C394,D394,1)</x:f>
        <x:v>41609</x:v>
      </x:c>
      <x:c r="C394" t="n">
        <x:v>2013</x:v>
      </x:c>
      <x:c r="D394" t="n">
        <x:v>12</x:v>
      </x:c>
      <x:c r="E394" t="str">
        <x:f>TEXT(B394,"mmm")</x:f>
        <x:v>Dec</x:v>
      </x:c>
      <x:c r="F394" t="str">
        <x:f>"Q"&amp;ROUNDUP(D394/3,0)</x:f>
        <x:v>Q4</x:v>
      </x:c>
      <x:c r="G394" s="23" t="n">
        <x:v>56</x:v>
      </x:c>
      <x:c r="H394" s="23" t="n">
        <x:v>49</x:v>
      </x:c>
      <x:c r="I394" s="23" t="n">
        <x:v>52.5</x:v>
      </x:c>
      <x:c r="J394" s="23" t="n">
        <x:f>G394-H394</x:f>
        <x:v>7</x:v>
      </x:c>
      <x:c r="K394" t="str">
        <x:v>OBSERVED</x:v>
      </x:c>
      <x:c r="L394" s="24" t="n">
        <x:v>17.4948</x:v>
      </x:c>
      <x:c r="M394" s="24" t="n">
        <x:v>78.3927</x:v>
      </x:c>
      <x:c r="N394" t="str">
        <x:f>IF(I394&gt;70,"70+ dB",IF(I394&gt;55,"56-70 dB","41-55 dB"))</x:f>
        <x:v>41-55 dB</x:v>
      </x:c>
      <x:c r="O394" t="str">
        <x:f>IF(I394&gt;70,"High",IF(I394&gt;55,"Moderate","Low"))</x:f>
        <x:v>Low</x:v>
      </x:c>
      <x:c r="P394" t="str">
        <x:f>IF(I394&gt;=70,"Yes","No")</x:f>
        <x:v>No</x:v>
      </x:c>
      <x:c r="Q394" t="str">
        <x:f>TEXT(B394,"yyyy-mm")</x:f>
        <x:v>2013-12</x:v>
      </x:c>
    </x:row>
    <x:row r="395">
      <x:c r="A395" t="str">
        <x:v>HYD03</x:v>
      </x:c>
      <x:c r="B395" s="22" t="n">
        <x:f>DATE(C395,D395,1)</x:f>
        <x:v>41640</x:v>
      </x:c>
      <x:c r="C395" t="n">
        <x:v>2014</x:v>
      </x:c>
      <x:c r="D395" t="n">
        <x:v>1</x:v>
      </x:c>
      <x:c r="E395" t="str">
        <x:f>TEXT(B395,"mmm")</x:f>
        <x:v>Jan</x:v>
      </x:c>
      <x:c r="F395" t="str">
        <x:f>"Q"&amp;ROUNDUP(D395/3,0)</x:f>
        <x:v>Q1</x:v>
      </x:c>
      <x:c r="G395" s="23" t="n">
        <x:v>56</x:v>
      </x:c>
      <x:c r="H395" s="23" t="n">
        <x:v>48</x:v>
      </x:c>
      <x:c r="I395" s="23" t="n">
        <x:v>52</x:v>
      </x:c>
      <x:c r="J395" s="23" t="n">
        <x:f>G395-H395</x:f>
        <x:v>8</x:v>
      </x:c>
      <x:c r="K395" t="str">
        <x:v>OBSERVED</x:v>
      </x:c>
      <x:c r="L395" s="24" t="n">
        <x:v>17.4948</x:v>
      </x:c>
      <x:c r="M395" s="24" t="n">
        <x:v>78.3927</x:v>
      </x:c>
      <x:c r="N395" t="str">
        <x:f>IF(I395&gt;70,"70+ dB",IF(I395&gt;55,"56-70 dB","41-55 dB"))</x:f>
        <x:v>41-55 dB</x:v>
      </x:c>
      <x:c r="O395" t="str">
        <x:f>IF(I395&gt;70,"High",IF(I395&gt;55,"Moderate","Low"))</x:f>
        <x:v>Low</x:v>
      </x:c>
      <x:c r="P395" t="str">
        <x:f>IF(I395&gt;=70,"Yes","No")</x:f>
        <x:v>No</x:v>
      </x:c>
      <x:c r="Q395" t="str">
        <x:f>TEXT(B395,"yyyy-mm")</x:f>
        <x:v>2014-01</x:v>
      </x:c>
    </x:row>
    <x:row r="396">
      <x:c r="A396" t="str">
        <x:v>HYD03</x:v>
      </x:c>
      <x:c r="B396" s="22" t="n">
        <x:f>DATE(C396,D396,1)</x:f>
        <x:v>41671</x:v>
      </x:c>
      <x:c r="C396" t="n">
        <x:v>2014</x:v>
      </x:c>
      <x:c r="D396" t="n">
        <x:v>2</x:v>
      </x:c>
      <x:c r="E396" t="str">
        <x:f>TEXT(B396,"mmm")</x:f>
        <x:v>Feb</x:v>
      </x:c>
      <x:c r="F396" t="str">
        <x:f>"Q"&amp;ROUNDUP(D396/3,0)</x:f>
        <x:v>Q1</x:v>
      </x:c>
      <x:c r="G396" s="23" t="n">
        <x:v>56</x:v>
      </x:c>
      <x:c r="H396" s="23" t="n">
        <x:v>48</x:v>
      </x:c>
      <x:c r="I396" s="23" t="n">
        <x:v>52</x:v>
      </x:c>
      <x:c r="J396" s="23" t="n">
        <x:f>G396-H396</x:f>
        <x:v>8</x:v>
      </x:c>
      <x:c r="K396" t="str">
        <x:v>OBSERVED</x:v>
      </x:c>
      <x:c r="L396" s="24" t="n">
        <x:v>17.4948</x:v>
      </x:c>
      <x:c r="M396" s="24" t="n">
        <x:v>78.3927</x:v>
      </x:c>
      <x:c r="N396" t="str">
        <x:f>IF(I396&gt;70,"70+ dB",IF(I396&gt;55,"56-70 dB","41-55 dB"))</x:f>
        <x:v>41-55 dB</x:v>
      </x:c>
      <x:c r="O396" t="str">
        <x:f>IF(I396&gt;70,"High",IF(I396&gt;55,"Moderate","Low"))</x:f>
        <x:v>Low</x:v>
      </x:c>
      <x:c r="P396" t="str">
        <x:f>IF(I396&gt;=70,"Yes","No")</x:f>
        <x:v>No</x:v>
      </x:c>
      <x:c r="Q396" t="str">
        <x:f>TEXT(B396,"yyyy-mm")</x:f>
        <x:v>2014-02</x:v>
      </x:c>
    </x:row>
    <x:row r="397">
      <x:c r="A397" t="str">
        <x:v>HYD03</x:v>
      </x:c>
      <x:c r="B397" s="22" t="n">
        <x:f>DATE(C397,D397,1)</x:f>
        <x:v>41699</x:v>
      </x:c>
      <x:c r="C397" t="n">
        <x:v>2014</x:v>
      </x:c>
      <x:c r="D397" t="n">
        <x:v>3</x:v>
      </x:c>
      <x:c r="E397" t="str">
        <x:f>TEXT(B397,"mmm")</x:f>
        <x:v>Mar</x:v>
      </x:c>
      <x:c r="F397" t="str">
        <x:f>"Q"&amp;ROUNDUP(D397/3,0)</x:f>
        <x:v>Q1</x:v>
      </x:c>
      <x:c r="G397" s="23" t="n">
        <x:v>56</x:v>
      </x:c>
      <x:c r="H397" s="23" t="n">
        <x:v>48</x:v>
      </x:c>
      <x:c r="I397" s="23" t="n">
        <x:v>52</x:v>
      </x:c>
      <x:c r="J397" s="23" t="n">
        <x:f>G397-H397</x:f>
        <x:v>8</x:v>
      </x:c>
      <x:c r="K397" t="str">
        <x:v>OBSERVED</x:v>
      </x:c>
      <x:c r="L397" s="24" t="n">
        <x:v>17.4948</x:v>
      </x:c>
      <x:c r="M397" s="24" t="n">
        <x:v>78.3927</x:v>
      </x:c>
      <x:c r="N397" t="str">
        <x:f>IF(I397&gt;70,"70+ dB",IF(I397&gt;55,"56-70 dB","41-55 dB"))</x:f>
        <x:v>41-55 dB</x:v>
      </x:c>
      <x:c r="O397" t="str">
        <x:f>IF(I397&gt;70,"High",IF(I397&gt;55,"Moderate","Low"))</x:f>
        <x:v>Low</x:v>
      </x:c>
      <x:c r="P397" t="str">
        <x:f>IF(I397&gt;=70,"Yes","No")</x:f>
        <x:v>No</x:v>
      </x:c>
      <x:c r="Q397" t="str">
        <x:f>TEXT(B397,"yyyy-mm")</x:f>
        <x:v>2014-03</x:v>
      </x:c>
    </x:row>
    <x:row r="398">
      <x:c r="A398" t="str">
        <x:v>HYD03</x:v>
      </x:c>
      <x:c r="B398" s="22" t="n">
        <x:f>DATE(C398,D398,1)</x:f>
        <x:v>41730</x:v>
      </x:c>
      <x:c r="C398" t="n">
        <x:v>2014</x:v>
      </x:c>
      <x:c r="D398" t="n">
        <x:v>4</x:v>
      </x:c>
      <x:c r="E398" t="str">
        <x:f>TEXT(B398,"mmm")</x:f>
        <x:v>Apr</x:v>
      </x:c>
      <x:c r="F398" t="str">
        <x:f>"Q"&amp;ROUNDUP(D398/3,0)</x:f>
        <x:v>Q2</x:v>
      </x:c>
      <x:c r="G398" s="23" t="n">
        <x:v>55</x:v>
      </x:c>
      <x:c r="H398" s="23" t="n">
        <x:v>48</x:v>
      </x:c>
      <x:c r="I398" s="23" t="n">
        <x:v>51.5</x:v>
      </x:c>
      <x:c r="J398" s="23" t="n">
        <x:f>G398-H398</x:f>
        <x:v>7</x:v>
      </x:c>
      <x:c r="K398" t="str">
        <x:v>OBSERVED</x:v>
      </x:c>
      <x:c r="L398" s="24" t="n">
        <x:v>17.4948</x:v>
      </x:c>
      <x:c r="M398" s="24" t="n">
        <x:v>78.3927</x:v>
      </x:c>
      <x:c r="N398" t="str">
        <x:f>IF(I398&gt;70,"70+ dB",IF(I398&gt;55,"56-70 dB","41-55 dB"))</x:f>
        <x:v>41-55 dB</x:v>
      </x:c>
      <x:c r="O398" t="str">
        <x:f>IF(I398&gt;70,"High",IF(I398&gt;55,"Moderate","Low"))</x:f>
        <x:v>Low</x:v>
      </x:c>
      <x:c r="P398" t="str">
        <x:f>IF(I398&gt;=70,"Yes","No")</x:f>
        <x:v>No</x:v>
      </x:c>
      <x:c r="Q398" t="str">
        <x:f>TEXT(B398,"yyyy-mm")</x:f>
        <x:v>2014-04</x:v>
      </x:c>
    </x:row>
    <x:row r="399">
      <x:c r="A399" t="str">
        <x:v>HYD03</x:v>
      </x:c>
      <x:c r="B399" s="22" t="n">
        <x:f>DATE(C399,D399,1)</x:f>
        <x:v>41760</x:v>
      </x:c>
      <x:c r="C399" t="n">
        <x:v>2014</x:v>
      </x:c>
      <x:c r="D399" t="n">
        <x:v>5</x:v>
      </x:c>
      <x:c r="E399" t="str">
        <x:f>TEXT(B399,"mmm")</x:f>
        <x:v>May</x:v>
      </x:c>
      <x:c r="F399" t="str">
        <x:f>"Q"&amp;ROUNDUP(D399/3,0)</x:f>
        <x:v>Q2</x:v>
      </x:c>
      <x:c r="G399" s="23" t="n">
        <x:v>58</x:v>
      </x:c>
      <x:c r="H399" s="23" t="n">
        <x:v>49</x:v>
      </x:c>
      <x:c r="I399" s="23" t="n">
        <x:v>53.5</x:v>
      </x:c>
      <x:c r="J399" s="23" t="n">
        <x:f>G399-H399</x:f>
        <x:v>9</x:v>
      </x:c>
      <x:c r="K399" t="str">
        <x:v>OBSERVED</x:v>
      </x:c>
      <x:c r="L399" s="24" t="n">
        <x:v>17.4948</x:v>
      </x:c>
      <x:c r="M399" s="24" t="n">
        <x:v>78.3927</x:v>
      </x:c>
      <x:c r="N399" t="str">
        <x:f>IF(I399&gt;70,"70+ dB",IF(I399&gt;55,"56-70 dB","41-55 dB"))</x:f>
        <x:v>41-55 dB</x:v>
      </x:c>
      <x:c r="O399" t="str">
        <x:f>IF(I399&gt;70,"High",IF(I399&gt;55,"Moderate","Low"))</x:f>
        <x:v>Low</x:v>
      </x:c>
      <x:c r="P399" t="str">
        <x:f>IF(I399&gt;=70,"Yes","No")</x:f>
        <x:v>No</x:v>
      </x:c>
      <x:c r="Q399" t="str">
        <x:f>TEXT(B399,"yyyy-mm")</x:f>
        <x:v>2014-05</x:v>
      </x:c>
    </x:row>
    <x:row r="400">
      <x:c r="A400" t="str">
        <x:v>HYD03</x:v>
      </x:c>
      <x:c r="B400" s="22" t="n">
        <x:f>DATE(C400,D400,1)</x:f>
        <x:v>41791</x:v>
      </x:c>
      <x:c r="C400" t="n">
        <x:v>2014</x:v>
      </x:c>
      <x:c r="D400" t="n">
        <x:v>6</x:v>
      </x:c>
      <x:c r="E400" t="str">
        <x:f>TEXT(B400,"mmm")</x:f>
        <x:v>Jun</x:v>
      </x:c>
      <x:c r="F400" t="str">
        <x:f>"Q"&amp;ROUNDUP(D400/3,0)</x:f>
        <x:v>Q2</x:v>
      </x:c>
      <x:c r="G400" s="23" t="n">
        <x:v>58</x:v>
      </x:c>
      <x:c r="H400" s="23" t="n">
        <x:v>50</x:v>
      </x:c>
      <x:c r="I400" s="23" t="n">
        <x:v>54</x:v>
      </x:c>
      <x:c r="J400" s="23" t="n">
        <x:f>G400-H400</x:f>
        <x:v>8</x:v>
      </x:c>
      <x:c r="K400" t="str">
        <x:v>OBSERVED</x:v>
      </x:c>
      <x:c r="L400" s="24" t="n">
        <x:v>17.4948</x:v>
      </x:c>
      <x:c r="M400" s="24" t="n">
        <x:v>78.3927</x:v>
      </x:c>
      <x:c r="N400" t="str">
        <x:f>IF(I400&gt;70,"70+ dB",IF(I400&gt;55,"56-70 dB","41-55 dB"))</x:f>
        <x:v>41-55 dB</x:v>
      </x:c>
      <x:c r="O400" t="str">
        <x:f>IF(I400&gt;70,"High",IF(I400&gt;55,"Moderate","Low"))</x:f>
        <x:v>Low</x:v>
      </x:c>
      <x:c r="P400" t="str">
        <x:f>IF(I400&gt;=70,"Yes","No")</x:f>
        <x:v>No</x:v>
      </x:c>
      <x:c r="Q400" t="str">
        <x:f>TEXT(B400,"yyyy-mm")</x:f>
        <x:v>2014-06</x:v>
      </x:c>
    </x:row>
    <x:row r="401">
      <x:c r="A401" t="str">
        <x:v>HYD03</x:v>
      </x:c>
      <x:c r="B401" s="22" t="n">
        <x:f>DATE(C401,D401,1)</x:f>
        <x:v>41821</x:v>
      </x:c>
      <x:c r="C401" t="n">
        <x:v>2014</x:v>
      </x:c>
      <x:c r="D401" t="n">
        <x:v>7</x:v>
      </x:c>
      <x:c r="E401" t="str">
        <x:f>TEXT(B401,"mmm")</x:f>
        <x:v>Jul</x:v>
      </x:c>
      <x:c r="F401" t="str">
        <x:f>"Q"&amp;ROUNDUP(D401/3,0)</x:f>
        <x:v>Q3</x:v>
      </x:c>
      <x:c r="G401" s="23" t="n">
        <x:v>57</x:v>
      </x:c>
      <x:c r="H401" s="23" t="n">
        <x:v>51</x:v>
      </x:c>
      <x:c r="I401" s="23" t="n">
        <x:v>54</x:v>
      </x:c>
      <x:c r="J401" s="23" t="n">
        <x:f>G401-H401</x:f>
        <x:v>6</x:v>
      </x:c>
      <x:c r="K401" t="str">
        <x:v>OBSERVED</x:v>
      </x:c>
      <x:c r="L401" s="24" t="n">
        <x:v>17.4948</x:v>
      </x:c>
      <x:c r="M401" s="24" t="n">
        <x:v>78.3927</x:v>
      </x:c>
      <x:c r="N401" t="str">
        <x:f>IF(I401&gt;70,"70+ dB",IF(I401&gt;55,"56-70 dB","41-55 dB"))</x:f>
        <x:v>41-55 dB</x:v>
      </x:c>
      <x:c r="O401" t="str">
        <x:f>IF(I401&gt;70,"High",IF(I401&gt;55,"Moderate","Low"))</x:f>
        <x:v>Low</x:v>
      </x:c>
      <x:c r="P401" t="str">
        <x:f>IF(I401&gt;=70,"Yes","No")</x:f>
        <x:v>No</x:v>
      </x:c>
      <x:c r="Q401" t="str">
        <x:f>TEXT(B401,"yyyy-mm")</x:f>
        <x:v>2014-07</x:v>
      </x:c>
    </x:row>
    <x:row r="402">
      <x:c r="A402" t="str">
        <x:v>HYD03</x:v>
      </x:c>
      <x:c r="B402" s="22" t="n">
        <x:f>DATE(C402,D402,1)</x:f>
        <x:v>41852</x:v>
      </x:c>
      <x:c r="C402" t="n">
        <x:v>2014</x:v>
      </x:c>
      <x:c r="D402" t="n">
        <x:v>8</x:v>
      </x:c>
      <x:c r="E402" t="str">
        <x:f>TEXT(B402,"mmm")</x:f>
        <x:v>Aug</x:v>
      </x:c>
      <x:c r="F402" t="str">
        <x:f>"Q"&amp;ROUNDUP(D402/3,0)</x:f>
        <x:v>Q3</x:v>
      </x:c>
      <x:c r="G402" s="23" t="n">
        <x:v>55</x:v>
      </x:c>
      <x:c r="H402" s="23" t="n">
        <x:v>48</x:v>
      </x:c>
      <x:c r="I402" s="23" t="n">
        <x:v>51.5</x:v>
      </x:c>
      <x:c r="J402" s="23" t="n">
        <x:f>G402-H402</x:f>
        <x:v>7</x:v>
      </x:c>
      <x:c r="K402" t="str">
        <x:v>OBSERVED</x:v>
      </x:c>
      <x:c r="L402" s="24" t="n">
        <x:v>17.4948</x:v>
      </x:c>
      <x:c r="M402" s="24" t="n">
        <x:v>78.3927</x:v>
      </x:c>
      <x:c r="N402" t="str">
        <x:f>IF(I402&gt;70,"70+ dB",IF(I402&gt;55,"56-70 dB","41-55 dB"))</x:f>
        <x:v>41-55 dB</x:v>
      </x:c>
      <x:c r="O402" t="str">
        <x:f>IF(I402&gt;70,"High",IF(I402&gt;55,"Moderate","Low"))</x:f>
        <x:v>Low</x:v>
      </x:c>
      <x:c r="P402" t="str">
        <x:f>IF(I402&gt;=70,"Yes","No")</x:f>
        <x:v>No</x:v>
      </x:c>
      <x:c r="Q402" t="str">
        <x:f>TEXT(B402,"yyyy-mm")</x:f>
        <x:v>2014-08</x:v>
      </x:c>
    </x:row>
    <x:row r="403">
      <x:c r="A403" t="str">
        <x:v>HYD03</x:v>
      </x:c>
      <x:c r="B403" s="22" t="n">
        <x:f>DATE(C403,D403,1)</x:f>
        <x:v>41883</x:v>
      </x:c>
      <x:c r="C403" t="n">
        <x:v>2014</x:v>
      </x:c>
      <x:c r="D403" t="n">
        <x:v>9</x:v>
      </x:c>
      <x:c r="E403" t="str">
        <x:f>TEXT(B403,"mmm")</x:f>
        <x:v>Sep</x:v>
      </x:c>
      <x:c r="F403" t="str">
        <x:f>"Q"&amp;ROUNDUP(D403/3,0)</x:f>
        <x:v>Q3</x:v>
      </x:c>
      <x:c r="G403" s="23" t="n">
        <x:v>56</x:v>
      </x:c>
      <x:c r="H403" s="23" t="n">
        <x:v>48</x:v>
      </x:c>
      <x:c r="I403" s="23" t="n">
        <x:v>52</x:v>
      </x:c>
      <x:c r="J403" s="23" t="n">
        <x:f>G403-H403</x:f>
        <x:v>8</x:v>
      </x:c>
      <x:c r="K403" t="str">
        <x:v>OBSERVED</x:v>
      </x:c>
      <x:c r="L403" s="24" t="n">
        <x:v>17.4948</x:v>
      </x:c>
      <x:c r="M403" s="24" t="n">
        <x:v>78.3927</x:v>
      </x:c>
      <x:c r="N403" t="str">
        <x:f>IF(I403&gt;70,"70+ dB",IF(I403&gt;55,"56-70 dB","41-55 dB"))</x:f>
        <x:v>41-55 dB</x:v>
      </x:c>
      <x:c r="O403" t="str">
        <x:f>IF(I403&gt;70,"High",IF(I403&gt;55,"Moderate","Low"))</x:f>
        <x:v>Low</x:v>
      </x:c>
      <x:c r="P403" t="str">
        <x:f>IF(I403&gt;=70,"Yes","No")</x:f>
        <x:v>No</x:v>
      </x:c>
      <x:c r="Q403" t="str">
        <x:f>TEXT(B403,"yyyy-mm")</x:f>
        <x:v>2014-09</x:v>
      </x:c>
    </x:row>
    <x:row r="404">
      <x:c r="A404" t="str">
        <x:v>HYD03</x:v>
      </x:c>
      <x:c r="B404" s="22" t="n">
        <x:f>DATE(C404,D404,1)</x:f>
        <x:v>41913</x:v>
      </x:c>
      <x:c r="C404" t="n">
        <x:v>2014</x:v>
      </x:c>
      <x:c r="D404" t="n">
        <x:v>10</x:v>
      </x:c>
      <x:c r="E404" t="str">
        <x:f>TEXT(B404,"mmm")</x:f>
        <x:v>Oct</x:v>
      </x:c>
      <x:c r="F404" t="str">
        <x:f>"Q"&amp;ROUNDUP(D404/3,0)</x:f>
        <x:v>Q4</x:v>
      </x:c>
      <x:c r="G404" s="23" t="n">
        <x:v>58</x:v>
      </x:c>
      <x:c r="H404" s="23" t="n">
        <x:v>49</x:v>
      </x:c>
      <x:c r="I404" s="23" t="n">
        <x:v>53.5</x:v>
      </x:c>
      <x:c r="J404" s="23" t="n">
        <x:f>G404-H404</x:f>
        <x:v>9</x:v>
      </x:c>
      <x:c r="K404" t="str">
        <x:v>OBSERVED</x:v>
      </x:c>
      <x:c r="L404" s="24" t="n">
        <x:v>17.4948</x:v>
      </x:c>
      <x:c r="M404" s="24" t="n">
        <x:v>78.3927</x:v>
      </x:c>
      <x:c r="N404" t="str">
        <x:f>IF(I404&gt;70,"70+ dB",IF(I404&gt;55,"56-70 dB","41-55 dB"))</x:f>
        <x:v>41-55 dB</x:v>
      </x:c>
      <x:c r="O404" t="str">
        <x:f>IF(I404&gt;70,"High",IF(I404&gt;55,"Moderate","Low"))</x:f>
        <x:v>Low</x:v>
      </x:c>
      <x:c r="P404" t="str">
        <x:f>IF(I404&gt;=70,"Yes","No")</x:f>
        <x:v>No</x:v>
      </x:c>
      <x:c r="Q404" t="str">
        <x:f>TEXT(B404,"yyyy-mm")</x:f>
        <x:v>2014-10</x:v>
      </x:c>
    </x:row>
    <x:row r="405">
      <x:c r="A405" t="str">
        <x:v>HYD03</x:v>
      </x:c>
      <x:c r="B405" s="22" t="n">
        <x:f>DATE(C405,D405,1)</x:f>
        <x:v>41944</x:v>
      </x:c>
      <x:c r="C405" t="n">
        <x:v>2014</x:v>
      </x:c>
      <x:c r="D405" t="n">
        <x:v>11</x:v>
      </x:c>
      <x:c r="E405" t="str">
        <x:f>TEXT(B405,"mmm")</x:f>
        <x:v>Nov</x:v>
      </x:c>
      <x:c r="F405" t="str">
        <x:f>"Q"&amp;ROUNDUP(D405/3,0)</x:f>
        <x:v>Q4</x:v>
      </x:c>
      <x:c r="G405" s="23" t="n">
        <x:v>59</x:v>
      </x:c>
      <x:c r="H405" s="23" t="n">
        <x:v>50</x:v>
      </x:c>
      <x:c r="I405" s="23" t="n">
        <x:v>54.5</x:v>
      </x:c>
      <x:c r="J405" s="23" t="n">
        <x:f>G405-H405</x:f>
        <x:v>9</x:v>
      </x:c>
      <x:c r="K405" t="str">
        <x:v>OBSERVED</x:v>
      </x:c>
      <x:c r="L405" s="24" t="n">
        <x:v>17.4948</x:v>
      </x:c>
      <x:c r="M405" s="24" t="n">
        <x:v>78.3927</x:v>
      </x:c>
      <x:c r="N405" t="str">
        <x:f>IF(I405&gt;70,"70+ dB",IF(I405&gt;55,"56-70 dB","41-55 dB"))</x:f>
        <x:v>41-55 dB</x:v>
      </x:c>
      <x:c r="O405" t="str">
        <x:f>IF(I405&gt;70,"High",IF(I405&gt;55,"Moderate","Low"))</x:f>
        <x:v>Low</x:v>
      </x:c>
      <x:c r="P405" t="str">
        <x:f>IF(I405&gt;=70,"Yes","No")</x:f>
        <x:v>No</x:v>
      </x:c>
      <x:c r="Q405" t="str">
        <x:f>TEXT(B405,"yyyy-mm")</x:f>
        <x:v>2014-11</x:v>
      </x:c>
    </x:row>
    <x:row r="406">
      <x:c r="A406" t="str">
        <x:v>HYD03</x:v>
      </x:c>
      <x:c r="B406" s="22" t="n">
        <x:f>DATE(C406,D406,1)</x:f>
        <x:v>41974</x:v>
      </x:c>
      <x:c r="C406" t="n">
        <x:v>2014</x:v>
      </x:c>
      <x:c r="D406" t="n">
        <x:v>12</x:v>
      </x:c>
      <x:c r="E406" t="str">
        <x:f>TEXT(B406,"mmm")</x:f>
        <x:v>Dec</x:v>
      </x:c>
      <x:c r="F406" t="str">
        <x:f>"Q"&amp;ROUNDUP(D406/3,0)</x:f>
        <x:v>Q4</x:v>
      </x:c>
      <x:c r="G406" s="23" t="n">
        <x:v>60</x:v>
      </x:c>
      <x:c r="H406" s="23" t="n">
        <x:v>51</x:v>
      </x:c>
      <x:c r="I406" s="23" t="n">
        <x:v>55.5</x:v>
      </x:c>
      <x:c r="J406" s="23" t="n">
        <x:f>G406-H406</x:f>
        <x:v>9</x:v>
      </x:c>
      <x:c r="K406" t="str">
        <x:v>OBSERVED</x:v>
      </x:c>
      <x:c r="L406" s="24" t="n">
        <x:v>17.4948</x:v>
      </x:c>
      <x:c r="M406" s="24" t="n">
        <x:v>78.3927</x:v>
      </x:c>
      <x:c r="N406" t="str">
        <x:f>IF(I406&gt;70,"70+ dB",IF(I406&gt;55,"56-70 dB","41-55 dB"))</x:f>
        <x:v>56-70 dB</x:v>
      </x:c>
      <x:c r="O406" t="str">
        <x:f>IF(I406&gt;70,"High",IF(I406&gt;55,"Moderate","Low"))</x:f>
        <x:v>Moderate</x:v>
      </x:c>
      <x:c r="P406" t="str">
        <x:f>IF(I406&gt;=70,"Yes","No")</x:f>
        <x:v>No</x:v>
      </x:c>
      <x:c r="Q406" t="str">
        <x:f>TEXT(B406,"yyyy-mm")</x:f>
        <x:v>2014-12</x:v>
      </x:c>
    </x:row>
    <x:row r="407">
      <x:c r="A407" t="str">
        <x:v>HYD03</x:v>
      </x:c>
      <x:c r="B407" s="22" t="n">
        <x:f>DATE(C407,D407,1)</x:f>
        <x:v>42005</x:v>
      </x:c>
      <x:c r="C407" t="n">
        <x:v>2015</x:v>
      </x:c>
      <x:c r="D407" t="n">
        <x:v>1</x:v>
      </x:c>
      <x:c r="E407" t="str">
        <x:f>TEXT(B407,"mmm")</x:f>
        <x:v>Jan</x:v>
      </x:c>
      <x:c r="F407" t="str">
        <x:f>"Q"&amp;ROUNDUP(D407/3,0)</x:f>
        <x:v>Q1</x:v>
      </x:c>
      <x:c r="G407" s="23" t="n">
        <x:v>79</x:v>
      </x:c>
      <x:c r="H407" s="23" t="n">
        <x:v>74</x:v>
      </x:c>
      <x:c r="I407" s="23" t="n">
        <x:v>76.5</x:v>
      </x:c>
      <x:c r="J407" s="23" t="n">
        <x:f>G407-H407</x:f>
        <x:v>5</x:v>
      </x:c>
      <x:c r="K407" t="str">
        <x:v>OBSERVED</x:v>
      </x:c>
      <x:c r="L407" s="24" t="n">
        <x:v>17.4948</x:v>
      </x:c>
      <x:c r="M407" s="24" t="n">
        <x:v>78.3927</x:v>
      </x:c>
      <x:c r="N407" t="str">
        <x:f>IF(I407&gt;70,"70+ dB",IF(I407&gt;55,"56-70 dB","41-55 dB"))</x:f>
        <x:v>70+ dB</x:v>
      </x:c>
      <x:c r="O407" t="str">
        <x:f>IF(I407&gt;70,"High",IF(I407&gt;55,"Moderate","Low"))</x:f>
        <x:v>High</x:v>
      </x:c>
      <x:c r="P407" t="str">
        <x:f>IF(I407&gt;=70,"Yes","No")</x:f>
        <x:v>Yes</x:v>
      </x:c>
      <x:c r="Q407" t="str">
        <x:f>TEXT(B407,"yyyy-mm")</x:f>
        <x:v>2015-01</x:v>
      </x:c>
    </x:row>
    <x:row r="408">
      <x:c r="A408" t="str">
        <x:v>HYD03</x:v>
      </x:c>
      <x:c r="B408" s="22" t="n">
        <x:f>DATE(C408,D408,1)</x:f>
        <x:v>42036</x:v>
      </x:c>
      <x:c r="C408" t="n">
        <x:v>2015</x:v>
      </x:c>
      <x:c r="D408" t="n">
        <x:v>2</x:v>
      </x:c>
      <x:c r="E408" t="str">
        <x:f>TEXT(B408,"mmm")</x:f>
        <x:v>Feb</x:v>
      </x:c>
      <x:c r="F408" t="str">
        <x:f>"Q"&amp;ROUNDUP(D408/3,0)</x:f>
        <x:v>Q1</x:v>
      </x:c>
      <x:c r="G408" s="23" t="n">
        <x:v>79</x:v>
      </x:c>
      <x:c r="H408" s="23" t="n">
        <x:v>74</x:v>
      </x:c>
      <x:c r="I408" s="23" t="n">
        <x:v>76.5</x:v>
      </x:c>
      <x:c r="J408" s="23" t="n">
        <x:f>G408-H408</x:f>
        <x:v>5</x:v>
      </x:c>
      <x:c r="K408" t="str">
        <x:v>OBSERVED</x:v>
      </x:c>
      <x:c r="L408" s="24" t="n">
        <x:v>17.4948</x:v>
      </x:c>
      <x:c r="M408" s="24" t="n">
        <x:v>78.3927</x:v>
      </x:c>
      <x:c r="N408" t="str">
        <x:f>IF(I408&gt;70,"70+ dB",IF(I408&gt;55,"56-70 dB","41-55 dB"))</x:f>
        <x:v>70+ dB</x:v>
      </x:c>
      <x:c r="O408" t="str">
        <x:f>IF(I408&gt;70,"High",IF(I408&gt;55,"Moderate","Low"))</x:f>
        <x:v>High</x:v>
      </x:c>
      <x:c r="P408" t="str">
        <x:f>IF(I408&gt;=70,"Yes","No")</x:f>
        <x:v>Yes</x:v>
      </x:c>
      <x:c r="Q408" t="str">
        <x:f>TEXT(B408,"yyyy-mm")</x:f>
        <x:v>2015-02</x:v>
      </x:c>
    </x:row>
    <x:row r="409">
      <x:c r="A409" t="str">
        <x:v>HYD03</x:v>
      </x:c>
      <x:c r="B409" s="22" t="n">
        <x:f>DATE(C409,D409,1)</x:f>
        <x:v>42064</x:v>
      </x:c>
      <x:c r="C409" t="n">
        <x:v>2015</x:v>
      </x:c>
      <x:c r="D409" t="n">
        <x:v>3</x:v>
      </x:c>
      <x:c r="E409" t="str">
        <x:f>TEXT(B409,"mmm")</x:f>
        <x:v>Mar</x:v>
      </x:c>
      <x:c r="F409" t="str">
        <x:f>"Q"&amp;ROUNDUP(D409/3,0)</x:f>
        <x:v>Q1</x:v>
      </x:c>
      <x:c r="G409" s="23" t="n">
        <x:v>80</x:v>
      </x:c>
      <x:c r="H409" s="23" t="n">
        <x:v>74</x:v>
      </x:c>
      <x:c r="I409" s="23" t="n">
        <x:v>77</x:v>
      </x:c>
      <x:c r="J409" s="23" t="n">
        <x:f>G409-H409</x:f>
        <x:v>6</x:v>
      </x:c>
      <x:c r="K409" t="str">
        <x:v>OBSERVED</x:v>
      </x:c>
      <x:c r="L409" s="24" t="n">
        <x:v>17.4948</x:v>
      </x:c>
      <x:c r="M409" s="24" t="n">
        <x:v>78.3927</x:v>
      </x:c>
      <x:c r="N409" t="str">
        <x:f>IF(I409&gt;70,"70+ dB",IF(I409&gt;55,"56-70 dB","41-55 dB"))</x:f>
        <x:v>70+ dB</x:v>
      </x:c>
      <x:c r="O409" t="str">
        <x:f>IF(I409&gt;70,"High",IF(I409&gt;55,"Moderate","Low"))</x:f>
        <x:v>High</x:v>
      </x:c>
      <x:c r="P409" t="str">
        <x:f>IF(I409&gt;=70,"Yes","No")</x:f>
        <x:v>Yes</x:v>
      </x:c>
      <x:c r="Q409" t="str">
        <x:f>TEXT(B409,"yyyy-mm")</x:f>
        <x:v>2015-03</x:v>
      </x:c>
    </x:row>
    <x:row r="410">
      <x:c r="A410" t="str">
        <x:v>HYD03</x:v>
      </x:c>
      <x:c r="B410" s="22" t="n">
        <x:f>DATE(C410,D410,1)</x:f>
        <x:v>42095</x:v>
      </x:c>
      <x:c r="C410" t="n">
        <x:v>2015</x:v>
      </x:c>
      <x:c r="D410" t="n">
        <x:v>4</x:v>
      </x:c>
      <x:c r="E410" t="str">
        <x:f>TEXT(B410,"mmm")</x:f>
        <x:v>Apr</x:v>
      </x:c>
      <x:c r="F410" t="str">
        <x:f>"Q"&amp;ROUNDUP(D410/3,0)</x:f>
        <x:v>Q2</x:v>
      </x:c>
      <x:c r="G410" s="23" t="n">
        <x:v>80</x:v>
      </x:c>
      <x:c r="H410" s="23" t="n">
        <x:v>75</x:v>
      </x:c>
      <x:c r="I410" s="23" t="n">
        <x:v>77.5</x:v>
      </x:c>
      <x:c r="J410" s="23" t="n">
        <x:f>G410-H410</x:f>
        <x:v>5</x:v>
      </x:c>
      <x:c r="K410" t="str">
        <x:v>OBSERVED</x:v>
      </x:c>
      <x:c r="L410" s="24" t="n">
        <x:v>17.4948</x:v>
      </x:c>
      <x:c r="M410" s="24" t="n">
        <x:v>78.3927</x:v>
      </x:c>
      <x:c r="N410" t="str">
        <x:f>IF(I410&gt;70,"70+ dB",IF(I410&gt;55,"56-70 dB","41-55 dB"))</x:f>
        <x:v>70+ dB</x:v>
      </x:c>
      <x:c r="O410" t="str">
        <x:f>IF(I410&gt;70,"High",IF(I410&gt;55,"Moderate","Low"))</x:f>
        <x:v>High</x:v>
      </x:c>
      <x:c r="P410" t="str">
        <x:f>IF(I410&gt;=70,"Yes","No")</x:f>
        <x:v>Yes</x:v>
      </x:c>
      <x:c r="Q410" t="str">
        <x:f>TEXT(B410,"yyyy-mm")</x:f>
        <x:v>2015-04</x:v>
      </x:c>
    </x:row>
    <x:row r="411">
      <x:c r="A411" t="str">
        <x:v>HYD03</x:v>
      </x:c>
      <x:c r="B411" s="22" t="n">
        <x:f>DATE(C411,D411,1)</x:f>
        <x:v>42125</x:v>
      </x:c>
      <x:c r="C411" t="n">
        <x:v>2015</x:v>
      </x:c>
      <x:c r="D411" t="n">
        <x:v>5</x:v>
      </x:c>
      <x:c r="E411" t="str">
        <x:f>TEXT(B411,"mmm")</x:f>
        <x:v>May</x:v>
      </x:c>
      <x:c r="F411" t="str">
        <x:f>"Q"&amp;ROUNDUP(D411/3,0)</x:f>
        <x:v>Q2</x:v>
      </x:c>
      <x:c r="G411" s="23" t="n">
        <x:v>79</x:v>
      </x:c>
      <x:c r="H411" s="23" t="n">
        <x:v>75</x:v>
      </x:c>
      <x:c r="I411" s="23" t="n">
        <x:v>77</x:v>
      </x:c>
      <x:c r="J411" s="23" t="n">
        <x:f>G411-H411</x:f>
        <x:v>4</x:v>
      </x:c>
      <x:c r="K411" t="str">
        <x:v>OBSERVED</x:v>
      </x:c>
      <x:c r="L411" s="24" t="n">
        <x:v>17.4948</x:v>
      </x:c>
      <x:c r="M411" s="24" t="n">
        <x:v>78.3927</x:v>
      </x:c>
      <x:c r="N411" t="str">
        <x:f>IF(I411&gt;70,"70+ dB",IF(I411&gt;55,"56-70 dB","41-55 dB"))</x:f>
        <x:v>70+ dB</x:v>
      </x:c>
      <x:c r="O411" t="str">
        <x:f>IF(I411&gt;70,"High",IF(I411&gt;55,"Moderate","Low"))</x:f>
        <x:v>High</x:v>
      </x:c>
      <x:c r="P411" t="str">
        <x:f>IF(I411&gt;=70,"Yes","No")</x:f>
        <x:v>Yes</x:v>
      </x:c>
      <x:c r="Q411" t="str">
        <x:f>TEXT(B411,"yyyy-mm")</x:f>
        <x:v>2015-05</x:v>
      </x:c>
    </x:row>
    <x:row r="412">
      <x:c r="A412" t="str">
        <x:v>HYD03</x:v>
      </x:c>
      <x:c r="B412" s="22" t="n">
        <x:f>DATE(C412,D412,1)</x:f>
        <x:v>42156</x:v>
      </x:c>
      <x:c r="C412" t="n">
        <x:v>2015</x:v>
      </x:c>
      <x:c r="D412" t="n">
        <x:v>6</x:v>
      </x:c>
      <x:c r="E412" t="str">
        <x:f>TEXT(B412,"mmm")</x:f>
        <x:v>Jun</x:v>
      </x:c>
      <x:c r="F412" t="str">
        <x:f>"Q"&amp;ROUNDUP(D412/3,0)</x:f>
        <x:v>Q2</x:v>
      </x:c>
      <x:c r="G412" s="23" t="n">
        <x:v>80</x:v>
      </x:c>
      <x:c r="H412" s="23" t="n">
        <x:v>76</x:v>
      </x:c>
      <x:c r="I412" s="23" t="n">
        <x:v>78</x:v>
      </x:c>
      <x:c r="J412" s="23" t="n">
        <x:f>G412-H412</x:f>
        <x:v>4</x:v>
      </x:c>
      <x:c r="K412" t="str">
        <x:v>OBSERVED</x:v>
      </x:c>
      <x:c r="L412" s="24" t="n">
        <x:v>17.4948</x:v>
      </x:c>
      <x:c r="M412" s="24" t="n">
        <x:v>78.3927</x:v>
      </x:c>
      <x:c r="N412" t="str">
        <x:f>IF(I412&gt;70,"70+ dB",IF(I412&gt;55,"56-70 dB","41-55 dB"))</x:f>
        <x:v>70+ dB</x:v>
      </x:c>
      <x:c r="O412" t="str">
        <x:f>IF(I412&gt;70,"High",IF(I412&gt;55,"Moderate","Low"))</x:f>
        <x:v>High</x:v>
      </x:c>
      <x:c r="P412" t="str">
        <x:f>IF(I412&gt;=70,"Yes","No")</x:f>
        <x:v>Yes</x:v>
      </x:c>
      <x:c r="Q412" t="str">
        <x:f>TEXT(B412,"yyyy-mm")</x:f>
        <x:v>2015-06</x:v>
      </x:c>
    </x:row>
    <x:row r="413">
      <x:c r="A413" t="str">
        <x:v>HYD03</x:v>
      </x:c>
      <x:c r="B413" s="22" t="n">
        <x:f>DATE(C413,D413,1)</x:f>
        <x:v>42186</x:v>
      </x:c>
      <x:c r="C413" t="n">
        <x:v>2015</x:v>
      </x:c>
      <x:c r="D413" t="n">
        <x:v>7</x:v>
      </x:c>
      <x:c r="E413" t="str">
        <x:f>TEXT(B413,"mmm")</x:f>
        <x:v>Jul</x:v>
      </x:c>
      <x:c r="F413" t="str">
        <x:f>"Q"&amp;ROUNDUP(D413/3,0)</x:f>
        <x:v>Q3</x:v>
      </x:c>
      <x:c r="G413" s="23" t="n">
        <x:v>80</x:v>
      </x:c>
      <x:c r="H413" s="23" t="n">
        <x:v>76</x:v>
      </x:c>
      <x:c r="I413" s="23" t="n">
        <x:v>78</x:v>
      </x:c>
      <x:c r="J413" s="23" t="n">
        <x:f>G413-H413</x:f>
        <x:v>4</x:v>
      </x:c>
      <x:c r="K413" t="str">
        <x:v>OBSERVED</x:v>
      </x:c>
      <x:c r="L413" s="24" t="n">
        <x:v>17.4948</x:v>
      </x:c>
      <x:c r="M413" s="24" t="n">
        <x:v>78.3927</x:v>
      </x:c>
      <x:c r="N413" t="str">
        <x:f>IF(I413&gt;70,"70+ dB",IF(I413&gt;55,"56-70 dB","41-55 dB"))</x:f>
        <x:v>70+ dB</x:v>
      </x:c>
      <x:c r="O413" t="str">
        <x:f>IF(I413&gt;70,"High",IF(I413&gt;55,"Moderate","Low"))</x:f>
        <x:v>High</x:v>
      </x:c>
      <x:c r="P413" t="str">
        <x:f>IF(I413&gt;=70,"Yes","No")</x:f>
        <x:v>Yes</x:v>
      </x:c>
      <x:c r="Q413" t="str">
        <x:f>TEXT(B413,"yyyy-mm")</x:f>
        <x:v>2015-07</x:v>
      </x:c>
    </x:row>
    <x:row r="414">
      <x:c r="A414" t="str">
        <x:v>HYD03</x:v>
      </x:c>
      <x:c r="B414" s="22" t="n">
        <x:f>DATE(C414,D414,1)</x:f>
        <x:v>42217</x:v>
      </x:c>
      <x:c r="C414" t="n">
        <x:v>2015</x:v>
      </x:c>
      <x:c r="D414" t="n">
        <x:v>8</x:v>
      </x:c>
      <x:c r="E414" t="str">
        <x:f>TEXT(B414,"mmm")</x:f>
        <x:v>Aug</x:v>
      </x:c>
      <x:c r="F414" t="str">
        <x:f>"Q"&amp;ROUNDUP(D414/3,0)</x:f>
        <x:v>Q3</x:v>
      </x:c>
      <x:c r="G414" s="23" t="n">
        <x:v>80</x:v>
      </x:c>
      <x:c r="H414" s="23" t="n">
        <x:v>75</x:v>
      </x:c>
      <x:c r="I414" s="23" t="n">
        <x:v>77.5</x:v>
      </x:c>
      <x:c r="J414" s="23" t="n">
        <x:f>G414-H414</x:f>
        <x:v>5</x:v>
      </x:c>
      <x:c r="K414" t="str">
        <x:v>OBSERVED</x:v>
      </x:c>
      <x:c r="L414" s="24" t="n">
        <x:v>17.4948</x:v>
      </x:c>
      <x:c r="M414" s="24" t="n">
        <x:v>78.3927</x:v>
      </x:c>
      <x:c r="N414" t="str">
        <x:f>IF(I414&gt;70,"70+ dB",IF(I414&gt;55,"56-70 dB","41-55 dB"))</x:f>
        <x:v>70+ dB</x:v>
      </x:c>
      <x:c r="O414" t="str">
        <x:f>IF(I414&gt;70,"High",IF(I414&gt;55,"Moderate","Low"))</x:f>
        <x:v>High</x:v>
      </x:c>
      <x:c r="P414" t="str">
        <x:f>IF(I414&gt;=70,"Yes","No")</x:f>
        <x:v>Yes</x:v>
      </x:c>
      <x:c r="Q414" t="str">
        <x:f>TEXT(B414,"yyyy-mm")</x:f>
        <x:v>2015-08</x:v>
      </x:c>
    </x:row>
    <x:row r="415">
      <x:c r="A415" t="str">
        <x:v>HYD03</x:v>
      </x:c>
      <x:c r="B415" s="22" t="n">
        <x:f>DATE(C415,D415,1)</x:f>
        <x:v>42248</x:v>
      </x:c>
      <x:c r="C415" t="n">
        <x:v>2015</x:v>
      </x:c>
      <x:c r="D415" t="n">
        <x:v>9</x:v>
      </x:c>
      <x:c r="E415" t="str">
        <x:f>TEXT(B415,"mmm")</x:f>
        <x:v>Sep</x:v>
      </x:c>
      <x:c r="F415" t="str">
        <x:f>"Q"&amp;ROUNDUP(D415/3,0)</x:f>
        <x:v>Q3</x:v>
      </x:c>
      <x:c r="G415" s="23" t="n">
        <x:v>80</x:v>
      </x:c>
      <x:c r="H415" s="23" t="n">
        <x:v>76</x:v>
      </x:c>
      <x:c r="I415" s="23" t="n">
        <x:v>78</x:v>
      </x:c>
      <x:c r="J415" s="23" t="n">
        <x:f>G415-H415</x:f>
        <x:v>4</x:v>
      </x:c>
      <x:c r="K415" t="str">
        <x:v>OBSERVED</x:v>
      </x:c>
      <x:c r="L415" s="24" t="n">
        <x:v>17.4948</x:v>
      </x:c>
      <x:c r="M415" s="24" t="n">
        <x:v>78.3927</x:v>
      </x:c>
      <x:c r="N415" t="str">
        <x:f>IF(I415&gt;70,"70+ dB",IF(I415&gt;55,"56-70 dB","41-55 dB"))</x:f>
        <x:v>70+ dB</x:v>
      </x:c>
      <x:c r="O415" t="str">
        <x:f>IF(I415&gt;70,"High",IF(I415&gt;55,"Moderate","Low"))</x:f>
        <x:v>High</x:v>
      </x:c>
      <x:c r="P415" t="str">
        <x:f>IF(I415&gt;=70,"Yes","No")</x:f>
        <x:v>Yes</x:v>
      </x:c>
      <x:c r="Q415" t="str">
        <x:f>TEXT(B415,"yyyy-mm")</x:f>
        <x:v>2015-09</x:v>
      </x:c>
    </x:row>
    <x:row r="416">
      <x:c r="A416" t="str">
        <x:v>HYD03</x:v>
      </x:c>
      <x:c r="B416" s="22" t="n">
        <x:f>DATE(C416,D416,1)</x:f>
        <x:v>42278</x:v>
      </x:c>
      <x:c r="C416" t="n">
        <x:v>2015</x:v>
      </x:c>
      <x:c r="D416" t="n">
        <x:v>10</x:v>
      </x:c>
      <x:c r="E416" t="str">
        <x:f>TEXT(B416,"mmm")</x:f>
        <x:v>Oct</x:v>
      </x:c>
      <x:c r="F416" t="str">
        <x:f>"Q"&amp;ROUNDUP(D416/3,0)</x:f>
        <x:v>Q4</x:v>
      </x:c>
      <x:c r="G416" s="23" t="n">
        <x:v>80</x:v>
      </x:c>
      <x:c r="H416" s="23" t="n">
        <x:v>75</x:v>
      </x:c>
      <x:c r="I416" s="23" t="n">
        <x:v>77.5</x:v>
      </x:c>
      <x:c r="J416" s="23" t="n">
        <x:f>G416-H416</x:f>
        <x:v>5</x:v>
      </x:c>
      <x:c r="K416" t="str">
        <x:v>OBSERVED</x:v>
      </x:c>
      <x:c r="L416" s="24" t="n">
        <x:v>17.4948</x:v>
      </x:c>
      <x:c r="M416" s="24" t="n">
        <x:v>78.3927</x:v>
      </x:c>
      <x:c r="N416" t="str">
        <x:f>IF(I416&gt;70,"70+ dB",IF(I416&gt;55,"56-70 dB","41-55 dB"))</x:f>
        <x:v>70+ dB</x:v>
      </x:c>
      <x:c r="O416" t="str">
        <x:f>IF(I416&gt;70,"High",IF(I416&gt;55,"Moderate","Low"))</x:f>
        <x:v>High</x:v>
      </x:c>
      <x:c r="P416" t="str">
        <x:f>IF(I416&gt;=70,"Yes","No")</x:f>
        <x:v>Yes</x:v>
      </x:c>
      <x:c r="Q416" t="str">
        <x:f>TEXT(B416,"yyyy-mm")</x:f>
        <x:v>2015-10</x:v>
      </x:c>
    </x:row>
    <x:row r="417">
      <x:c r="A417" t="str">
        <x:v>HYD03</x:v>
      </x:c>
      <x:c r="B417" s="22" t="n">
        <x:f>DATE(C417,D417,1)</x:f>
        <x:v>42309</x:v>
      </x:c>
      <x:c r="C417" t="n">
        <x:v>2015</x:v>
      </x:c>
      <x:c r="D417" t="n">
        <x:v>11</x:v>
      </x:c>
      <x:c r="E417" t="str">
        <x:f>TEXT(B417,"mmm")</x:f>
        <x:v>Nov</x:v>
      </x:c>
      <x:c r="F417" t="str">
        <x:f>"Q"&amp;ROUNDUP(D417/3,0)</x:f>
        <x:v>Q4</x:v>
      </x:c>
      <x:c r="G417" s="23" t="n">
        <x:v>79</x:v>
      </x:c>
      <x:c r="H417" s="23" t="n">
        <x:v>74</x:v>
      </x:c>
      <x:c r="I417" s="23" t="n">
        <x:v>76.5</x:v>
      </x:c>
      <x:c r="J417" s="23" t="n">
        <x:f>G417-H417</x:f>
        <x:v>5</x:v>
      </x:c>
      <x:c r="K417" t="str">
        <x:v>OBSERVED</x:v>
      </x:c>
      <x:c r="L417" s="24" t="n">
        <x:v>17.4948</x:v>
      </x:c>
      <x:c r="M417" s="24" t="n">
        <x:v>78.3927</x:v>
      </x:c>
      <x:c r="N417" t="str">
        <x:f>IF(I417&gt;70,"70+ dB",IF(I417&gt;55,"56-70 dB","41-55 dB"))</x:f>
        <x:v>70+ dB</x:v>
      </x:c>
      <x:c r="O417" t="str">
        <x:f>IF(I417&gt;70,"High",IF(I417&gt;55,"Moderate","Low"))</x:f>
        <x:v>High</x:v>
      </x:c>
      <x:c r="P417" t="str">
        <x:f>IF(I417&gt;=70,"Yes","No")</x:f>
        <x:v>Yes</x:v>
      </x:c>
      <x:c r="Q417" t="str">
        <x:f>TEXT(B417,"yyyy-mm")</x:f>
        <x:v>2015-11</x:v>
      </x:c>
    </x:row>
    <x:row r="418">
      <x:c r="A418" t="str">
        <x:v>HYD03</x:v>
      </x:c>
      <x:c r="B418" s="22" t="n">
        <x:f>DATE(C418,D418,1)</x:f>
        <x:v>42339</x:v>
      </x:c>
      <x:c r="C418" t="n">
        <x:v>2015</x:v>
      </x:c>
      <x:c r="D418" t="n">
        <x:v>12</x:v>
      </x:c>
      <x:c r="E418" t="str">
        <x:f>TEXT(B418,"mmm")</x:f>
        <x:v>Dec</x:v>
      </x:c>
      <x:c r="F418" t="str">
        <x:f>"Q"&amp;ROUNDUP(D418/3,0)</x:f>
        <x:v>Q4</x:v>
      </x:c>
      <x:c r="G418" s="23" t="n">
        <x:v>80</x:v>
      </x:c>
      <x:c r="H418" s="23" t="n">
        <x:v>75</x:v>
      </x:c>
      <x:c r="I418" s="23" t="n">
        <x:v>77.5</x:v>
      </x:c>
      <x:c r="J418" s="23" t="n">
        <x:f>G418-H418</x:f>
        <x:v>5</x:v>
      </x:c>
      <x:c r="K418" t="str">
        <x:v>OBSERVED</x:v>
      </x:c>
      <x:c r="L418" s="24" t="n">
        <x:v>17.4948</x:v>
      </x:c>
      <x:c r="M418" s="24" t="n">
        <x:v>78.3927</x:v>
      </x:c>
      <x:c r="N418" t="str">
        <x:f>IF(I418&gt;70,"70+ dB",IF(I418&gt;55,"56-70 dB","41-55 dB"))</x:f>
        <x:v>70+ dB</x:v>
      </x:c>
      <x:c r="O418" t="str">
        <x:f>IF(I418&gt;70,"High",IF(I418&gt;55,"Moderate","Low"))</x:f>
        <x:v>High</x:v>
      </x:c>
      <x:c r="P418" t="str">
        <x:f>IF(I418&gt;=70,"Yes","No")</x:f>
        <x:v>Yes</x:v>
      </x:c>
      <x:c r="Q418" t="str">
        <x:f>TEXT(B418,"yyyy-mm")</x:f>
        <x:v>2015-12</x:v>
      </x:c>
    </x:row>
    <x:row r="419">
      <x:c r="A419" t="str">
        <x:v>HYD03</x:v>
      </x:c>
      <x:c r="B419" s="22" t="n">
        <x:f>DATE(C419,D419,1)</x:f>
        <x:v>42370</x:v>
      </x:c>
      <x:c r="C419" t="n">
        <x:v>2016</x:v>
      </x:c>
      <x:c r="D419" t="n">
        <x:v>1</x:v>
      </x:c>
      <x:c r="E419" t="str">
        <x:f>TEXT(B419,"mmm")</x:f>
        <x:v>Jan</x:v>
      </x:c>
      <x:c r="F419" t="str">
        <x:f>"Q"&amp;ROUNDUP(D419/3,0)</x:f>
        <x:v>Q1</x:v>
      </x:c>
      <x:c r="G419" s="23" t="n">
        <x:v>79</x:v>
      </x:c>
      <x:c r="H419" s="23" t="n">
        <x:v>74</x:v>
      </x:c>
      <x:c r="I419" s="23" t="n">
        <x:v>76.5</x:v>
      </x:c>
      <x:c r="J419" s="23" t="n">
        <x:f>G419-H419</x:f>
        <x:v>5</x:v>
      </x:c>
      <x:c r="K419" t="str">
        <x:v>OBSERVED</x:v>
      </x:c>
      <x:c r="L419" s="24" t="n">
        <x:v>17.4948</x:v>
      </x:c>
      <x:c r="M419" s="24" t="n">
        <x:v>78.3927</x:v>
      </x:c>
      <x:c r="N419" t="str">
        <x:f>IF(I419&gt;70,"70+ dB",IF(I419&gt;55,"56-70 dB","41-55 dB"))</x:f>
        <x:v>70+ dB</x:v>
      </x:c>
      <x:c r="O419" t="str">
        <x:f>IF(I419&gt;70,"High",IF(I419&gt;55,"Moderate","Low"))</x:f>
        <x:v>High</x:v>
      </x:c>
      <x:c r="P419" t="str">
        <x:f>IF(I419&gt;=70,"Yes","No")</x:f>
        <x:v>Yes</x:v>
      </x:c>
      <x:c r="Q419" t="str">
        <x:f>TEXT(B419,"yyyy-mm")</x:f>
        <x:v>2016-01</x:v>
      </x:c>
    </x:row>
    <x:row r="420">
      <x:c r="A420" t="str">
        <x:v>HYD03</x:v>
      </x:c>
      <x:c r="B420" s="22" t="n">
        <x:f>DATE(C420,D420,1)</x:f>
        <x:v>42401</x:v>
      </x:c>
      <x:c r="C420" t="n">
        <x:v>2016</x:v>
      </x:c>
      <x:c r="D420" t="n">
        <x:v>2</x:v>
      </x:c>
      <x:c r="E420" t="str">
        <x:f>TEXT(B420,"mmm")</x:f>
        <x:v>Feb</x:v>
      </x:c>
      <x:c r="F420" t="str">
        <x:f>"Q"&amp;ROUNDUP(D420/3,0)</x:f>
        <x:v>Q1</x:v>
      </x:c>
      <x:c r="G420" s="23" t="n">
        <x:v>79</x:v>
      </x:c>
      <x:c r="H420" s="23" t="n">
        <x:v>74</x:v>
      </x:c>
      <x:c r="I420" s="23" t="n">
        <x:v>76.5</x:v>
      </x:c>
      <x:c r="J420" s="23" t="n">
        <x:f>G420-H420</x:f>
        <x:v>5</x:v>
      </x:c>
      <x:c r="K420" t="str">
        <x:v>OBSERVED</x:v>
      </x:c>
      <x:c r="L420" s="24" t="n">
        <x:v>17.4948</x:v>
      </x:c>
      <x:c r="M420" s="24" t="n">
        <x:v>78.3927</x:v>
      </x:c>
      <x:c r="N420" t="str">
        <x:f>IF(I420&gt;70,"70+ dB",IF(I420&gt;55,"56-70 dB","41-55 dB"))</x:f>
        <x:v>70+ dB</x:v>
      </x:c>
      <x:c r="O420" t="str">
        <x:f>IF(I420&gt;70,"High",IF(I420&gt;55,"Moderate","Low"))</x:f>
        <x:v>High</x:v>
      </x:c>
      <x:c r="P420" t="str">
        <x:f>IF(I420&gt;=70,"Yes","No")</x:f>
        <x:v>Yes</x:v>
      </x:c>
      <x:c r="Q420" t="str">
        <x:f>TEXT(B420,"yyyy-mm")</x:f>
        <x:v>2016-02</x:v>
      </x:c>
    </x:row>
    <x:row r="421">
      <x:c r="A421" t="str">
        <x:v>HYD03</x:v>
      </x:c>
      <x:c r="B421" s="22" t="n">
        <x:f>DATE(C421,D421,1)</x:f>
        <x:v>42430</x:v>
      </x:c>
      <x:c r="C421" t="n">
        <x:v>2016</x:v>
      </x:c>
      <x:c r="D421" t="n">
        <x:v>3</x:v>
      </x:c>
      <x:c r="E421" t="str">
        <x:f>TEXT(B421,"mmm")</x:f>
        <x:v>Mar</x:v>
      </x:c>
      <x:c r="F421" t="str">
        <x:f>"Q"&amp;ROUNDUP(D421/3,0)</x:f>
        <x:v>Q1</x:v>
      </x:c>
      <x:c r="G421" s="23" t="n">
        <x:v>79</x:v>
      </x:c>
      <x:c r="H421" s="23" t="n">
        <x:v>74</x:v>
      </x:c>
      <x:c r="I421" s="23" t="n">
        <x:v>76.5</x:v>
      </x:c>
      <x:c r="J421" s="23" t="n">
        <x:f>G421-H421</x:f>
        <x:v>5</x:v>
      </x:c>
      <x:c r="K421" t="str">
        <x:v>OBSERVED</x:v>
      </x:c>
      <x:c r="L421" s="24" t="n">
        <x:v>17.4948</x:v>
      </x:c>
      <x:c r="M421" s="24" t="n">
        <x:v>78.3927</x:v>
      </x:c>
      <x:c r="N421" t="str">
        <x:f>IF(I421&gt;70,"70+ dB",IF(I421&gt;55,"56-70 dB","41-55 dB"))</x:f>
        <x:v>70+ dB</x:v>
      </x:c>
      <x:c r="O421" t="str">
        <x:f>IF(I421&gt;70,"High",IF(I421&gt;55,"Moderate","Low"))</x:f>
        <x:v>High</x:v>
      </x:c>
      <x:c r="P421" t="str">
        <x:f>IF(I421&gt;=70,"Yes","No")</x:f>
        <x:v>Yes</x:v>
      </x:c>
      <x:c r="Q421" t="str">
        <x:f>TEXT(B421,"yyyy-mm")</x:f>
        <x:v>2016-03</x:v>
      </x:c>
    </x:row>
    <x:row r="422">
      <x:c r="A422" t="str">
        <x:v>HYD03</x:v>
      </x:c>
      <x:c r="B422" s="22" t="n">
        <x:f>DATE(C422,D422,1)</x:f>
        <x:v>42461</x:v>
      </x:c>
      <x:c r="C422" t="n">
        <x:v>2016</x:v>
      </x:c>
      <x:c r="D422" t="n">
        <x:v>4</x:v>
      </x:c>
      <x:c r="E422" t="str">
        <x:f>TEXT(B422,"mmm")</x:f>
        <x:v>Apr</x:v>
      </x:c>
      <x:c r="F422" t="str">
        <x:f>"Q"&amp;ROUNDUP(D422/3,0)</x:f>
        <x:v>Q2</x:v>
      </x:c>
      <x:c r="G422" s="23" t="n">
        <x:v>79</x:v>
      </x:c>
      <x:c r="H422" s="23" t="n">
        <x:v>74</x:v>
      </x:c>
      <x:c r="I422" s="23" t="n">
        <x:v>76.5</x:v>
      </x:c>
      <x:c r="J422" s="23" t="n">
        <x:f>G422-H422</x:f>
        <x:v>5</x:v>
      </x:c>
      <x:c r="K422" t="str">
        <x:v>OBSERVED</x:v>
      </x:c>
      <x:c r="L422" s="24" t="n">
        <x:v>17.4948</x:v>
      </x:c>
      <x:c r="M422" s="24" t="n">
        <x:v>78.3927</x:v>
      </x:c>
      <x:c r="N422" t="str">
        <x:f>IF(I422&gt;70,"70+ dB",IF(I422&gt;55,"56-70 dB","41-55 dB"))</x:f>
        <x:v>70+ dB</x:v>
      </x:c>
      <x:c r="O422" t="str">
        <x:f>IF(I422&gt;70,"High",IF(I422&gt;55,"Moderate","Low"))</x:f>
        <x:v>High</x:v>
      </x:c>
      <x:c r="P422" t="str">
        <x:f>IF(I422&gt;=70,"Yes","No")</x:f>
        <x:v>Yes</x:v>
      </x:c>
      <x:c r="Q422" t="str">
        <x:f>TEXT(B422,"yyyy-mm")</x:f>
        <x:v>2016-04</x:v>
      </x:c>
    </x:row>
    <x:row r="423">
      <x:c r="A423" t="str">
        <x:v>HYD03</x:v>
      </x:c>
      <x:c r="B423" s="22" t="n">
        <x:f>DATE(C423,D423,1)</x:f>
        <x:v>42491</x:v>
      </x:c>
      <x:c r="C423" t="n">
        <x:v>2016</x:v>
      </x:c>
      <x:c r="D423" t="n">
        <x:v>5</x:v>
      </x:c>
      <x:c r="E423" t="str">
        <x:f>TEXT(B423,"mmm")</x:f>
        <x:v>May</x:v>
      </x:c>
      <x:c r="F423" t="str">
        <x:f>"Q"&amp;ROUNDUP(D423/3,0)</x:f>
        <x:v>Q2</x:v>
      </x:c>
      <x:c r="G423" s="23" t="n">
        <x:v>79</x:v>
      </x:c>
      <x:c r="H423" s="23" t="n">
        <x:v>76</x:v>
      </x:c>
      <x:c r="I423" s="23" t="n">
        <x:v>77.5</x:v>
      </x:c>
      <x:c r="J423" s="23" t="n">
        <x:f>G423-H423</x:f>
        <x:v>3</x:v>
      </x:c>
      <x:c r="K423" t="str">
        <x:v>OBSERVED</x:v>
      </x:c>
      <x:c r="L423" s="24" t="n">
        <x:v>17.4948</x:v>
      </x:c>
      <x:c r="M423" s="24" t="n">
        <x:v>78.3927</x:v>
      </x:c>
      <x:c r="N423" t="str">
        <x:f>IF(I423&gt;70,"70+ dB",IF(I423&gt;55,"56-70 dB","41-55 dB"))</x:f>
        <x:v>70+ dB</x:v>
      </x:c>
      <x:c r="O423" t="str">
        <x:f>IF(I423&gt;70,"High",IF(I423&gt;55,"Moderate","Low"))</x:f>
        <x:v>High</x:v>
      </x:c>
      <x:c r="P423" t="str">
        <x:f>IF(I423&gt;=70,"Yes","No")</x:f>
        <x:v>Yes</x:v>
      </x:c>
      <x:c r="Q423" t="str">
        <x:f>TEXT(B423,"yyyy-mm")</x:f>
        <x:v>2016-05</x:v>
      </x:c>
    </x:row>
    <x:row r="424">
      <x:c r="A424" t="str">
        <x:v>HYD03</x:v>
      </x:c>
      <x:c r="B424" s="22" t="n">
        <x:f>DATE(C424,D424,1)</x:f>
        <x:v>42522</x:v>
      </x:c>
      <x:c r="C424" t="n">
        <x:v>2016</x:v>
      </x:c>
      <x:c r="D424" t="n">
        <x:v>6</x:v>
      </x:c>
      <x:c r="E424" t="str">
        <x:f>TEXT(B424,"mmm")</x:f>
        <x:v>Jun</x:v>
      </x:c>
      <x:c r="F424" t="str">
        <x:f>"Q"&amp;ROUNDUP(D424/3,0)</x:f>
        <x:v>Q2</x:v>
      </x:c>
      <x:c r="G424" s="23" t="n">
        <x:v>78</x:v>
      </x:c>
      <x:c r="H424" s="23" t="n">
        <x:v>80</x:v>
      </x:c>
      <x:c r="I424" s="23" t="n">
        <x:v>79</x:v>
      </x:c>
      <x:c r="J424" s="23" t="n">
        <x:f>G424-H424</x:f>
        <x:v>-2</x:v>
      </x:c>
      <x:c r="K424" t="str">
        <x:v>OBSERVED</x:v>
      </x:c>
      <x:c r="L424" s="24" t="n">
        <x:v>17.4948</x:v>
      </x:c>
      <x:c r="M424" s="24" t="n">
        <x:v>78.3927</x:v>
      </x:c>
      <x:c r="N424" t="str">
        <x:f>IF(I424&gt;70,"70+ dB",IF(I424&gt;55,"56-70 dB","41-55 dB"))</x:f>
        <x:v>70+ dB</x:v>
      </x:c>
      <x:c r="O424" t="str">
        <x:f>IF(I424&gt;70,"High",IF(I424&gt;55,"Moderate","Low"))</x:f>
        <x:v>High</x:v>
      </x:c>
      <x:c r="P424" t="str">
        <x:f>IF(I424&gt;=70,"Yes","No")</x:f>
        <x:v>Yes</x:v>
      </x:c>
      <x:c r="Q424" t="str">
        <x:f>TEXT(B424,"yyyy-mm")</x:f>
        <x:v>2016-06</x:v>
      </x:c>
    </x:row>
    <x:row r="425">
      <x:c r="A425" t="str">
        <x:v>HYD03</x:v>
      </x:c>
      <x:c r="B425" s="22" t="n">
        <x:f>DATE(C425,D425,1)</x:f>
        <x:v>42552</x:v>
      </x:c>
      <x:c r="C425" t="n">
        <x:v>2016</x:v>
      </x:c>
      <x:c r="D425" t="n">
        <x:v>7</x:v>
      </x:c>
      <x:c r="E425" t="str">
        <x:f>TEXT(B425,"mmm")</x:f>
        <x:v>Jul</x:v>
      </x:c>
      <x:c r="F425" t="str">
        <x:f>"Q"&amp;ROUNDUP(D425/3,0)</x:f>
        <x:v>Q3</x:v>
      </x:c>
      <x:c r="G425" s="23" t="n">
        <x:v>80</x:v>
      </x:c>
      <x:c r="H425" s="23" t="n">
        <x:v>76</x:v>
      </x:c>
      <x:c r="I425" s="23" t="n">
        <x:v>78</x:v>
      </x:c>
      <x:c r="J425" s="23" t="n">
        <x:f>G425-H425</x:f>
        <x:v>4</x:v>
      </x:c>
      <x:c r="K425" t="str">
        <x:v>OBSERVED</x:v>
      </x:c>
      <x:c r="L425" s="24" t="n">
        <x:v>17.4948</x:v>
      </x:c>
      <x:c r="M425" s="24" t="n">
        <x:v>78.3927</x:v>
      </x:c>
      <x:c r="N425" t="str">
        <x:f>IF(I425&gt;70,"70+ dB",IF(I425&gt;55,"56-70 dB","41-55 dB"))</x:f>
        <x:v>70+ dB</x:v>
      </x:c>
      <x:c r="O425" t="str">
        <x:f>IF(I425&gt;70,"High",IF(I425&gt;55,"Moderate","Low"))</x:f>
        <x:v>High</x:v>
      </x:c>
      <x:c r="P425" t="str">
        <x:f>IF(I425&gt;=70,"Yes","No")</x:f>
        <x:v>Yes</x:v>
      </x:c>
      <x:c r="Q425" t="str">
        <x:f>TEXT(B425,"yyyy-mm")</x:f>
        <x:v>2016-07</x:v>
      </x:c>
    </x:row>
    <x:row r="426">
      <x:c r="A426" t="str">
        <x:v>HYD03</x:v>
      </x:c>
      <x:c r="B426" s="22" t="n">
        <x:f>DATE(C426,D426,1)</x:f>
        <x:v>42583</x:v>
      </x:c>
      <x:c r="C426" t="n">
        <x:v>2016</x:v>
      </x:c>
      <x:c r="D426" t="n">
        <x:v>8</x:v>
      </x:c>
      <x:c r="E426" t="str">
        <x:f>TEXT(B426,"mmm")</x:f>
        <x:v>Aug</x:v>
      </x:c>
      <x:c r="F426" t="str">
        <x:f>"Q"&amp;ROUNDUP(D426/3,0)</x:f>
        <x:v>Q3</x:v>
      </x:c>
      <x:c r="G426" s="23" t="n">
        <x:v>80</x:v>
      </x:c>
      <x:c r="H426" s="23" t="n">
        <x:v>75</x:v>
      </x:c>
      <x:c r="I426" s="23" t="n">
        <x:v>77.5</x:v>
      </x:c>
      <x:c r="J426" s="23" t="n">
        <x:f>G426-H426</x:f>
        <x:v>5</x:v>
      </x:c>
      <x:c r="K426" t="str">
        <x:v>OBSERVED</x:v>
      </x:c>
      <x:c r="L426" s="24" t="n">
        <x:v>17.4948</x:v>
      </x:c>
      <x:c r="M426" s="24" t="n">
        <x:v>78.3927</x:v>
      </x:c>
      <x:c r="N426" t="str">
        <x:f>IF(I426&gt;70,"70+ dB",IF(I426&gt;55,"56-70 dB","41-55 dB"))</x:f>
        <x:v>70+ dB</x:v>
      </x:c>
      <x:c r="O426" t="str">
        <x:f>IF(I426&gt;70,"High",IF(I426&gt;55,"Moderate","Low"))</x:f>
        <x:v>High</x:v>
      </x:c>
      <x:c r="P426" t="str">
        <x:f>IF(I426&gt;=70,"Yes","No")</x:f>
        <x:v>Yes</x:v>
      </x:c>
      <x:c r="Q426" t="str">
        <x:f>TEXT(B426,"yyyy-mm")</x:f>
        <x:v>2016-08</x:v>
      </x:c>
    </x:row>
    <x:row r="427">
      <x:c r="A427" t="str">
        <x:v>HYD03</x:v>
      </x:c>
      <x:c r="B427" s="22" t="n">
        <x:f>DATE(C427,D427,1)</x:f>
        <x:v>42614</x:v>
      </x:c>
      <x:c r="C427" t="n">
        <x:v>2016</x:v>
      </x:c>
      <x:c r="D427" t="n">
        <x:v>9</x:v>
      </x:c>
      <x:c r="E427" t="str">
        <x:f>TEXT(B427,"mmm")</x:f>
        <x:v>Sep</x:v>
      </x:c>
      <x:c r="F427" t="str">
        <x:f>"Q"&amp;ROUNDUP(D427/3,0)</x:f>
        <x:v>Q3</x:v>
      </x:c>
      <x:c r="G427" s="23" t="n">
        <x:v>80</x:v>
      </x:c>
      <x:c r="H427" s="23" t="n">
        <x:v>74</x:v>
      </x:c>
      <x:c r="I427" s="23" t="n">
        <x:v>77</x:v>
      </x:c>
      <x:c r="J427" s="23" t="n">
        <x:f>G427-H427</x:f>
        <x:v>6</x:v>
      </x:c>
      <x:c r="K427" t="str">
        <x:v>OBSERVED</x:v>
      </x:c>
      <x:c r="L427" s="24" t="n">
        <x:v>17.4948</x:v>
      </x:c>
      <x:c r="M427" s="24" t="n">
        <x:v>78.3927</x:v>
      </x:c>
      <x:c r="N427" t="str">
        <x:f>IF(I427&gt;70,"70+ dB",IF(I427&gt;55,"56-70 dB","41-55 dB"))</x:f>
        <x:v>70+ dB</x:v>
      </x:c>
      <x:c r="O427" t="str">
        <x:f>IF(I427&gt;70,"High",IF(I427&gt;55,"Moderate","Low"))</x:f>
        <x:v>High</x:v>
      </x:c>
      <x:c r="P427" t="str">
        <x:f>IF(I427&gt;=70,"Yes","No")</x:f>
        <x:v>Yes</x:v>
      </x:c>
      <x:c r="Q427" t="str">
        <x:f>TEXT(B427,"yyyy-mm")</x:f>
        <x:v>2016-09</x:v>
      </x:c>
    </x:row>
    <x:row r="428">
      <x:c r="A428" t="str">
        <x:v>HYD03</x:v>
      </x:c>
      <x:c r="B428" s="22" t="n">
        <x:f>DATE(C428,D428,1)</x:f>
        <x:v>42644</x:v>
      </x:c>
      <x:c r="C428" t="n">
        <x:v>2016</x:v>
      </x:c>
      <x:c r="D428" t="n">
        <x:v>10</x:v>
      </x:c>
      <x:c r="E428" t="str">
        <x:f>TEXT(B428,"mmm")</x:f>
        <x:v>Oct</x:v>
      </x:c>
      <x:c r="F428" t="str">
        <x:f>"Q"&amp;ROUNDUP(D428/3,0)</x:f>
        <x:v>Q4</x:v>
      </x:c>
      <x:c r="G428" s="23" t="n">
        <x:v>75</x:v>
      </x:c>
      <x:c r="H428" s="23" t="n">
        <x:v>66</x:v>
      </x:c>
      <x:c r="I428" s="23" t="n">
        <x:v>70.5</x:v>
      </x:c>
      <x:c r="J428" s="23" t="n">
        <x:f>G428-H428</x:f>
        <x:v>9</x:v>
      </x:c>
      <x:c r="K428" t="str">
        <x:v>OBSERVED</x:v>
      </x:c>
      <x:c r="L428" s="24" t="n">
        <x:v>17.4948</x:v>
      </x:c>
      <x:c r="M428" s="24" t="n">
        <x:v>78.3927</x:v>
      </x:c>
      <x:c r="N428" t="str">
        <x:f>IF(I428&gt;70,"70+ dB",IF(I428&gt;55,"56-70 dB","41-55 dB"))</x:f>
        <x:v>70+ dB</x:v>
      </x:c>
      <x:c r="O428" t="str">
        <x:f>IF(I428&gt;70,"High",IF(I428&gt;55,"Moderate","Low"))</x:f>
        <x:v>High</x:v>
      </x:c>
      <x:c r="P428" t="str">
        <x:f>IF(I428&gt;=70,"Yes","No")</x:f>
        <x:v>Yes</x:v>
      </x:c>
      <x:c r="Q428" t="str">
        <x:f>TEXT(B428,"yyyy-mm")</x:f>
        <x:v>2016-10</x:v>
      </x:c>
    </x:row>
    <x:row r="429">
      <x:c r="A429" t="str">
        <x:v>HYD03</x:v>
      </x:c>
      <x:c r="B429" s="22" t="n">
        <x:f>DATE(C429,D429,1)</x:f>
        <x:v>42675</x:v>
      </x:c>
      <x:c r="C429" t="n">
        <x:v>2016</x:v>
      </x:c>
      <x:c r="D429" t="n">
        <x:v>11</x:v>
      </x:c>
      <x:c r="E429" t="str">
        <x:f>TEXT(B429,"mmm")</x:f>
        <x:v>Nov</x:v>
      </x:c>
      <x:c r="F429" t="str">
        <x:f>"Q"&amp;ROUNDUP(D429/3,0)</x:f>
        <x:v>Q4</x:v>
      </x:c>
      <x:c r="G429" s="23" t="n">
        <x:v>71</x:v>
      </x:c>
      <x:c r="H429" s="23" t="n">
        <x:v>63</x:v>
      </x:c>
      <x:c r="I429" s="23" t="n">
        <x:v>67</x:v>
      </x:c>
      <x:c r="J429" s="23" t="n">
        <x:f>G429-H429</x:f>
        <x:v>8</x:v>
      </x:c>
      <x:c r="K429" t="str">
        <x:v>OBSERVED</x:v>
      </x:c>
      <x:c r="L429" s="24" t="n">
        <x:v>17.4948</x:v>
      </x:c>
      <x:c r="M429" s="24" t="n">
        <x:v>78.3927</x:v>
      </x:c>
      <x:c r="N429" t="str">
        <x:f>IF(I429&gt;70,"70+ dB",IF(I429&gt;55,"56-70 dB","41-55 dB"))</x:f>
        <x:v>56-70 dB</x:v>
      </x:c>
      <x:c r="O429" t="str">
        <x:f>IF(I429&gt;70,"High",IF(I429&gt;55,"Moderate","Low"))</x:f>
        <x:v>Moderate</x:v>
      </x:c>
      <x:c r="P429" t="str">
        <x:f>IF(I429&gt;=70,"Yes","No")</x:f>
        <x:v>No</x:v>
      </x:c>
      <x:c r="Q429" t="str">
        <x:f>TEXT(B429,"yyyy-mm")</x:f>
        <x:v>2016-11</x:v>
      </x:c>
    </x:row>
    <x:row r="430">
      <x:c r="A430" t="str">
        <x:v>HYD03</x:v>
      </x:c>
      <x:c r="B430" s="22" t="n">
        <x:f>DATE(C430,D430,1)</x:f>
        <x:v>42705</x:v>
      </x:c>
      <x:c r="C430" t="n">
        <x:v>2016</x:v>
      </x:c>
      <x:c r="D430" t="n">
        <x:v>12</x:v>
      </x:c>
      <x:c r="E430" t="str">
        <x:f>TEXT(B430,"mmm")</x:f>
        <x:v>Dec</x:v>
      </x:c>
      <x:c r="F430" t="str">
        <x:f>"Q"&amp;ROUNDUP(D430/3,0)</x:f>
        <x:v>Q4</x:v>
      </x:c>
      <x:c r="G430" s="23" t="n">
        <x:v>71</x:v>
      </x:c>
      <x:c r="H430" s="23" t="n">
        <x:v>64</x:v>
      </x:c>
      <x:c r="I430" s="23" t="n">
        <x:v>67.5</x:v>
      </x:c>
      <x:c r="J430" s="23" t="n">
        <x:f>G430-H430</x:f>
        <x:v>7</x:v>
      </x:c>
      <x:c r="K430" t="str">
        <x:v>OBSERVED</x:v>
      </x:c>
      <x:c r="L430" s="24" t="n">
        <x:v>17.4948</x:v>
      </x:c>
      <x:c r="M430" s="24" t="n">
        <x:v>78.3927</x:v>
      </x:c>
      <x:c r="N430" t="str">
        <x:f>IF(I430&gt;70,"70+ dB",IF(I430&gt;55,"56-70 dB","41-55 dB"))</x:f>
        <x:v>56-70 dB</x:v>
      </x:c>
      <x:c r="O430" t="str">
        <x:f>IF(I430&gt;70,"High",IF(I430&gt;55,"Moderate","Low"))</x:f>
        <x:v>Moderate</x:v>
      </x:c>
      <x:c r="P430" t="str">
        <x:f>IF(I430&gt;=70,"Yes","No")</x:f>
        <x:v>No</x:v>
      </x:c>
      <x:c r="Q430" t="str">
        <x:f>TEXT(B430,"yyyy-mm")</x:f>
        <x:v>2016-12</x:v>
      </x:c>
    </x:row>
    <x:row r="431">
      <x:c r="A431" t="str">
        <x:v>HYD03</x:v>
      </x:c>
      <x:c r="B431" s="22" t="n">
        <x:f>DATE(C431,D431,1)</x:f>
        <x:v>42736</x:v>
      </x:c>
      <x:c r="C431" t="n">
        <x:v>2017</x:v>
      </x:c>
      <x:c r="D431" t="n">
        <x:v>1</x:v>
      </x:c>
      <x:c r="E431" t="str">
        <x:f>TEXT(B431,"mmm")</x:f>
        <x:v>Jan</x:v>
      </x:c>
      <x:c r="F431" t="str">
        <x:f>"Q"&amp;ROUNDUP(D431/3,0)</x:f>
        <x:v>Q1</x:v>
      </x:c>
      <x:c r="G431" s="23" t="n">
        <x:v>71</x:v>
      </x:c>
      <x:c r="H431" s="23" t="n">
        <x:v>63</x:v>
      </x:c>
      <x:c r="I431" s="23" t="n">
        <x:v>67</x:v>
      </x:c>
      <x:c r="J431" s="23" t="n">
        <x:f>G431-H431</x:f>
        <x:v>8</x:v>
      </x:c>
      <x:c r="K431" t="str">
        <x:v>OBSERVED</x:v>
      </x:c>
      <x:c r="L431" s="24" t="n">
        <x:v>17.4948</x:v>
      </x:c>
      <x:c r="M431" s="24" t="n">
        <x:v>78.3927</x:v>
      </x:c>
      <x:c r="N431" t="str">
        <x:f>IF(I431&gt;70,"70+ dB",IF(I431&gt;55,"56-70 dB","41-55 dB"))</x:f>
        <x:v>56-70 dB</x:v>
      </x:c>
      <x:c r="O431" t="str">
        <x:f>IF(I431&gt;70,"High",IF(I431&gt;55,"Moderate","Low"))</x:f>
        <x:v>Moderate</x:v>
      </x:c>
      <x:c r="P431" t="str">
        <x:f>IF(I431&gt;=70,"Yes","No")</x:f>
        <x:v>No</x:v>
      </x:c>
      <x:c r="Q431" t="str">
        <x:f>TEXT(B431,"yyyy-mm")</x:f>
        <x:v>2017-01</x:v>
      </x:c>
    </x:row>
    <x:row r="432">
      <x:c r="A432" t="str">
        <x:v>HYD03</x:v>
      </x:c>
      <x:c r="B432" s="22" t="n">
        <x:f>DATE(C432,D432,1)</x:f>
        <x:v>42767</x:v>
      </x:c>
      <x:c r="C432" t="n">
        <x:v>2017</x:v>
      </x:c>
      <x:c r="D432" t="n">
        <x:v>2</x:v>
      </x:c>
      <x:c r="E432" t="str">
        <x:f>TEXT(B432,"mmm")</x:f>
        <x:v>Feb</x:v>
      </x:c>
      <x:c r="F432" t="str">
        <x:f>"Q"&amp;ROUNDUP(D432/3,0)</x:f>
        <x:v>Q1</x:v>
      </x:c>
      <x:c r="G432" s="23" t="n">
        <x:v>71</x:v>
      </x:c>
      <x:c r="H432" s="23" t="n">
        <x:v>64</x:v>
      </x:c>
      <x:c r="I432" s="23" t="n">
        <x:v>67.5</x:v>
      </x:c>
      <x:c r="J432" s="23" t="n">
        <x:f>G432-H432</x:f>
        <x:v>7</x:v>
      </x:c>
      <x:c r="K432" t="str">
        <x:v>OBSERVED</x:v>
      </x:c>
      <x:c r="L432" s="24" t="n">
        <x:v>17.4948</x:v>
      </x:c>
      <x:c r="M432" s="24" t="n">
        <x:v>78.3927</x:v>
      </x:c>
      <x:c r="N432" t="str">
        <x:f>IF(I432&gt;70,"70+ dB",IF(I432&gt;55,"56-70 dB","41-55 dB"))</x:f>
        <x:v>56-70 dB</x:v>
      </x:c>
      <x:c r="O432" t="str">
        <x:f>IF(I432&gt;70,"High",IF(I432&gt;55,"Moderate","Low"))</x:f>
        <x:v>Moderate</x:v>
      </x:c>
      <x:c r="P432" t="str">
        <x:f>IF(I432&gt;=70,"Yes","No")</x:f>
        <x:v>No</x:v>
      </x:c>
      <x:c r="Q432" t="str">
        <x:f>TEXT(B432,"yyyy-mm")</x:f>
        <x:v>2017-02</x:v>
      </x:c>
    </x:row>
    <x:row r="433">
      <x:c r="A433" t="str">
        <x:v>HYD03</x:v>
      </x:c>
      <x:c r="B433" s="22" t="n">
        <x:f>DATE(C433,D433,1)</x:f>
        <x:v>42795</x:v>
      </x:c>
      <x:c r="C433" t="n">
        <x:v>2017</x:v>
      </x:c>
      <x:c r="D433" t="n">
        <x:v>3</x:v>
      </x:c>
      <x:c r="E433" t="str">
        <x:f>TEXT(B433,"mmm")</x:f>
        <x:v>Mar</x:v>
      </x:c>
      <x:c r="F433" t="str">
        <x:f>"Q"&amp;ROUNDUP(D433/3,0)</x:f>
        <x:v>Q1</x:v>
      </x:c>
      <x:c r="G433" s="23" t="n">
        <x:v>71</x:v>
      </x:c>
      <x:c r="H433" s="23" t="n">
        <x:v>64</x:v>
      </x:c>
      <x:c r="I433" s="23" t="n">
        <x:v>67.5</x:v>
      </x:c>
      <x:c r="J433" s="23" t="n">
        <x:f>G433-H433</x:f>
        <x:v>7</x:v>
      </x:c>
      <x:c r="K433" t="str">
        <x:v>OBSERVED</x:v>
      </x:c>
      <x:c r="L433" s="24" t="n">
        <x:v>17.4948</x:v>
      </x:c>
      <x:c r="M433" s="24" t="n">
        <x:v>78.3927</x:v>
      </x:c>
      <x:c r="N433" t="str">
        <x:f>IF(I433&gt;70,"70+ dB",IF(I433&gt;55,"56-70 dB","41-55 dB"))</x:f>
        <x:v>56-70 dB</x:v>
      </x:c>
      <x:c r="O433" t="str">
        <x:f>IF(I433&gt;70,"High",IF(I433&gt;55,"Moderate","Low"))</x:f>
        <x:v>Moderate</x:v>
      </x:c>
      <x:c r="P433" t="str">
        <x:f>IF(I433&gt;=70,"Yes","No")</x:f>
        <x:v>No</x:v>
      </x:c>
      <x:c r="Q433" t="str">
        <x:f>TEXT(B433,"yyyy-mm")</x:f>
        <x:v>2017-03</x:v>
      </x:c>
    </x:row>
    <x:row r="434">
      <x:c r="A434" t="str">
        <x:v>HYD03</x:v>
      </x:c>
      <x:c r="B434" s="22" t="n">
        <x:f>DATE(C434,D434,1)</x:f>
        <x:v>42826</x:v>
      </x:c>
      <x:c r="C434" t="n">
        <x:v>2017</x:v>
      </x:c>
      <x:c r="D434" t="n">
        <x:v>4</x:v>
      </x:c>
      <x:c r="E434" t="str">
        <x:f>TEXT(B434,"mmm")</x:f>
        <x:v>Apr</x:v>
      </x:c>
      <x:c r="F434" t="str">
        <x:f>"Q"&amp;ROUNDUP(D434/3,0)</x:f>
        <x:v>Q2</x:v>
      </x:c>
      <x:c r="G434" s="23" t="n">
        <x:v>72</x:v>
      </x:c>
      <x:c r="H434" s="23" t="n">
        <x:v>66</x:v>
      </x:c>
      <x:c r="I434" s="23" t="n">
        <x:v>69</x:v>
      </x:c>
      <x:c r="J434" s="23" t="n">
        <x:f>G434-H434</x:f>
        <x:v>6</x:v>
      </x:c>
      <x:c r="K434" t="str">
        <x:v>OBSERVED</x:v>
      </x:c>
      <x:c r="L434" s="24" t="n">
        <x:v>17.4948</x:v>
      </x:c>
      <x:c r="M434" s="24" t="n">
        <x:v>78.3927</x:v>
      </x:c>
      <x:c r="N434" t="str">
        <x:f>IF(I434&gt;70,"70+ dB",IF(I434&gt;55,"56-70 dB","41-55 dB"))</x:f>
        <x:v>56-70 dB</x:v>
      </x:c>
      <x:c r="O434" t="str">
        <x:f>IF(I434&gt;70,"High",IF(I434&gt;55,"Moderate","Low"))</x:f>
        <x:v>Moderate</x:v>
      </x:c>
      <x:c r="P434" t="str">
        <x:f>IF(I434&gt;=70,"Yes","No")</x:f>
        <x:v>No</x:v>
      </x:c>
      <x:c r="Q434" t="str">
        <x:f>TEXT(B434,"yyyy-mm")</x:f>
        <x:v>2017-04</x:v>
      </x:c>
    </x:row>
    <x:row r="435">
      <x:c r="A435" t="str">
        <x:v>HYD03</x:v>
      </x:c>
      <x:c r="B435" s="22" t="n">
        <x:f>DATE(C435,D435,1)</x:f>
        <x:v>42856</x:v>
      </x:c>
      <x:c r="C435" t="n">
        <x:v>2017</x:v>
      </x:c>
      <x:c r="D435" t="n">
        <x:v>5</x:v>
      </x:c>
      <x:c r="E435" t="str">
        <x:f>TEXT(B435,"mmm")</x:f>
        <x:v>May</x:v>
      </x:c>
      <x:c r="F435" t="str">
        <x:f>"Q"&amp;ROUNDUP(D435/3,0)</x:f>
        <x:v>Q2</x:v>
      </x:c>
      <x:c r="G435" s="23" t="n">
        <x:v>73</x:v>
      </x:c>
      <x:c r="H435" s="23" t="n">
        <x:v>67</x:v>
      </x:c>
      <x:c r="I435" s="23" t="n">
        <x:v>70</x:v>
      </x:c>
      <x:c r="J435" s="23" t="n">
        <x:f>G435-H435</x:f>
        <x:v>6</x:v>
      </x:c>
      <x:c r="K435" t="str">
        <x:v>OBSERVED</x:v>
      </x:c>
      <x:c r="L435" s="24" t="n">
        <x:v>17.4948</x:v>
      </x:c>
      <x:c r="M435" s="24" t="n">
        <x:v>78.3927</x:v>
      </x:c>
      <x:c r="N435" t="str">
        <x:f>IF(I435&gt;70,"70+ dB",IF(I435&gt;55,"56-70 dB","41-55 dB"))</x:f>
        <x:v>56-70 dB</x:v>
      </x:c>
      <x:c r="O435" t="str">
        <x:f>IF(I435&gt;70,"High",IF(I435&gt;55,"Moderate","Low"))</x:f>
        <x:v>Moderate</x:v>
      </x:c>
      <x:c r="P435" t="str">
        <x:f>IF(I435&gt;=70,"Yes","No")</x:f>
        <x:v>Yes</x:v>
      </x:c>
      <x:c r="Q435" t="str">
        <x:f>TEXT(B435,"yyyy-mm")</x:f>
        <x:v>2017-05</x:v>
      </x:c>
    </x:row>
    <x:row r="436">
      <x:c r="A436" t="str">
        <x:v>HYD03</x:v>
      </x:c>
      <x:c r="B436" s="22" t="n">
        <x:f>DATE(C436,D436,1)</x:f>
        <x:v>42887</x:v>
      </x:c>
      <x:c r="C436" t="n">
        <x:v>2017</x:v>
      </x:c>
      <x:c r="D436" t="n">
        <x:v>6</x:v>
      </x:c>
      <x:c r="E436" t="str">
        <x:f>TEXT(B436,"mmm")</x:f>
        <x:v>Jun</x:v>
      </x:c>
      <x:c r="F436" t="str">
        <x:f>"Q"&amp;ROUNDUP(D436/3,0)</x:f>
        <x:v>Q2</x:v>
      </x:c>
      <x:c r="G436" s="23" t="n">
        <x:v>72</x:v>
      </x:c>
      <x:c r="H436" s="23" t="n">
        <x:v>66</x:v>
      </x:c>
      <x:c r="I436" s="23" t="n">
        <x:v>69</x:v>
      </x:c>
      <x:c r="J436" s="23" t="n">
        <x:f>G436-H436</x:f>
        <x:v>6</x:v>
      </x:c>
      <x:c r="K436" t="str">
        <x:v>OBSERVED</x:v>
      </x:c>
      <x:c r="L436" s="24" t="n">
        <x:v>17.4948</x:v>
      </x:c>
      <x:c r="M436" s="24" t="n">
        <x:v>78.3927</x:v>
      </x:c>
      <x:c r="N436" t="str">
        <x:f>IF(I436&gt;70,"70+ dB",IF(I436&gt;55,"56-70 dB","41-55 dB"))</x:f>
        <x:v>56-70 dB</x:v>
      </x:c>
      <x:c r="O436" t="str">
        <x:f>IF(I436&gt;70,"High",IF(I436&gt;55,"Moderate","Low"))</x:f>
        <x:v>Moderate</x:v>
      </x:c>
      <x:c r="P436" t="str">
        <x:f>IF(I436&gt;=70,"Yes","No")</x:f>
        <x:v>No</x:v>
      </x:c>
      <x:c r="Q436" t="str">
        <x:f>TEXT(B436,"yyyy-mm")</x:f>
        <x:v>2017-06</x:v>
      </x:c>
    </x:row>
    <x:row r="437">
      <x:c r="A437" t="str">
        <x:v>HYD03</x:v>
      </x:c>
      <x:c r="B437" s="22" t="n">
        <x:f>DATE(C437,D437,1)</x:f>
        <x:v>42917</x:v>
      </x:c>
      <x:c r="C437" t="n">
        <x:v>2017</x:v>
      </x:c>
      <x:c r="D437" t="n">
        <x:v>7</x:v>
      </x:c>
      <x:c r="E437" t="str">
        <x:f>TEXT(B437,"mmm")</x:f>
        <x:v>Jul</x:v>
      </x:c>
      <x:c r="F437" t="str">
        <x:f>"Q"&amp;ROUNDUP(D437/3,0)</x:f>
        <x:v>Q3</x:v>
      </x:c>
      <x:c r="G437" s="23" t="n">
        <x:v>72</x:v>
      </x:c>
      <x:c r="H437" s="23" t="n">
        <x:v>65</x:v>
      </x:c>
      <x:c r="I437" s="23" t="n">
        <x:v>68.5</x:v>
      </x:c>
      <x:c r="J437" s="23" t="n">
        <x:f>G437-H437</x:f>
        <x:v>7</x:v>
      </x:c>
      <x:c r="K437" t="str">
        <x:v>OBSERVED</x:v>
      </x:c>
      <x:c r="L437" s="24" t="n">
        <x:v>17.4948</x:v>
      </x:c>
      <x:c r="M437" s="24" t="n">
        <x:v>78.3927</x:v>
      </x:c>
      <x:c r="N437" t="str">
        <x:f>IF(I437&gt;70,"70+ dB",IF(I437&gt;55,"56-70 dB","41-55 dB"))</x:f>
        <x:v>56-70 dB</x:v>
      </x:c>
      <x:c r="O437" t="str">
        <x:f>IF(I437&gt;70,"High",IF(I437&gt;55,"Moderate","Low"))</x:f>
        <x:v>Moderate</x:v>
      </x:c>
      <x:c r="P437" t="str">
        <x:f>IF(I437&gt;=70,"Yes","No")</x:f>
        <x:v>No</x:v>
      </x:c>
      <x:c r="Q437" t="str">
        <x:f>TEXT(B437,"yyyy-mm")</x:f>
        <x:v>2017-07</x:v>
      </x:c>
    </x:row>
    <x:row r="438">
      <x:c r="A438" t="str">
        <x:v>HYD03</x:v>
      </x:c>
      <x:c r="B438" s="22" t="n">
        <x:f>DATE(C438,D438,1)</x:f>
        <x:v>42948</x:v>
      </x:c>
      <x:c r="C438" t="n">
        <x:v>2017</x:v>
      </x:c>
      <x:c r="D438" t="n">
        <x:v>8</x:v>
      </x:c>
      <x:c r="E438" t="str">
        <x:f>TEXT(B438,"mmm")</x:f>
        <x:v>Aug</x:v>
      </x:c>
      <x:c r="F438" t="str">
        <x:f>"Q"&amp;ROUNDUP(D438/3,0)</x:f>
        <x:v>Q3</x:v>
      </x:c>
      <x:c r="G438" s="23" t="n">
        <x:v>72</x:v>
      </x:c>
      <x:c r="H438" s="23" t="n">
        <x:v>65</x:v>
      </x:c>
      <x:c r="I438" s="23" t="n">
        <x:v>68.5</x:v>
      </x:c>
      <x:c r="J438" s="23" t="n">
        <x:f>G438-H438</x:f>
        <x:v>7</x:v>
      </x:c>
      <x:c r="K438" t="str">
        <x:v>OBSERVED</x:v>
      </x:c>
      <x:c r="L438" s="24" t="n">
        <x:v>17.4948</x:v>
      </x:c>
      <x:c r="M438" s="24" t="n">
        <x:v>78.3927</x:v>
      </x:c>
      <x:c r="N438" t="str">
        <x:f>IF(I438&gt;70,"70+ dB",IF(I438&gt;55,"56-70 dB","41-55 dB"))</x:f>
        <x:v>56-70 dB</x:v>
      </x:c>
      <x:c r="O438" t="str">
        <x:f>IF(I438&gt;70,"High",IF(I438&gt;55,"Moderate","Low"))</x:f>
        <x:v>Moderate</x:v>
      </x:c>
      <x:c r="P438" t="str">
        <x:f>IF(I438&gt;=70,"Yes","No")</x:f>
        <x:v>No</x:v>
      </x:c>
      <x:c r="Q438" t="str">
        <x:f>TEXT(B438,"yyyy-mm")</x:f>
        <x:v>2017-08</x:v>
      </x:c>
    </x:row>
    <x:row r="439">
      <x:c r="A439" t="str">
        <x:v>HYD03</x:v>
      </x:c>
      <x:c r="B439" s="22" t="n">
        <x:f>DATE(C439,D439,1)</x:f>
        <x:v>42979</x:v>
      </x:c>
      <x:c r="C439" t="n">
        <x:v>2017</x:v>
      </x:c>
      <x:c r="D439" t="n">
        <x:v>9</x:v>
      </x:c>
      <x:c r="E439" t="str">
        <x:f>TEXT(B439,"mmm")</x:f>
        <x:v>Sep</x:v>
      </x:c>
      <x:c r="F439" t="str">
        <x:f>"Q"&amp;ROUNDUP(D439/3,0)</x:f>
        <x:v>Q3</x:v>
      </x:c>
      <x:c r="G439" s="23" t="n">
        <x:v>72</x:v>
      </x:c>
      <x:c r="H439" s="23" t="n">
        <x:v>65</x:v>
      </x:c>
      <x:c r="I439" s="23" t="n">
        <x:v>68.5</x:v>
      </x:c>
      <x:c r="J439" s="23" t="n">
        <x:f>G439-H439</x:f>
        <x:v>7</x:v>
      </x:c>
      <x:c r="K439" t="str">
        <x:v>OBSERVED</x:v>
      </x:c>
      <x:c r="L439" s="24" t="n">
        <x:v>17.4948</x:v>
      </x:c>
      <x:c r="M439" s="24" t="n">
        <x:v>78.3927</x:v>
      </x:c>
      <x:c r="N439" t="str">
        <x:f>IF(I439&gt;70,"70+ dB",IF(I439&gt;55,"56-70 dB","41-55 dB"))</x:f>
        <x:v>56-70 dB</x:v>
      </x:c>
      <x:c r="O439" t="str">
        <x:f>IF(I439&gt;70,"High",IF(I439&gt;55,"Moderate","Low"))</x:f>
        <x:v>Moderate</x:v>
      </x:c>
      <x:c r="P439" t="str">
        <x:f>IF(I439&gt;=70,"Yes","No")</x:f>
        <x:v>No</x:v>
      </x:c>
      <x:c r="Q439" t="str">
        <x:f>TEXT(B439,"yyyy-mm")</x:f>
        <x:v>2017-09</x:v>
      </x:c>
    </x:row>
    <x:row r="440">
      <x:c r="A440" t="str">
        <x:v>HYD03</x:v>
      </x:c>
      <x:c r="B440" s="22" t="n">
        <x:f>DATE(C440,D440,1)</x:f>
        <x:v>43009</x:v>
      </x:c>
      <x:c r="C440" t="n">
        <x:v>2017</x:v>
      </x:c>
      <x:c r="D440" t="n">
        <x:v>10</x:v>
      </x:c>
      <x:c r="E440" t="str">
        <x:f>TEXT(B440,"mmm")</x:f>
        <x:v>Oct</x:v>
      </x:c>
      <x:c r="F440" t="str">
        <x:f>"Q"&amp;ROUNDUP(D440/3,0)</x:f>
        <x:v>Q4</x:v>
      </x:c>
      <x:c r="G440" s="23" t="n">
        <x:v>72</x:v>
      </x:c>
      <x:c r="H440" s="23" t="n">
        <x:v>67</x:v>
      </x:c>
      <x:c r="I440" s="23" t="n">
        <x:v>69.5</x:v>
      </x:c>
      <x:c r="J440" s="23" t="n">
        <x:f>G440-H440</x:f>
        <x:v>5</x:v>
      </x:c>
      <x:c r="K440" t="str">
        <x:v>OBSERVED</x:v>
      </x:c>
      <x:c r="L440" s="24" t="n">
        <x:v>17.4948</x:v>
      </x:c>
      <x:c r="M440" s="24" t="n">
        <x:v>78.3927</x:v>
      </x:c>
      <x:c r="N440" t="str">
        <x:f>IF(I440&gt;70,"70+ dB",IF(I440&gt;55,"56-70 dB","41-55 dB"))</x:f>
        <x:v>56-70 dB</x:v>
      </x:c>
      <x:c r="O440" t="str">
        <x:f>IF(I440&gt;70,"High",IF(I440&gt;55,"Moderate","Low"))</x:f>
        <x:v>Moderate</x:v>
      </x:c>
      <x:c r="P440" t="str">
        <x:f>IF(I440&gt;=70,"Yes","No")</x:f>
        <x:v>No</x:v>
      </x:c>
      <x:c r="Q440" t="str">
        <x:f>TEXT(B440,"yyyy-mm")</x:f>
        <x:v>2017-10</x:v>
      </x:c>
    </x:row>
    <x:row r="441">
      <x:c r="A441" t="str">
        <x:v>HYD03</x:v>
      </x:c>
      <x:c r="B441" s="22" t="n">
        <x:f>DATE(C441,D441,1)</x:f>
        <x:v>43040</x:v>
      </x:c>
      <x:c r="C441" t="n">
        <x:v>2017</x:v>
      </x:c>
      <x:c r="D441" t="n">
        <x:v>11</x:v>
      </x:c>
      <x:c r="E441" t="str">
        <x:f>TEXT(B441,"mmm")</x:f>
        <x:v>Nov</x:v>
      </x:c>
      <x:c r="F441" t="str">
        <x:f>"Q"&amp;ROUNDUP(D441/3,0)</x:f>
        <x:v>Q4</x:v>
      </x:c>
      <x:c r="G441" s="23" t="n">
        <x:v>71</x:v>
      </x:c>
      <x:c r="H441" s="23" t="n">
        <x:v>64</x:v>
      </x:c>
      <x:c r="I441" s="23" t="n">
        <x:v>67.5</x:v>
      </x:c>
      <x:c r="J441" s="23" t="n">
        <x:f>G441-H441</x:f>
        <x:v>7</x:v>
      </x:c>
      <x:c r="K441" t="str">
        <x:v>OBSERVED</x:v>
      </x:c>
      <x:c r="L441" s="24" t="n">
        <x:v>17.4948</x:v>
      </x:c>
      <x:c r="M441" s="24" t="n">
        <x:v>78.3927</x:v>
      </x:c>
      <x:c r="N441" t="str">
        <x:f>IF(I441&gt;70,"70+ dB",IF(I441&gt;55,"56-70 dB","41-55 dB"))</x:f>
        <x:v>56-70 dB</x:v>
      </x:c>
      <x:c r="O441" t="str">
        <x:f>IF(I441&gt;70,"High",IF(I441&gt;55,"Moderate","Low"))</x:f>
        <x:v>Moderate</x:v>
      </x:c>
      <x:c r="P441" t="str">
        <x:f>IF(I441&gt;=70,"Yes","No")</x:f>
        <x:v>No</x:v>
      </x:c>
      <x:c r="Q441" t="str">
        <x:f>TEXT(B441,"yyyy-mm")</x:f>
        <x:v>2017-11</x:v>
      </x:c>
    </x:row>
    <x:row r="442">
      <x:c r="A442" t="str">
        <x:v>HYD03</x:v>
      </x:c>
      <x:c r="B442" s="22" t="n">
        <x:f>DATE(C442,D442,1)</x:f>
        <x:v>43070</x:v>
      </x:c>
      <x:c r="C442" t="n">
        <x:v>2017</x:v>
      </x:c>
      <x:c r="D442" t="n">
        <x:v>12</x:v>
      </x:c>
      <x:c r="E442" t="str">
        <x:f>TEXT(B442,"mmm")</x:f>
        <x:v>Dec</x:v>
      </x:c>
      <x:c r="F442" t="str">
        <x:f>"Q"&amp;ROUNDUP(D442/3,0)</x:f>
        <x:v>Q4</x:v>
      </x:c>
      <x:c r="G442" s="23" t="n">
        <x:v>71</x:v>
      </x:c>
      <x:c r="H442" s="23" t="n">
        <x:v>64</x:v>
      </x:c>
      <x:c r="I442" s="23" t="n">
        <x:v>67.5</x:v>
      </x:c>
      <x:c r="J442" s="23" t="n">
        <x:f>G442-H442</x:f>
        <x:v>7</x:v>
      </x:c>
      <x:c r="K442" t="str">
        <x:v>OBSERVED</x:v>
      </x:c>
      <x:c r="L442" s="24" t="n">
        <x:v>17.4948</x:v>
      </x:c>
      <x:c r="M442" s="24" t="n">
        <x:v>78.3927</x:v>
      </x:c>
      <x:c r="N442" t="str">
        <x:f>IF(I442&gt;70,"70+ dB",IF(I442&gt;55,"56-70 dB","41-55 dB"))</x:f>
        <x:v>56-70 dB</x:v>
      </x:c>
      <x:c r="O442" t="str">
        <x:f>IF(I442&gt;70,"High",IF(I442&gt;55,"Moderate","Low"))</x:f>
        <x:v>Moderate</x:v>
      </x:c>
      <x:c r="P442" t="str">
        <x:f>IF(I442&gt;=70,"Yes","No")</x:f>
        <x:v>No</x:v>
      </x:c>
      <x:c r="Q442" t="str">
        <x:f>TEXT(B442,"yyyy-mm")</x:f>
        <x:v>2017-12</x:v>
      </x:c>
    </x:row>
    <x:row r="443">
      <x:c r="A443" t="str">
        <x:v>HYD03</x:v>
      </x:c>
      <x:c r="B443" s="22" t="n">
        <x:f>DATE(C443,D443,1)</x:f>
        <x:v>43101</x:v>
      </x:c>
      <x:c r="C443" t="n">
        <x:v>2018</x:v>
      </x:c>
      <x:c r="D443" t="n">
        <x:v>1</x:v>
      </x:c>
      <x:c r="E443" t="str">
        <x:f>TEXT(B443,"mmm")</x:f>
        <x:v>Jan</x:v>
      </x:c>
      <x:c r="F443" t="str">
        <x:f>"Q"&amp;ROUNDUP(D443/3,0)</x:f>
        <x:v>Q1</x:v>
      </x:c>
      <x:c r="G443" s="23" t="n">
        <x:v>61</x:v>
      </x:c>
      <x:c r="H443" s="23" t="n">
        <x:v>56</x:v>
      </x:c>
      <x:c r="I443" s="23" t="n">
        <x:v>58.5</x:v>
      </x:c>
      <x:c r="J443" s="23" t="n">
        <x:f>G443-H443</x:f>
        <x:v>5</x:v>
      </x:c>
      <x:c r="K443" t="str">
        <x:v>OBSERVED</x:v>
      </x:c>
      <x:c r="L443" s="24" t="n">
        <x:v>17.4948</x:v>
      </x:c>
      <x:c r="M443" s="24" t="n">
        <x:v>78.3927</x:v>
      </x:c>
      <x:c r="N443" t="str">
        <x:f>IF(I443&gt;70,"70+ dB",IF(I443&gt;55,"56-70 dB","41-55 dB"))</x:f>
        <x:v>56-70 dB</x:v>
      </x:c>
      <x:c r="O443" t="str">
        <x:f>IF(I443&gt;70,"High",IF(I443&gt;55,"Moderate","Low"))</x:f>
        <x:v>Moderate</x:v>
      </x:c>
      <x:c r="P443" t="str">
        <x:f>IF(I443&gt;=70,"Yes","No")</x:f>
        <x:v>No</x:v>
      </x:c>
      <x:c r="Q443" t="str">
        <x:f>TEXT(B443,"yyyy-mm")</x:f>
        <x:v>2018-01</x:v>
      </x:c>
    </x:row>
    <x:row r="444">
      <x:c r="A444" t="str">
        <x:v>HYD03</x:v>
      </x:c>
      <x:c r="B444" s="22" t="n">
        <x:f>DATE(C444,D444,1)</x:f>
        <x:v>43132</x:v>
      </x:c>
      <x:c r="C444" t="n">
        <x:v>2018</x:v>
      </x:c>
      <x:c r="D444" t="n">
        <x:v>2</x:v>
      </x:c>
      <x:c r="E444" t="str">
        <x:f>TEXT(B444,"mmm")</x:f>
        <x:v>Feb</x:v>
      </x:c>
      <x:c r="F444" t="str">
        <x:f>"Q"&amp;ROUNDUP(D444/3,0)</x:f>
        <x:v>Q1</x:v>
      </x:c>
      <x:c r="G444" s="23" t="n">
        <x:v>63</x:v>
      </x:c>
      <x:c r="H444" s="23" t="n">
        <x:v>56</x:v>
      </x:c>
      <x:c r="I444" s="23" t="n">
        <x:v>59.5</x:v>
      </x:c>
      <x:c r="J444" s="23" t="n">
        <x:f>G444-H444</x:f>
        <x:v>7</x:v>
      </x:c>
      <x:c r="K444" t="str">
        <x:v>OBSERVED</x:v>
      </x:c>
      <x:c r="L444" s="24" t="n">
        <x:v>17.4948</x:v>
      </x:c>
      <x:c r="M444" s="24" t="n">
        <x:v>78.3927</x:v>
      </x:c>
      <x:c r="N444" t="str">
        <x:f>IF(I444&gt;70,"70+ dB",IF(I444&gt;55,"56-70 dB","41-55 dB"))</x:f>
        <x:v>56-70 dB</x:v>
      </x:c>
      <x:c r="O444" t="str">
        <x:f>IF(I444&gt;70,"High",IF(I444&gt;55,"Moderate","Low"))</x:f>
        <x:v>Moderate</x:v>
      </x:c>
      <x:c r="P444" t="str">
        <x:f>IF(I444&gt;=70,"Yes","No")</x:f>
        <x:v>No</x:v>
      </x:c>
      <x:c r="Q444" t="str">
        <x:f>TEXT(B444,"yyyy-mm")</x:f>
        <x:v>2018-02</x:v>
      </x:c>
    </x:row>
    <x:row r="445">
      <x:c r="A445" t="str">
        <x:v>HYD03</x:v>
      </x:c>
      <x:c r="B445" s="22" t="n">
        <x:f>DATE(C445,D445,1)</x:f>
        <x:v>43160</x:v>
      </x:c>
      <x:c r="C445" t="n">
        <x:v>2018</x:v>
      </x:c>
      <x:c r="D445" t="n">
        <x:v>3</x:v>
      </x:c>
      <x:c r="E445" t="str">
        <x:f>TEXT(B445,"mmm")</x:f>
        <x:v>Mar</x:v>
      </x:c>
      <x:c r="F445" t="str">
        <x:f>"Q"&amp;ROUNDUP(D445/3,0)</x:f>
        <x:v>Q1</x:v>
      </x:c>
      <x:c r="G445" s="23" t="n">
        <x:v>62</x:v>
      </x:c>
      <x:c r="H445" s="23" t="n">
        <x:v>56</x:v>
      </x:c>
      <x:c r="I445" s="23" t="n">
        <x:v>59</x:v>
      </x:c>
      <x:c r="J445" s="23" t="n">
        <x:f>G445-H445</x:f>
        <x:v>6</x:v>
      </x:c>
      <x:c r="K445" t="str">
        <x:v>OBSERVED</x:v>
      </x:c>
      <x:c r="L445" s="24" t="n">
        <x:v>17.4948</x:v>
      </x:c>
      <x:c r="M445" s="24" t="n">
        <x:v>78.3927</x:v>
      </x:c>
      <x:c r="N445" t="str">
        <x:f>IF(I445&gt;70,"70+ dB",IF(I445&gt;55,"56-70 dB","41-55 dB"))</x:f>
        <x:v>56-70 dB</x:v>
      </x:c>
      <x:c r="O445" t="str">
        <x:f>IF(I445&gt;70,"High",IF(I445&gt;55,"Moderate","Low"))</x:f>
        <x:v>Moderate</x:v>
      </x:c>
      <x:c r="P445" t="str">
        <x:f>IF(I445&gt;=70,"Yes","No")</x:f>
        <x:v>No</x:v>
      </x:c>
      <x:c r="Q445" t="str">
        <x:f>TEXT(B445,"yyyy-mm")</x:f>
        <x:v>2018-03</x:v>
      </x:c>
    </x:row>
    <x:row r="446">
      <x:c r="A446" t="str">
        <x:v>HYD03</x:v>
      </x:c>
      <x:c r="B446" s="22" t="n">
        <x:f>DATE(C446,D446,1)</x:f>
        <x:v>43191</x:v>
      </x:c>
      <x:c r="C446" t="n">
        <x:v>2018</x:v>
      </x:c>
      <x:c r="D446" t="n">
        <x:v>4</x:v>
      </x:c>
      <x:c r="E446" t="str">
        <x:f>TEXT(B446,"mmm")</x:f>
        <x:v>Apr</x:v>
      </x:c>
      <x:c r="F446" t="str">
        <x:f>"Q"&amp;ROUNDUP(D446/3,0)</x:f>
        <x:v>Q2</x:v>
      </x:c>
      <x:c r="G446" s="23" t="n">
        <x:v>61</x:v>
      </x:c>
      <x:c r="H446" s="23" t="n">
        <x:v>56</x:v>
      </x:c>
      <x:c r="I446" s="23" t="n">
        <x:v>58.5</x:v>
      </x:c>
      <x:c r="J446" s="23" t="n">
        <x:f>G446-H446</x:f>
        <x:v>5</x:v>
      </x:c>
      <x:c r="K446" t="str">
        <x:v>OBSERVED</x:v>
      </x:c>
      <x:c r="L446" s="24" t="n">
        <x:v>17.4948</x:v>
      </x:c>
      <x:c r="M446" s="24" t="n">
        <x:v>78.3927</x:v>
      </x:c>
      <x:c r="N446" t="str">
        <x:f>IF(I446&gt;70,"70+ dB",IF(I446&gt;55,"56-70 dB","41-55 dB"))</x:f>
        <x:v>56-70 dB</x:v>
      </x:c>
      <x:c r="O446" t="str">
        <x:f>IF(I446&gt;70,"High",IF(I446&gt;55,"Moderate","Low"))</x:f>
        <x:v>Moderate</x:v>
      </x:c>
      <x:c r="P446" t="str">
        <x:f>IF(I446&gt;=70,"Yes","No")</x:f>
        <x:v>No</x:v>
      </x:c>
      <x:c r="Q446" t="str">
        <x:f>TEXT(B446,"yyyy-mm")</x:f>
        <x:v>2018-04</x:v>
      </x:c>
    </x:row>
    <x:row r="447">
      <x:c r="A447" t="str">
        <x:v>HYD03</x:v>
      </x:c>
      <x:c r="B447" s="22" t="n">
        <x:f>DATE(C447,D447,1)</x:f>
        <x:v>43221</x:v>
      </x:c>
      <x:c r="C447" t="n">
        <x:v>2018</x:v>
      </x:c>
      <x:c r="D447" t="n">
        <x:v>5</x:v>
      </x:c>
      <x:c r="E447" t="str">
        <x:f>TEXT(B447,"mmm")</x:f>
        <x:v>May</x:v>
      </x:c>
      <x:c r="F447" t="str">
        <x:f>"Q"&amp;ROUNDUP(D447/3,0)</x:f>
        <x:v>Q2</x:v>
      </x:c>
      <x:c r="G447" s="23" t="n">
        <x:v>61</x:v>
      </x:c>
      <x:c r="H447" s="23" t="n">
        <x:v>56</x:v>
      </x:c>
      <x:c r="I447" s="23" t="n">
        <x:v>58.5</x:v>
      </x:c>
      <x:c r="J447" s="23" t="n">
        <x:f>G447-H447</x:f>
        <x:v>5</x:v>
      </x:c>
      <x:c r="K447" t="str">
        <x:v>OBSERVED</x:v>
      </x:c>
      <x:c r="L447" s="24" t="n">
        <x:v>17.4948</x:v>
      </x:c>
      <x:c r="M447" s="24" t="n">
        <x:v>78.3927</x:v>
      </x:c>
      <x:c r="N447" t="str">
        <x:f>IF(I447&gt;70,"70+ dB",IF(I447&gt;55,"56-70 dB","41-55 dB"))</x:f>
        <x:v>56-70 dB</x:v>
      </x:c>
      <x:c r="O447" t="str">
        <x:f>IF(I447&gt;70,"High",IF(I447&gt;55,"Moderate","Low"))</x:f>
        <x:v>Moderate</x:v>
      </x:c>
      <x:c r="P447" t="str">
        <x:f>IF(I447&gt;=70,"Yes","No")</x:f>
        <x:v>No</x:v>
      </x:c>
      <x:c r="Q447" t="str">
        <x:f>TEXT(B447,"yyyy-mm")</x:f>
        <x:v>2018-05</x:v>
      </x:c>
    </x:row>
    <x:row r="448">
      <x:c r="A448" t="str">
        <x:v>HYD03</x:v>
      </x:c>
      <x:c r="B448" s="22" t="n">
        <x:f>DATE(C448,D448,1)</x:f>
        <x:v>43252</x:v>
      </x:c>
      <x:c r="C448" t="n">
        <x:v>2018</x:v>
      </x:c>
      <x:c r="D448" t="n">
        <x:v>6</x:v>
      </x:c>
      <x:c r="E448" t="str">
        <x:f>TEXT(B448,"mmm")</x:f>
        <x:v>Jun</x:v>
      </x:c>
      <x:c r="F448" t="str">
        <x:f>"Q"&amp;ROUNDUP(D448/3,0)</x:f>
        <x:v>Q2</x:v>
      </x:c>
      <x:c r="G448" s="23" t="n">
        <x:v>62</x:v>
      </x:c>
      <x:c r="H448" s="23" t="n">
        <x:v>57</x:v>
      </x:c>
      <x:c r="I448" s="23" t="n">
        <x:v>59.5</x:v>
      </x:c>
      <x:c r="J448" s="23" t="n">
        <x:f>G448-H448</x:f>
        <x:v>5</x:v>
      </x:c>
      <x:c r="K448" t="str">
        <x:v>OBSERVED</x:v>
      </x:c>
      <x:c r="L448" s="24" t="n">
        <x:v>17.4948</x:v>
      </x:c>
      <x:c r="M448" s="24" t="n">
        <x:v>78.3927</x:v>
      </x:c>
      <x:c r="N448" t="str">
        <x:f>IF(I448&gt;70,"70+ dB",IF(I448&gt;55,"56-70 dB","41-55 dB"))</x:f>
        <x:v>56-70 dB</x:v>
      </x:c>
      <x:c r="O448" t="str">
        <x:f>IF(I448&gt;70,"High",IF(I448&gt;55,"Moderate","Low"))</x:f>
        <x:v>Moderate</x:v>
      </x:c>
      <x:c r="P448" t="str">
        <x:f>IF(I448&gt;=70,"Yes","No")</x:f>
        <x:v>No</x:v>
      </x:c>
      <x:c r="Q448" t="str">
        <x:f>TEXT(B448,"yyyy-mm")</x:f>
        <x:v>2018-06</x:v>
      </x:c>
    </x:row>
    <x:row r="449">
      <x:c r="A449" t="str">
        <x:v>HYD03</x:v>
      </x:c>
      <x:c r="B449" s="22" t="n">
        <x:f>DATE(C449,D449,1)</x:f>
        <x:v>43282</x:v>
      </x:c>
      <x:c r="C449" t="n">
        <x:v>2018</x:v>
      </x:c>
      <x:c r="D449" t="n">
        <x:v>7</x:v>
      </x:c>
      <x:c r="E449" t="str">
        <x:f>TEXT(B449,"mmm")</x:f>
        <x:v>Jul</x:v>
      </x:c>
      <x:c r="F449" t="str">
        <x:f>"Q"&amp;ROUNDUP(D449/3,0)</x:f>
        <x:v>Q3</x:v>
      </x:c>
      <x:c r="G449" s="23" t="n">
        <x:v>62</x:v>
      </x:c>
      <x:c r="H449" s="23" t="n">
        <x:v>57</x:v>
      </x:c>
      <x:c r="I449" s="23" t="n">
        <x:v>59.5</x:v>
      </x:c>
      <x:c r="J449" s="23" t="n">
        <x:f>G449-H449</x:f>
        <x:v>5</x:v>
      </x:c>
      <x:c r="K449" t="str">
        <x:v>OBSERVED</x:v>
      </x:c>
      <x:c r="L449" s="24" t="n">
        <x:v>17.4948</x:v>
      </x:c>
      <x:c r="M449" s="24" t="n">
        <x:v>78.3927</x:v>
      </x:c>
      <x:c r="N449" t="str">
        <x:f>IF(I449&gt;70,"70+ dB",IF(I449&gt;55,"56-70 dB","41-55 dB"))</x:f>
        <x:v>56-70 dB</x:v>
      </x:c>
      <x:c r="O449" t="str">
        <x:f>IF(I449&gt;70,"High",IF(I449&gt;55,"Moderate","Low"))</x:f>
        <x:v>Moderate</x:v>
      </x:c>
      <x:c r="P449" t="str">
        <x:f>IF(I449&gt;=70,"Yes","No")</x:f>
        <x:v>No</x:v>
      </x:c>
      <x:c r="Q449" t="str">
        <x:f>TEXT(B449,"yyyy-mm")</x:f>
        <x:v>2018-07</x:v>
      </x:c>
    </x:row>
    <x:row r="450">
      <x:c r="A450" t="str">
        <x:v>HYD03</x:v>
      </x:c>
      <x:c r="B450" s="22" t="n">
        <x:f>DATE(C450,D450,1)</x:f>
        <x:v>43313</x:v>
      </x:c>
      <x:c r="C450" t="n">
        <x:v>2018</x:v>
      </x:c>
      <x:c r="D450" t="n">
        <x:v>8</x:v>
      </x:c>
      <x:c r="E450" t="str">
        <x:f>TEXT(B450,"mmm")</x:f>
        <x:v>Aug</x:v>
      </x:c>
      <x:c r="F450" t="str">
        <x:f>"Q"&amp;ROUNDUP(D450/3,0)</x:f>
        <x:v>Q3</x:v>
      </x:c>
      <x:c r="G450" s="23" t="n">
        <x:v>62</x:v>
      </x:c>
      <x:c r="H450" s="23" t="n">
        <x:v>57</x:v>
      </x:c>
      <x:c r="I450" s="23" t="n">
        <x:v>59.5</x:v>
      </x:c>
      <x:c r="J450" s="23" t="n">
        <x:f>G450-H450</x:f>
        <x:v>5</x:v>
      </x:c>
      <x:c r="K450" t="str">
        <x:v>OBSERVED</x:v>
      </x:c>
      <x:c r="L450" s="24" t="n">
        <x:v>17.4948</x:v>
      </x:c>
      <x:c r="M450" s="24" t="n">
        <x:v>78.3927</x:v>
      </x:c>
      <x:c r="N450" t="str">
        <x:f>IF(I450&gt;70,"70+ dB",IF(I450&gt;55,"56-70 dB","41-55 dB"))</x:f>
        <x:v>56-70 dB</x:v>
      </x:c>
      <x:c r="O450" t="str">
        <x:f>IF(I450&gt;70,"High",IF(I450&gt;55,"Moderate","Low"))</x:f>
        <x:v>Moderate</x:v>
      </x:c>
      <x:c r="P450" t="str">
        <x:f>IF(I450&gt;=70,"Yes","No")</x:f>
        <x:v>No</x:v>
      </x:c>
      <x:c r="Q450" t="str">
        <x:f>TEXT(B450,"yyyy-mm")</x:f>
        <x:v>2018-08</x:v>
      </x:c>
    </x:row>
    <x:row r="451">
      <x:c r="A451" t="str">
        <x:v>HYD03</x:v>
      </x:c>
      <x:c r="B451" s="22" t="n">
        <x:f>DATE(C451,D451,1)</x:f>
        <x:v>43344</x:v>
      </x:c>
      <x:c r="C451" t="n">
        <x:v>2018</x:v>
      </x:c>
      <x:c r="D451" t="n">
        <x:v>9</x:v>
      </x:c>
      <x:c r="E451" t="str">
        <x:f>TEXT(B451,"mmm")</x:f>
        <x:v>Sep</x:v>
      </x:c>
      <x:c r="F451" t="str">
        <x:f>"Q"&amp;ROUNDUP(D451/3,0)</x:f>
        <x:v>Q3</x:v>
      </x:c>
      <x:c r="G451" s="23" t="n">
        <x:v>61</x:v>
      </x:c>
      <x:c r="H451" s="23" t="n">
        <x:v>55</x:v>
      </x:c>
      <x:c r="I451" s="23" t="n">
        <x:v>58</x:v>
      </x:c>
      <x:c r="J451" s="23" t="n">
        <x:f>G451-H451</x:f>
        <x:v>6</x:v>
      </x:c>
      <x:c r="K451" t="str">
        <x:v>OBSERVED</x:v>
      </x:c>
      <x:c r="L451" s="24" t="n">
        <x:v>17.4948</x:v>
      </x:c>
      <x:c r="M451" s="24" t="n">
        <x:v>78.3927</x:v>
      </x:c>
      <x:c r="N451" t="str">
        <x:f>IF(I451&gt;70,"70+ dB",IF(I451&gt;55,"56-70 dB","41-55 dB"))</x:f>
        <x:v>56-70 dB</x:v>
      </x:c>
      <x:c r="O451" t="str">
        <x:f>IF(I451&gt;70,"High",IF(I451&gt;55,"Moderate","Low"))</x:f>
        <x:v>Moderate</x:v>
      </x:c>
      <x:c r="P451" t="str">
        <x:f>IF(I451&gt;=70,"Yes","No")</x:f>
        <x:v>No</x:v>
      </x:c>
      <x:c r="Q451" t="str">
        <x:f>TEXT(B451,"yyyy-mm")</x:f>
        <x:v>2018-09</x:v>
      </x:c>
    </x:row>
    <x:row r="452">
      <x:c r="A452" t="str">
        <x:v>HYD03</x:v>
      </x:c>
      <x:c r="B452" s="22" t="n">
        <x:f>DATE(C452,D452,1)</x:f>
        <x:v>43374</x:v>
      </x:c>
      <x:c r="C452" t="n">
        <x:v>2018</x:v>
      </x:c>
      <x:c r="D452" t="n">
        <x:v>10</x:v>
      </x:c>
      <x:c r="E452" t="str">
        <x:f>TEXT(B452,"mmm")</x:f>
        <x:v>Oct</x:v>
      </x:c>
      <x:c r="F452" t="str">
        <x:f>"Q"&amp;ROUNDUP(D452/3,0)</x:f>
        <x:v>Q4</x:v>
      </x:c>
      <x:c r="G452" s="23" t="n">
        <x:v>59</x:v>
      </x:c>
      <x:c r="H452" s="23" t="n">
        <x:v>53</x:v>
      </x:c>
      <x:c r="I452" s="23" t="n">
        <x:v>56</x:v>
      </x:c>
      <x:c r="J452" s="23" t="n">
        <x:f>G452-H452</x:f>
        <x:v>6</x:v>
      </x:c>
      <x:c r="K452" t="str">
        <x:v>OBSERVED</x:v>
      </x:c>
      <x:c r="L452" s="24" t="n">
        <x:v>17.4948</x:v>
      </x:c>
      <x:c r="M452" s="24" t="n">
        <x:v>78.3927</x:v>
      </x:c>
      <x:c r="N452" t="str">
        <x:f>IF(I452&gt;70,"70+ dB",IF(I452&gt;55,"56-70 dB","41-55 dB"))</x:f>
        <x:v>56-70 dB</x:v>
      </x:c>
      <x:c r="O452" t="str">
        <x:f>IF(I452&gt;70,"High",IF(I452&gt;55,"Moderate","Low"))</x:f>
        <x:v>Moderate</x:v>
      </x:c>
      <x:c r="P452" t="str">
        <x:f>IF(I452&gt;=70,"Yes","No")</x:f>
        <x:v>No</x:v>
      </x:c>
      <x:c r="Q452" t="str">
        <x:f>TEXT(B452,"yyyy-mm")</x:f>
        <x:v>2018-10</x:v>
      </x:c>
    </x:row>
    <x:row r="453">
      <x:c r="A453" t="str">
        <x:v>HYD03</x:v>
      </x:c>
      <x:c r="B453" s="22" t="n">
        <x:f>DATE(C453,D453,1)</x:f>
        <x:v>43405</x:v>
      </x:c>
      <x:c r="C453" t="n">
        <x:v>2018</x:v>
      </x:c>
      <x:c r="D453" t="n">
        <x:v>11</x:v>
      </x:c>
      <x:c r="E453" t="str">
        <x:f>TEXT(B453,"mmm")</x:f>
        <x:v>Nov</x:v>
      </x:c>
      <x:c r="F453" t="str">
        <x:f>"Q"&amp;ROUNDUP(D453/3,0)</x:f>
        <x:v>Q4</x:v>
      </x:c>
      <x:c r="G453" s="23" t="n">
        <x:v>59</x:v>
      </x:c>
      <x:c r="H453" s="23" t="n">
        <x:v>54</x:v>
      </x:c>
      <x:c r="I453" s="23" t="n">
        <x:v>56.5</x:v>
      </x:c>
      <x:c r="J453" s="23" t="n">
        <x:f>G453-H453</x:f>
        <x:v>5</x:v>
      </x:c>
      <x:c r="K453" t="str">
        <x:v>OBSERVED</x:v>
      </x:c>
      <x:c r="L453" s="24" t="n">
        <x:v>17.4948</x:v>
      </x:c>
      <x:c r="M453" s="24" t="n">
        <x:v>78.3927</x:v>
      </x:c>
      <x:c r="N453" t="str">
        <x:f>IF(I453&gt;70,"70+ dB",IF(I453&gt;55,"56-70 dB","41-55 dB"))</x:f>
        <x:v>56-70 dB</x:v>
      </x:c>
      <x:c r="O453" t="str">
        <x:f>IF(I453&gt;70,"High",IF(I453&gt;55,"Moderate","Low"))</x:f>
        <x:v>Moderate</x:v>
      </x:c>
      <x:c r="P453" t="str">
        <x:f>IF(I453&gt;=70,"Yes","No")</x:f>
        <x:v>No</x:v>
      </x:c>
      <x:c r="Q453" t="str">
        <x:f>TEXT(B453,"yyyy-mm")</x:f>
        <x:v>2018-11</x:v>
      </x:c>
    </x:row>
    <x:row r="454">
      <x:c r="A454" t="str">
        <x:v>HYD03</x:v>
      </x:c>
      <x:c r="B454" s="22" t="n">
        <x:f>DATE(C454,D454,1)</x:f>
        <x:v>43435</x:v>
      </x:c>
      <x:c r="C454" t="n">
        <x:v>2018</x:v>
      </x:c>
      <x:c r="D454" t="n">
        <x:v>12</x:v>
      </x:c>
      <x:c r="E454" t="str">
        <x:f>TEXT(B454,"mmm")</x:f>
        <x:v>Dec</x:v>
      </x:c>
      <x:c r="F454" t="str">
        <x:f>"Q"&amp;ROUNDUP(D454/3,0)</x:f>
        <x:v>Q4</x:v>
      </x:c>
      <x:c r="G454" s="23" t="n">
        <x:v>59</x:v>
      </x:c>
      <x:c r="H454" s="23" t="n">
        <x:v>54</x:v>
      </x:c>
      <x:c r="I454" s="23" t="n">
        <x:v>56.5</x:v>
      </x:c>
      <x:c r="J454" s="23" t="n">
        <x:f>G454-H454</x:f>
        <x:v>5</x:v>
      </x:c>
      <x:c r="K454" t="str">
        <x:v>OBSERVED</x:v>
      </x:c>
      <x:c r="L454" s="24" t="n">
        <x:v>17.4948</x:v>
      </x:c>
      <x:c r="M454" s="24" t="n">
        <x:v>78.3927</x:v>
      </x:c>
      <x:c r="N454" t="str">
        <x:f>IF(I454&gt;70,"70+ dB",IF(I454&gt;55,"56-70 dB","41-55 dB"))</x:f>
        <x:v>56-70 dB</x:v>
      </x:c>
      <x:c r="O454" t="str">
        <x:f>IF(I454&gt;70,"High",IF(I454&gt;55,"Moderate","Low"))</x:f>
        <x:v>Moderate</x:v>
      </x:c>
      <x:c r="P454" t="str">
        <x:f>IF(I454&gt;=70,"Yes","No")</x:f>
        <x:v>No</x:v>
      </x:c>
      <x:c r="Q454" t="str">
        <x:f>TEXT(B454,"yyyy-mm")</x:f>
        <x:v>2018-12</x:v>
      </x:c>
    </x:row>
    <x:row r="455">
      <x:c r="A455" t="str">
        <x:v>HYD03</x:v>
      </x:c>
      <x:c r="B455" s="22" t="n">
        <x:f>DATE(C455,D455,1)</x:f>
        <x:v>43466</x:v>
      </x:c>
      <x:c r="C455" t="n">
        <x:v>2019</x:v>
      </x:c>
      <x:c r="D455" t="n">
        <x:v>1</x:v>
      </x:c>
      <x:c r="E455" t="str">
        <x:f>TEXT(B455,"mmm")</x:f>
        <x:v>Jan</x:v>
      </x:c>
      <x:c r="F455" t="str">
        <x:f>"Q"&amp;ROUNDUP(D455/3,0)</x:f>
        <x:v>Q1</x:v>
      </x:c>
      <x:c r="G455" s="23" t="n">
        <x:v>60.82</x:v>
      </x:c>
      <x:c r="H455" s="23" t="n">
        <x:v>55.73</x:v>
      </x:c>
      <x:c r="I455" s="23" t="n">
        <x:v>58.3</x:v>
      </x:c>
      <x:c r="J455" s="23" t="n">
        <x:f>G455-H455</x:f>
        <x:v>5.090000000000003</x:v>
      </x:c>
      <x:c r="K455" t="str">
        <x:v>HINDCAST</x:v>
      </x:c>
      <x:c r="L455" s="24" t="n">
        <x:v>17.4948</x:v>
      </x:c>
      <x:c r="M455" s="24" t="n">
        <x:v>78.3927</x:v>
      </x:c>
      <x:c r="N455" t="str">
        <x:f>IF(I455&gt;70,"70+ dB",IF(I455&gt;55,"56-70 dB","41-55 dB"))</x:f>
        <x:v>56-70 dB</x:v>
      </x:c>
      <x:c r="O455" t="str">
        <x:f>IF(I455&gt;70,"High",IF(I455&gt;55,"Moderate","Low"))</x:f>
        <x:v>Moderate</x:v>
      </x:c>
      <x:c r="P455" t="str">
        <x:f>IF(I455&gt;=70,"Yes","No")</x:f>
        <x:v>No</x:v>
      </x:c>
      <x:c r="Q455" t="str">
        <x:f>TEXT(B455,"yyyy-mm")</x:f>
        <x:v>2019-01</x:v>
      </x:c>
    </x:row>
    <x:row r="456">
      <x:c r="A456" t="str">
        <x:v>HYD03</x:v>
      </x:c>
      <x:c r="B456" s="22" t="n">
        <x:f>DATE(C456,D456,1)</x:f>
        <x:v>43497</x:v>
      </x:c>
      <x:c r="C456" t="n">
        <x:v>2019</x:v>
      </x:c>
      <x:c r="D456" t="n">
        <x:v>2</x:v>
      </x:c>
      <x:c r="E456" t="str">
        <x:f>TEXT(B456,"mmm")</x:f>
        <x:v>Feb</x:v>
      </x:c>
      <x:c r="F456" t="str">
        <x:f>"Q"&amp;ROUNDUP(D456/3,0)</x:f>
        <x:v>Q1</x:v>
      </x:c>
      <x:c r="G456" s="23" t="n">
        <x:v>61.19</x:v>
      </x:c>
      <x:c r="H456" s="23" t="n">
        <x:v>56.17</x:v>
      </x:c>
      <x:c r="I456" s="23" t="n">
        <x:v>58.7</x:v>
      </x:c>
      <x:c r="J456" s="23" t="n">
        <x:f>G456-H456</x:f>
        <x:v>5.019999999999996</x:v>
      </x:c>
      <x:c r="K456" t="str">
        <x:v>HINDCAST</x:v>
      </x:c>
      <x:c r="L456" s="24" t="n">
        <x:v>17.4948</x:v>
      </x:c>
      <x:c r="M456" s="24" t="n">
        <x:v>78.3927</x:v>
      </x:c>
      <x:c r="N456" t="str">
        <x:f>IF(I456&gt;70,"70+ dB",IF(I456&gt;55,"56-70 dB","41-55 dB"))</x:f>
        <x:v>56-70 dB</x:v>
      </x:c>
      <x:c r="O456" t="str">
        <x:f>IF(I456&gt;70,"High",IF(I456&gt;55,"Moderate","Low"))</x:f>
        <x:v>Moderate</x:v>
      </x:c>
      <x:c r="P456" t="str">
        <x:f>IF(I456&gt;=70,"Yes","No")</x:f>
        <x:v>No</x:v>
      </x:c>
      <x:c r="Q456" t="str">
        <x:f>TEXT(B456,"yyyy-mm")</x:f>
        <x:v>2019-02</x:v>
      </x:c>
    </x:row>
    <x:row r="457">
      <x:c r="A457" t="str">
        <x:v>HYD03</x:v>
      </x:c>
      <x:c r="B457" s="22" t="n">
        <x:f>DATE(C457,D457,1)</x:f>
        <x:v>43525</x:v>
      </x:c>
      <x:c r="C457" t="n">
        <x:v>2019</x:v>
      </x:c>
      <x:c r="D457" t="n">
        <x:v>3</x:v>
      </x:c>
      <x:c r="E457" t="str">
        <x:f>TEXT(B457,"mmm")</x:f>
        <x:v>Mar</x:v>
      </x:c>
      <x:c r="F457" t="str">
        <x:f>"Q"&amp;ROUNDUP(D457/3,0)</x:f>
        <x:v>Q1</x:v>
      </x:c>
      <x:c r="G457" s="23" t="n">
        <x:v>61.24</x:v>
      </x:c>
      <x:c r="H457" s="23" t="n">
        <x:v>56.03</x:v>
      </x:c>
      <x:c r="I457" s="23" t="n">
        <x:v>58.6</x:v>
      </x:c>
      <x:c r="J457" s="23" t="n">
        <x:f>G457-H457</x:f>
        <x:v>5.210000000000001</x:v>
      </x:c>
      <x:c r="K457" t="str">
        <x:v>HINDCAST</x:v>
      </x:c>
      <x:c r="L457" s="24" t="n">
        <x:v>17.4948</x:v>
      </x:c>
      <x:c r="M457" s="24" t="n">
        <x:v>78.3927</x:v>
      </x:c>
      <x:c r="N457" t="str">
        <x:f>IF(I457&gt;70,"70+ dB",IF(I457&gt;55,"56-70 dB","41-55 dB"))</x:f>
        <x:v>56-70 dB</x:v>
      </x:c>
      <x:c r="O457" t="str">
        <x:f>IF(I457&gt;70,"High",IF(I457&gt;55,"Moderate","Low"))</x:f>
        <x:v>Moderate</x:v>
      </x:c>
      <x:c r="P457" t="str">
        <x:f>IF(I457&gt;=70,"Yes","No")</x:f>
        <x:v>No</x:v>
      </x:c>
      <x:c r="Q457" t="str">
        <x:f>TEXT(B457,"yyyy-mm")</x:f>
        <x:v>2019-03</x:v>
      </x:c>
    </x:row>
    <x:row r="458">
      <x:c r="A458" t="str">
        <x:v>HYD03</x:v>
      </x:c>
      <x:c r="B458" s="22" t="n">
        <x:f>DATE(C458,D458,1)</x:f>
        <x:v>43556</x:v>
      </x:c>
      <x:c r="C458" t="n">
        <x:v>2019</x:v>
      </x:c>
      <x:c r="D458" t="n">
        <x:v>4</x:v>
      </x:c>
      <x:c r="E458" t="str">
        <x:f>TEXT(B458,"mmm")</x:f>
        <x:v>Apr</x:v>
      </x:c>
      <x:c r="F458" t="str">
        <x:f>"Q"&amp;ROUNDUP(D458/3,0)</x:f>
        <x:v>Q2</x:v>
      </x:c>
      <x:c r="G458" s="23" t="n">
        <x:v>61.28</x:v>
      </x:c>
      <x:c r="H458" s="23" t="n">
        <x:v>56.29</x:v>
      </x:c>
      <x:c r="I458" s="23" t="n">
        <x:v>58.8</x:v>
      </x:c>
      <x:c r="J458" s="23" t="n">
        <x:f>G458-H458</x:f>
        <x:v>4.990000000000002</x:v>
      </x:c>
      <x:c r="K458" t="str">
        <x:v>HINDCAST</x:v>
      </x:c>
      <x:c r="L458" s="24" t="n">
        <x:v>17.4948</x:v>
      </x:c>
      <x:c r="M458" s="24" t="n">
        <x:v>78.3927</x:v>
      </x:c>
      <x:c r="N458" t="str">
        <x:f>IF(I458&gt;70,"70+ dB",IF(I458&gt;55,"56-70 dB","41-55 dB"))</x:f>
        <x:v>56-70 dB</x:v>
      </x:c>
      <x:c r="O458" t="str">
        <x:f>IF(I458&gt;70,"High",IF(I458&gt;55,"Moderate","Low"))</x:f>
        <x:v>Moderate</x:v>
      </x:c>
      <x:c r="P458" t="str">
        <x:f>IF(I458&gt;=70,"Yes","No")</x:f>
        <x:v>No</x:v>
      </x:c>
      <x:c r="Q458" t="str">
        <x:f>TEXT(B458,"yyyy-mm")</x:f>
        <x:v>2019-04</x:v>
      </x:c>
    </x:row>
    <x:row r="459">
      <x:c r="A459" t="str">
        <x:v>HYD03</x:v>
      </x:c>
      <x:c r="B459" s="22" t="n">
        <x:f>DATE(C459,D459,1)</x:f>
        <x:v>43586</x:v>
      </x:c>
      <x:c r="C459" t="n">
        <x:v>2019</x:v>
      </x:c>
      <x:c r="D459" t="n">
        <x:v>5</x:v>
      </x:c>
      <x:c r="E459" t="str">
        <x:f>TEXT(B459,"mmm")</x:f>
        <x:v>May</x:v>
      </x:c>
      <x:c r="F459" t="str">
        <x:f>"Q"&amp;ROUNDUP(D459/3,0)</x:f>
        <x:v>Q2</x:v>
      </x:c>
      <x:c r="G459" s="23" t="n">
        <x:v>61.56</x:v>
      </x:c>
      <x:c r="H459" s="23" t="n">
        <x:v>56.37</x:v>
      </x:c>
      <x:c r="I459" s="23" t="n">
        <x:v>59</x:v>
      </x:c>
      <x:c r="J459" s="23" t="n">
        <x:f>G459-H459</x:f>
        <x:v>5.190000000000005</x:v>
      </x:c>
      <x:c r="K459" t="str">
        <x:v>HINDCAST</x:v>
      </x:c>
      <x:c r="L459" s="24" t="n">
        <x:v>17.4948</x:v>
      </x:c>
      <x:c r="M459" s="24" t="n">
        <x:v>78.3927</x:v>
      </x:c>
      <x:c r="N459" t="str">
        <x:f>IF(I459&gt;70,"70+ dB",IF(I459&gt;55,"56-70 dB","41-55 dB"))</x:f>
        <x:v>56-70 dB</x:v>
      </x:c>
      <x:c r="O459" t="str">
        <x:f>IF(I459&gt;70,"High",IF(I459&gt;55,"Moderate","Low"))</x:f>
        <x:v>Moderate</x:v>
      </x:c>
      <x:c r="P459" t="str">
        <x:f>IF(I459&gt;=70,"Yes","No")</x:f>
        <x:v>No</x:v>
      </x:c>
      <x:c r="Q459" t="str">
        <x:f>TEXT(B459,"yyyy-mm")</x:f>
        <x:v>2019-05</x:v>
      </x:c>
    </x:row>
    <x:row r="460">
      <x:c r="A460" t="str">
        <x:v>HYD03</x:v>
      </x:c>
      <x:c r="B460" s="22" t="n">
        <x:f>DATE(C460,D460,1)</x:f>
        <x:v>43617</x:v>
      </x:c>
      <x:c r="C460" t="n">
        <x:v>2019</x:v>
      </x:c>
      <x:c r="D460" t="n">
        <x:v>6</x:v>
      </x:c>
      <x:c r="E460" t="str">
        <x:f>TEXT(B460,"mmm")</x:f>
        <x:v>Jun</x:v>
      </x:c>
      <x:c r="F460" t="str">
        <x:f>"Q"&amp;ROUNDUP(D460/3,0)</x:f>
        <x:v>Q2</x:v>
      </x:c>
      <x:c r="G460" s="23" t="n">
        <x:v>61.65</x:v>
      </x:c>
      <x:c r="H460" s="23" t="n">
        <x:v>57.72</x:v>
      </x:c>
      <x:c r="I460" s="23" t="n">
        <x:v>59.7</x:v>
      </x:c>
      <x:c r="J460" s="23" t="n">
        <x:f>G460-H460</x:f>
        <x:v>3.9299999999999997</x:v>
      </x:c>
      <x:c r="K460" t="str">
        <x:v>HINDCAST</x:v>
      </x:c>
      <x:c r="L460" s="24" t="n">
        <x:v>17.4948</x:v>
      </x:c>
      <x:c r="M460" s="24" t="n">
        <x:v>78.3927</x:v>
      </x:c>
      <x:c r="N460" t="str">
        <x:f>IF(I460&gt;70,"70+ dB",IF(I460&gt;55,"56-70 dB","41-55 dB"))</x:f>
        <x:v>56-70 dB</x:v>
      </x:c>
      <x:c r="O460" t="str">
        <x:f>IF(I460&gt;70,"High",IF(I460&gt;55,"Moderate","Low"))</x:f>
        <x:v>Moderate</x:v>
      </x:c>
      <x:c r="P460" t="str">
        <x:f>IF(I460&gt;=70,"Yes","No")</x:f>
        <x:v>No</x:v>
      </x:c>
      <x:c r="Q460" t="str">
        <x:f>TEXT(B460,"yyyy-mm")</x:f>
        <x:v>2019-06</x:v>
      </x:c>
    </x:row>
    <x:row r="461">
      <x:c r="A461" t="str">
        <x:v>HYD03</x:v>
      </x:c>
      <x:c r="B461" s="22" t="n">
        <x:f>DATE(C461,D461,1)</x:f>
        <x:v>43647</x:v>
      </x:c>
      <x:c r="C461" t="n">
        <x:v>2019</x:v>
      </x:c>
      <x:c r="D461" t="n">
        <x:v>7</x:v>
      </x:c>
      <x:c r="E461" t="str">
        <x:f>TEXT(B461,"mmm")</x:f>
        <x:v>Jul</x:v>
      </x:c>
      <x:c r="F461" t="str">
        <x:f>"Q"&amp;ROUNDUP(D461/3,0)</x:f>
        <x:v>Q3</x:v>
      </x:c>
      <x:c r="G461" s="23" t="n">
        <x:v>61.81</x:v>
      </x:c>
      <x:c r="H461" s="23" t="n">
        <x:v>57.34</x:v>
      </x:c>
      <x:c r="I461" s="23" t="n">
        <x:v>59.6</x:v>
      </x:c>
      <x:c r="J461" s="23" t="n">
        <x:f>G461-H461</x:f>
        <x:v>4.469999999999999</x:v>
      </x:c>
      <x:c r="K461" t="str">
        <x:v>HINDCAST</x:v>
      </x:c>
      <x:c r="L461" s="24" t="n">
        <x:v>17.4948</x:v>
      </x:c>
      <x:c r="M461" s="24" t="n">
        <x:v>78.3927</x:v>
      </x:c>
      <x:c r="N461" t="str">
        <x:f>IF(I461&gt;70,"70+ dB",IF(I461&gt;55,"56-70 dB","41-55 dB"))</x:f>
        <x:v>56-70 dB</x:v>
      </x:c>
      <x:c r="O461" t="str">
        <x:f>IF(I461&gt;70,"High",IF(I461&gt;55,"Moderate","Low"))</x:f>
        <x:v>Moderate</x:v>
      </x:c>
      <x:c r="P461" t="str">
        <x:f>IF(I461&gt;=70,"Yes","No")</x:f>
        <x:v>No</x:v>
      </x:c>
      <x:c r="Q461" t="str">
        <x:f>TEXT(B461,"yyyy-mm")</x:f>
        <x:v>2019-07</x:v>
      </x:c>
    </x:row>
    <x:row r="462">
      <x:c r="A462" t="str">
        <x:v>HYD03</x:v>
      </x:c>
      <x:c r="B462" s="22" t="n">
        <x:f>DATE(C462,D462,1)</x:f>
        <x:v>43678</x:v>
      </x:c>
      <x:c r="C462" t="n">
        <x:v>2019</x:v>
      </x:c>
      <x:c r="D462" t="n">
        <x:v>8</x:v>
      </x:c>
      <x:c r="E462" t="str">
        <x:f>TEXT(B462,"mmm")</x:f>
        <x:v>Aug</x:v>
      </x:c>
      <x:c r="F462" t="str">
        <x:f>"Q"&amp;ROUNDUP(D462/3,0)</x:f>
        <x:v>Q3</x:v>
      </x:c>
      <x:c r="G462" s="23" t="n">
        <x:v>61.5</x:v>
      </x:c>
      <x:c r="H462" s="23" t="n">
        <x:v>56.33</x:v>
      </x:c>
      <x:c r="I462" s="23" t="n">
        <x:v>58.9</x:v>
      </x:c>
      <x:c r="J462" s="23" t="n">
        <x:f>G462-H462</x:f>
        <x:v>5.170000000000002</x:v>
      </x:c>
      <x:c r="K462" t="str">
        <x:v>HINDCAST</x:v>
      </x:c>
      <x:c r="L462" s="24" t="n">
        <x:v>17.4948</x:v>
      </x:c>
      <x:c r="M462" s="24" t="n">
        <x:v>78.3927</x:v>
      </x:c>
      <x:c r="N462" t="str">
        <x:f>IF(I462&gt;70,"70+ dB",IF(I462&gt;55,"56-70 dB","41-55 dB"))</x:f>
        <x:v>56-70 dB</x:v>
      </x:c>
      <x:c r="O462" t="str">
        <x:f>IF(I462&gt;70,"High",IF(I462&gt;55,"Moderate","Low"))</x:f>
        <x:v>Moderate</x:v>
      </x:c>
      <x:c r="P462" t="str">
        <x:f>IF(I462&gt;=70,"Yes","No")</x:f>
        <x:v>No</x:v>
      </x:c>
      <x:c r="Q462" t="str">
        <x:f>TEXT(B462,"yyyy-mm")</x:f>
        <x:v>2019-08</x:v>
      </x:c>
    </x:row>
    <x:row r="463">
      <x:c r="A463" t="str">
        <x:v>HYD03</x:v>
      </x:c>
      <x:c r="B463" s="22" t="n">
        <x:f>DATE(C463,D463,1)</x:f>
        <x:v>43709</x:v>
      </x:c>
      <x:c r="C463" t="n">
        <x:v>2019</x:v>
      </x:c>
      <x:c r="D463" t="n">
        <x:v>9</x:v>
      </x:c>
      <x:c r="E463" t="str">
        <x:f>TEXT(B463,"mmm")</x:f>
        <x:v>Sep</x:v>
      </x:c>
      <x:c r="F463" t="str">
        <x:f>"Q"&amp;ROUNDUP(D463/3,0)</x:f>
        <x:v>Q3</x:v>
      </x:c>
      <x:c r="G463" s="23" t="n">
        <x:v>61.47</x:v>
      </x:c>
      <x:c r="H463" s="23" t="n">
        <x:v>55.83</x:v>
      </x:c>
      <x:c r="I463" s="23" t="n">
        <x:v>58.6</x:v>
      </x:c>
      <x:c r="J463" s="23" t="n">
        <x:f>G463-H463</x:f>
        <x:v>5.640000000000001</x:v>
      </x:c>
      <x:c r="K463" t="str">
        <x:v>HINDCAST</x:v>
      </x:c>
      <x:c r="L463" s="24" t="n">
        <x:v>17.4948</x:v>
      </x:c>
      <x:c r="M463" s="24" t="n">
        <x:v>78.3927</x:v>
      </x:c>
      <x:c r="N463" t="str">
        <x:f>IF(I463&gt;70,"70+ dB",IF(I463&gt;55,"56-70 dB","41-55 dB"))</x:f>
        <x:v>56-70 dB</x:v>
      </x:c>
      <x:c r="O463" t="str">
        <x:f>IF(I463&gt;70,"High",IF(I463&gt;55,"Moderate","Low"))</x:f>
        <x:v>Moderate</x:v>
      </x:c>
      <x:c r="P463" t="str">
        <x:f>IF(I463&gt;=70,"Yes","No")</x:f>
        <x:v>No</x:v>
      </x:c>
      <x:c r="Q463" t="str">
        <x:f>TEXT(B463,"yyyy-mm")</x:f>
        <x:v>2019-09</x:v>
      </x:c>
    </x:row>
    <x:row r="464">
      <x:c r="A464" t="str">
        <x:v>HYD03</x:v>
      </x:c>
      <x:c r="B464" s="22" t="n">
        <x:f>DATE(C464,D464,1)</x:f>
        <x:v>43739</x:v>
      </x:c>
      <x:c r="C464" t="n">
        <x:v>2019</x:v>
      </x:c>
      <x:c r="D464" t="n">
        <x:v>10</x:v>
      </x:c>
      <x:c r="E464" t="str">
        <x:f>TEXT(B464,"mmm")</x:f>
        <x:v>Oct</x:v>
      </x:c>
      <x:c r="F464" t="str">
        <x:f>"Q"&amp;ROUNDUP(D464/3,0)</x:f>
        <x:v>Q4</x:v>
      </x:c>
      <x:c r="G464" s="23" t="n">
        <x:v>60.84</x:v>
      </x:c>
      <x:c r="H464" s="23" t="n">
        <x:v>55.33</x:v>
      </x:c>
      <x:c r="I464" s="23" t="n">
        <x:v>58.1</x:v>
      </x:c>
      <x:c r="J464" s="23" t="n">
        <x:f>G464-H464</x:f>
        <x:v>5.510000000000005</x:v>
      </x:c>
      <x:c r="K464" t="str">
        <x:v>HINDCAST</x:v>
      </x:c>
      <x:c r="L464" s="24" t="n">
        <x:v>17.4948</x:v>
      </x:c>
      <x:c r="M464" s="24" t="n">
        <x:v>78.3927</x:v>
      </x:c>
      <x:c r="N464" t="str">
        <x:f>IF(I464&gt;70,"70+ dB",IF(I464&gt;55,"56-70 dB","41-55 dB"))</x:f>
        <x:v>56-70 dB</x:v>
      </x:c>
      <x:c r="O464" t="str">
        <x:f>IF(I464&gt;70,"High",IF(I464&gt;55,"Moderate","Low"))</x:f>
        <x:v>Moderate</x:v>
      </x:c>
      <x:c r="P464" t="str">
        <x:f>IF(I464&gt;=70,"Yes","No")</x:f>
        <x:v>No</x:v>
      </x:c>
      <x:c r="Q464" t="str">
        <x:f>TEXT(B464,"yyyy-mm")</x:f>
        <x:v>2019-10</x:v>
      </x:c>
    </x:row>
    <x:row r="465">
      <x:c r="A465" t="str">
        <x:v>HYD03</x:v>
      </x:c>
      <x:c r="B465" s="22" t="n">
        <x:f>DATE(C465,D465,1)</x:f>
        <x:v>43770</x:v>
      </x:c>
      <x:c r="C465" t="n">
        <x:v>2019</x:v>
      </x:c>
      <x:c r="D465" t="n">
        <x:v>11</x:v>
      </x:c>
      <x:c r="E465" t="str">
        <x:f>TEXT(B465,"mmm")</x:f>
        <x:v>Nov</x:v>
      </x:c>
      <x:c r="F465" t="str">
        <x:f>"Q"&amp;ROUNDUP(D465/3,0)</x:f>
        <x:v>Q4</x:v>
      </x:c>
      <x:c r="G465" s="23" t="n">
        <x:v>60.17</x:v>
      </x:c>
      <x:c r="H465" s="23" t="n">
        <x:v>54.33</x:v>
      </x:c>
      <x:c r="I465" s="23" t="n">
        <x:v>57.2</x:v>
      </x:c>
      <x:c r="J465" s="23" t="n">
        <x:f>G465-H465</x:f>
        <x:v>5.840000000000003</x:v>
      </x:c>
      <x:c r="K465" t="str">
        <x:v>HINDCAST</x:v>
      </x:c>
      <x:c r="L465" s="24" t="n">
        <x:v>17.4948</x:v>
      </x:c>
      <x:c r="M465" s="24" t="n">
        <x:v>78.3927</x:v>
      </x:c>
      <x:c r="N465" t="str">
        <x:f>IF(I465&gt;70,"70+ dB",IF(I465&gt;55,"56-70 dB","41-55 dB"))</x:f>
        <x:v>56-70 dB</x:v>
      </x:c>
      <x:c r="O465" t="str">
        <x:f>IF(I465&gt;70,"High",IF(I465&gt;55,"Moderate","Low"))</x:f>
        <x:v>Moderate</x:v>
      </x:c>
      <x:c r="P465" t="str">
        <x:f>IF(I465&gt;=70,"Yes","No")</x:f>
        <x:v>No</x:v>
      </x:c>
      <x:c r="Q465" t="str">
        <x:f>TEXT(B465,"yyyy-mm")</x:f>
        <x:v>2019-11</x:v>
      </x:c>
    </x:row>
    <x:row r="466">
      <x:c r="A466" t="str">
        <x:v>HYD03</x:v>
      </x:c>
      <x:c r="B466" s="22" t="n">
        <x:f>DATE(C466,D466,1)</x:f>
        <x:v>43800</x:v>
      </x:c>
      <x:c r="C466" t="n">
        <x:v>2019</x:v>
      </x:c>
      <x:c r="D466" t="n">
        <x:v>12</x:v>
      </x:c>
      <x:c r="E466" t="str">
        <x:f>TEXT(B466,"mmm")</x:f>
        <x:v>Dec</x:v>
      </x:c>
      <x:c r="F466" t="str">
        <x:f>"Q"&amp;ROUNDUP(D466/3,0)</x:f>
        <x:v>Q4</x:v>
      </x:c>
      <x:c r="G466" s="23" t="n">
        <x:v>60.46</x:v>
      </x:c>
      <x:c r="H466" s="23" t="n">
        <x:v>54.45</x:v>
      </x:c>
      <x:c r="I466" s="23" t="n">
        <x:v>57.5</x:v>
      </x:c>
      <x:c r="J466" s="23" t="n">
        <x:f>G466-H466</x:f>
        <x:v>6.009999999999998</x:v>
      </x:c>
      <x:c r="K466" t="str">
        <x:v>HINDCAST</x:v>
      </x:c>
      <x:c r="L466" s="24" t="n">
        <x:v>17.4948</x:v>
      </x:c>
      <x:c r="M466" s="24" t="n">
        <x:v>78.3927</x:v>
      </x:c>
      <x:c r="N466" t="str">
        <x:f>IF(I466&gt;70,"70+ dB",IF(I466&gt;55,"56-70 dB","41-55 dB"))</x:f>
        <x:v>56-70 dB</x:v>
      </x:c>
      <x:c r="O466" t="str">
        <x:f>IF(I466&gt;70,"High",IF(I466&gt;55,"Moderate","Low"))</x:f>
        <x:v>Moderate</x:v>
      </x:c>
      <x:c r="P466" t="str">
        <x:f>IF(I466&gt;=70,"Yes","No")</x:f>
        <x:v>No</x:v>
      </x:c>
      <x:c r="Q466" t="str">
        <x:f>TEXT(B466,"yyyy-mm")</x:f>
        <x:v>2019-12</x:v>
      </x:c>
    </x:row>
    <x:row r="467">
      <x:c r="A467" t="str">
        <x:v>HYD03</x:v>
      </x:c>
      <x:c r="B467" s="22" t="n">
        <x:f>DATE(C467,D467,1)</x:f>
        <x:v>43831</x:v>
      </x:c>
      <x:c r="C467" t="n">
        <x:v>2020</x:v>
      </x:c>
      <x:c r="D467" t="n">
        <x:v>1</x:v>
      </x:c>
      <x:c r="E467" t="str">
        <x:f>TEXT(B467,"mmm")</x:f>
        <x:v>Jan</x:v>
      </x:c>
      <x:c r="F467" t="str">
        <x:f>"Q"&amp;ROUNDUP(D467/3,0)</x:f>
        <x:v>Q1</x:v>
      </x:c>
      <x:c r="G467" s="23" t="n">
        <x:v>61.68</x:v>
      </x:c>
      <x:c r="H467" s="23" t="n">
        <x:v>56.17</x:v>
      </x:c>
      <x:c r="I467" s="23" t="n">
        <x:v>58.9</x:v>
      </x:c>
      <x:c r="J467" s="23" t="n">
        <x:f>G467-H467</x:f>
        <x:v>5.509999999999998</x:v>
      </x:c>
      <x:c r="K467" t="str">
        <x:v>HINDCAST</x:v>
      </x:c>
      <x:c r="L467" s="24" t="n">
        <x:v>17.4948</x:v>
      </x:c>
      <x:c r="M467" s="24" t="n">
        <x:v>78.3927</x:v>
      </x:c>
      <x:c r="N467" t="str">
        <x:f>IF(I467&gt;70,"70+ dB",IF(I467&gt;55,"56-70 dB","41-55 dB"))</x:f>
        <x:v>56-70 dB</x:v>
      </x:c>
      <x:c r="O467" t="str">
        <x:f>IF(I467&gt;70,"High",IF(I467&gt;55,"Moderate","Low"))</x:f>
        <x:v>Moderate</x:v>
      </x:c>
      <x:c r="P467" t="str">
        <x:f>IF(I467&gt;=70,"Yes","No")</x:f>
        <x:v>No</x:v>
      </x:c>
      <x:c r="Q467" t="str">
        <x:f>TEXT(B467,"yyyy-mm")</x:f>
        <x:v>2020-01</x:v>
      </x:c>
    </x:row>
    <x:row r="468">
      <x:c r="A468" t="str">
        <x:v>HYD03</x:v>
      </x:c>
      <x:c r="B468" s="22" t="n">
        <x:f>DATE(C468,D468,1)</x:f>
        <x:v>43862</x:v>
      </x:c>
      <x:c r="C468" t="n">
        <x:v>2020</x:v>
      </x:c>
      <x:c r="D468" t="n">
        <x:v>2</x:v>
      </x:c>
      <x:c r="E468" t="str">
        <x:f>TEXT(B468,"mmm")</x:f>
        <x:v>Feb</x:v>
      </x:c>
      <x:c r="F468" t="str">
        <x:f>"Q"&amp;ROUNDUP(D468/3,0)</x:f>
        <x:v>Q1</x:v>
      </x:c>
      <x:c r="G468" s="23" t="n">
        <x:v>62.16</x:v>
      </x:c>
      <x:c r="H468" s="23" t="n">
        <x:v>56.6</x:v>
      </x:c>
      <x:c r="I468" s="23" t="n">
        <x:v>59.4</x:v>
      </x:c>
      <x:c r="J468" s="23" t="n">
        <x:f>G468-H468</x:f>
        <x:v>5.559999999999995</x:v>
      </x:c>
      <x:c r="K468" t="str">
        <x:v>HINDCAST</x:v>
      </x:c>
      <x:c r="L468" s="24" t="n">
        <x:v>17.4948</x:v>
      </x:c>
      <x:c r="M468" s="24" t="n">
        <x:v>78.3927</x:v>
      </x:c>
      <x:c r="N468" t="str">
        <x:f>IF(I468&gt;70,"70+ dB",IF(I468&gt;55,"56-70 dB","41-55 dB"))</x:f>
        <x:v>56-70 dB</x:v>
      </x:c>
      <x:c r="O468" t="str">
        <x:f>IF(I468&gt;70,"High",IF(I468&gt;55,"Moderate","Low"))</x:f>
        <x:v>Moderate</x:v>
      </x:c>
      <x:c r="P468" t="str">
        <x:f>IF(I468&gt;=70,"Yes","No")</x:f>
        <x:v>No</x:v>
      </x:c>
      <x:c r="Q468" t="str">
        <x:f>TEXT(B468,"yyyy-mm")</x:f>
        <x:v>2020-02</x:v>
      </x:c>
    </x:row>
    <x:row r="469">
      <x:c r="A469" t="str">
        <x:v>HYD03</x:v>
      </x:c>
      <x:c r="B469" s="22" t="n">
        <x:f>DATE(C469,D469,1)</x:f>
        <x:v>43891</x:v>
      </x:c>
      <x:c r="C469" t="n">
        <x:v>2020</x:v>
      </x:c>
      <x:c r="D469" t="n">
        <x:v>3</x:v>
      </x:c>
      <x:c r="E469" t="str">
        <x:f>TEXT(B469,"mmm")</x:f>
        <x:v>Mar</x:v>
      </x:c>
      <x:c r="F469" t="str">
        <x:f>"Q"&amp;ROUNDUP(D469/3,0)</x:f>
        <x:v>Q1</x:v>
      </x:c>
      <x:c r="G469" s="23" t="n">
        <x:v>62.17</x:v>
      </x:c>
      <x:c r="H469" s="23" t="n">
        <x:v>56.46</x:v>
      </x:c>
      <x:c r="I469" s="23" t="n">
        <x:v>59.3</x:v>
      </x:c>
      <x:c r="J469" s="23" t="n">
        <x:f>G469-H469</x:f>
        <x:v>5.710000000000001</x:v>
      </x:c>
      <x:c r="K469" t="str">
        <x:v>HINDCAST</x:v>
      </x:c>
      <x:c r="L469" s="24" t="n">
        <x:v>17.4948</x:v>
      </x:c>
      <x:c r="M469" s="24" t="n">
        <x:v>78.3927</x:v>
      </x:c>
      <x:c r="N469" t="str">
        <x:f>IF(I469&gt;70,"70+ dB",IF(I469&gt;55,"56-70 dB","41-55 dB"))</x:f>
        <x:v>56-70 dB</x:v>
      </x:c>
      <x:c r="O469" t="str">
        <x:f>IF(I469&gt;70,"High",IF(I469&gt;55,"Moderate","Low"))</x:f>
        <x:v>Moderate</x:v>
      </x:c>
      <x:c r="P469" t="str">
        <x:f>IF(I469&gt;=70,"Yes","No")</x:f>
        <x:v>No</x:v>
      </x:c>
      <x:c r="Q469" t="str">
        <x:f>TEXT(B469,"yyyy-mm")</x:f>
        <x:v>2020-03</x:v>
      </x:c>
    </x:row>
    <x:row r="470">
      <x:c r="A470" t="str">
        <x:v>HYD03</x:v>
      </x:c>
      <x:c r="B470" s="22" t="n">
        <x:f>DATE(C470,D470,1)</x:f>
        <x:v>43922</x:v>
      </x:c>
      <x:c r="C470" t="n">
        <x:v>2020</x:v>
      </x:c>
      <x:c r="D470" t="n">
        <x:v>4</x:v>
      </x:c>
      <x:c r="E470" t="str">
        <x:f>TEXT(B470,"mmm")</x:f>
        <x:v>Apr</x:v>
      </x:c>
      <x:c r="F470" t="str">
        <x:f>"Q"&amp;ROUNDUP(D470/3,0)</x:f>
        <x:v>Q2</x:v>
      </x:c>
      <x:c r="G470" s="23" t="n">
        <x:v>62.17</x:v>
      </x:c>
      <x:c r="H470" s="23" t="n">
        <x:v>56.72</x:v>
      </x:c>
      <x:c r="I470" s="23" t="n">
        <x:v>59.4</x:v>
      </x:c>
      <x:c r="J470" s="23" t="n">
        <x:f>G470-H470</x:f>
        <x:v>5.450000000000003</x:v>
      </x:c>
      <x:c r="K470" t="str">
        <x:v>HINDCAST</x:v>
      </x:c>
      <x:c r="L470" s="24" t="n">
        <x:v>17.4948</x:v>
      </x:c>
      <x:c r="M470" s="24" t="n">
        <x:v>78.3927</x:v>
      </x:c>
      <x:c r="N470" t="str">
        <x:f>IF(I470&gt;70,"70+ dB",IF(I470&gt;55,"56-70 dB","41-55 dB"))</x:f>
        <x:v>56-70 dB</x:v>
      </x:c>
      <x:c r="O470" t="str">
        <x:f>IF(I470&gt;70,"High",IF(I470&gt;55,"Moderate","Low"))</x:f>
        <x:v>Moderate</x:v>
      </x:c>
      <x:c r="P470" t="str">
        <x:f>IF(I470&gt;=70,"Yes","No")</x:f>
        <x:v>No</x:v>
      </x:c>
      <x:c r="Q470" t="str">
        <x:f>TEXT(B470,"yyyy-mm")</x:f>
        <x:v>2020-04</x:v>
      </x:c>
    </x:row>
    <x:row r="471">
      <x:c r="A471" t="str">
        <x:v>HYD03</x:v>
      </x:c>
      <x:c r="B471" s="22" t="n">
        <x:f>DATE(C471,D471,1)</x:f>
        <x:v>43952</x:v>
      </x:c>
      <x:c r="C471" t="n">
        <x:v>2020</x:v>
      </x:c>
      <x:c r="D471" t="n">
        <x:v>5</x:v>
      </x:c>
      <x:c r="E471" t="str">
        <x:f>TEXT(B471,"mmm")</x:f>
        <x:v>May</x:v>
      </x:c>
      <x:c r="F471" t="str">
        <x:f>"Q"&amp;ROUNDUP(D471/3,0)</x:f>
        <x:v>Q2</x:v>
      </x:c>
      <x:c r="G471" s="23" t="n">
        <x:v>62.44</x:v>
      </x:c>
      <x:c r="H471" s="23" t="n">
        <x:v>56.79</x:v>
      </x:c>
      <x:c r="I471" s="23" t="n">
        <x:v>59.6</x:v>
      </x:c>
      <x:c r="J471" s="23" t="n">
        <x:f>G471-H471</x:f>
        <x:v>5.649999999999999</x:v>
      </x:c>
      <x:c r="K471" t="str">
        <x:v>HINDCAST</x:v>
      </x:c>
      <x:c r="L471" s="24" t="n">
        <x:v>17.4948</x:v>
      </x:c>
      <x:c r="M471" s="24" t="n">
        <x:v>78.3927</x:v>
      </x:c>
      <x:c r="N471" t="str">
        <x:f>IF(I471&gt;70,"70+ dB",IF(I471&gt;55,"56-70 dB","41-55 dB"))</x:f>
        <x:v>56-70 dB</x:v>
      </x:c>
      <x:c r="O471" t="str">
        <x:f>IF(I471&gt;70,"High",IF(I471&gt;55,"Moderate","Low"))</x:f>
        <x:v>Moderate</x:v>
      </x:c>
      <x:c r="P471" t="str">
        <x:f>IF(I471&gt;=70,"Yes","No")</x:f>
        <x:v>No</x:v>
      </x:c>
      <x:c r="Q471" t="str">
        <x:f>TEXT(B471,"yyyy-mm")</x:f>
        <x:v>2020-05</x:v>
      </x:c>
    </x:row>
    <x:row r="472">
      <x:c r="A472" t="str">
        <x:v>HYD03</x:v>
      </x:c>
      <x:c r="B472" s="22" t="n">
        <x:f>DATE(C472,D472,1)</x:f>
        <x:v>43983</x:v>
      </x:c>
      <x:c r="C472" t="n">
        <x:v>2020</x:v>
      </x:c>
      <x:c r="D472" t="n">
        <x:v>6</x:v>
      </x:c>
      <x:c r="E472" t="str">
        <x:f>TEXT(B472,"mmm")</x:f>
        <x:v>Jun</x:v>
      </x:c>
      <x:c r="F472" t="str">
        <x:f>"Q"&amp;ROUNDUP(D472/3,0)</x:f>
        <x:v>Q2</x:v>
      </x:c>
      <x:c r="G472" s="23" t="n">
        <x:v>62.58</x:v>
      </x:c>
      <x:c r="H472" s="23" t="n">
        <x:v>58.15</x:v>
      </x:c>
      <x:c r="I472" s="23" t="n">
        <x:v>60.4</x:v>
      </x:c>
      <x:c r="J472" s="23" t="n">
        <x:f>G472-H472</x:f>
        <x:v>4.43</x:v>
      </x:c>
      <x:c r="K472" t="str">
        <x:v>HINDCAST</x:v>
      </x:c>
      <x:c r="L472" s="24" t="n">
        <x:v>17.4948</x:v>
      </x:c>
      <x:c r="M472" s="24" t="n">
        <x:v>78.3927</x:v>
      </x:c>
      <x:c r="N472" t="str">
        <x:f>IF(I472&gt;70,"70+ dB",IF(I472&gt;55,"56-70 dB","41-55 dB"))</x:f>
        <x:v>56-70 dB</x:v>
      </x:c>
      <x:c r="O472" t="str">
        <x:f>IF(I472&gt;70,"High",IF(I472&gt;55,"Moderate","Low"))</x:f>
        <x:v>Moderate</x:v>
      </x:c>
      <x:c r="P472" t="str">
        <x:f>IF(I472&gt;=70,"Yes","No")</x:f>
        <x:v>No</x:v>
      </x:c>
      <x:c r="Q472" t="str">
        <x:f>TEXT(B472,"yyyy-mm")</x:f>
        <x:v>2020-06</x:v>
      </x:c>
    </x:row>
    <x:row r="473">
      <x:c r="A473" t="str">
        <x:v>HYD03</x:v>
      </x:c>
      <x:c r="B473" s="22" t="n">
        <x:f>DATE(C473,D473,1)</x:f>
        <x:v>44013</x:v>
      </x:c>
      <x:c r="C473" t="n">
        <x:v>2020</x:v>
      </x:c>
      <x:c r="D473" t="n">
        <x:v>7</x:v>
      </x:c>
      <x:c r="E473" t="str">
        <x:f>TEXT(B473,"mmm")</x:f>
        <x:v>Jul</x:v>
      </x:c>
      <x:c r="F473" t="str">
        <x:f>"Q"&amp;ROUNDUP(D473/3,0)</x:f>
        <x:v>Q3</x:v>
      </x:c>
      <x:c r="G473" s="23" t="n">
        <x:v>62.74</x:v>
      </x:c>
      <x:c r="H473" s="23" t="n">
        <x:v>57.76</x:v>
      </x:c>
      <x:c r="I473" s="23" t="n">
        <x:v>60.2</x:v>
      </x:c>
      <x:c r="J473" s="23" t="n">
        <x:f>G473-H473</x:f>
        <x:v>4.980000000000004</x:v>
      </x:c>
      <x:c r="K473" t="str">
        <x:v>HINDCAST</x:v>
      </x:c>
      <x:c r="L473" s="24" t="n">
        <x:v>17.4948</x:v>
      </x:c>
      <x:c r="M473" s="24" t="n">
        <x:v>78.3927</x:v>
      </x:c>
      <x:c r="N473" t="str">
        <x:f>IF(I473&gt;70,"70+ dB",IF(I473&gt;55,"56-70 dB","41-55 dB"))</x:f>
        <x:v>56-70 dB</x:v>
      </x:c>
      <x:c r="O473" t="str">
        <x:f>IF(I473&gt;70,"High",IF(I473&gt;55,"Moderate","Low"))</x:f>
        <x:v>Moderate</x:v>
      </x:c>
      <x:c r="P473" t="str">
        <x:f>IF(I473&gt;=70,"Yes","No")</x:f>
        <x:v>No</x:v>
      </x:c>
      <x:c r="Q473" t="str">
        <x:f>TEXT(B473,"yyyy-mm")</x:f>
        <x:v>2020-07</x:v>
      </x:c>
    </x:row>
    <x:row r="474">
      <x:c r="A474" t="str">
        <x:v>HYD03</x:v>
      </x:c>
      <x:c r="B474" s="22" t="n">
        <x:f>DATE(C474,D474,1)</x:f>
        <x:v>44044</x:v>
      </x:c>
      <x:c r="C474" t="n">
        <x:v>2020</x:v>
      </x:c>
      <x:c r="D474" t="n">
        <x:v>8</x:v>
      </x:c>
      <x:c r="E474" t="str">
        <x:f>TEXT(B474,"mmm")</x:f>
        <x:v>Aug</x:v>
      </x:c>
      <x:c r="F474" t="str">
        <x:f>"Q"&amp;ROUNDUP(D474/3,0)</x:f>
        <x:v>Q3</x:v>
      </x:c>
      <x:c r="G474" s="23" t="n">
        <x:v>62.45</x:v>
      </x:c>
      <x:c r="H474" s="23" t="n">
        <x:v>56.76</x:v>
      </x:c>
      <x:c r="I474" s="23" t="n">
        <x:v>59.6</x:v>
      </x:c>
      <x:c r="J474" s="23" t="n">
        <x:f>G474-H474</x:f>
        <x:v>5.690000000000005</x:v>
      </x:c>
      <x:c r="K474" t="str">
        <x:v>HINDCAST</x:v>
      </x:c>
      <x:c r="L474" s="24" t="n">
        <x:v>17.4948</x:v>
      </x:c>
      <x:c r="M474" s="24" t="n">
        <x:v>78.3927</x:v>
      </x:c>
      <x:c r="N474" t="str">
        <x:f>IF(I474&gt;70,"70+ dB",IF(I474&gt;55,"56-70 dB","41-55 dB"))</x:f>
        <x:v>56-70 dB</x:v>
      </x:c>
      <x:c r="O474" t="str">
        <x:f>IF(I474&gt;70,"High",IF(I474&gt;55,"Moderate","Low"))</x:f>
        <x:v>Moderate</x:v>
      </x:c>
      <x:c r="P474" t="str">
        <x:f>IF(I474&gt;=70,"Yes","No")</x:f>
        <x:v>No</x:v>
      </x:c>
      <x:c r="Q474" t="str">
        <x:f>TEXT(B474,"yyyy-mm")</x:f>
        <x:v>2020-08</x:v>
      </x:c>
    </x:row>
    <x:row r="475">
      <x:c r="A475" t="str">
        <x:v>HYD03</x:v>
      </x:c>
      <x:c r="B475" s="22" t="n">
        <x:f>DATE(C475,D475,1)</x:f>
        <x:v>44075</x:v>
      </x:c>
      <x:c r="C475" t="n">
        <x:v>2020</x:v>
      </x:c>
      <x:c r="D475" t="n">
        <x:v>9</x:v>
      </x:c>
      <x:c r="E475" t="str">
        <x:f>TEXT(B475,"mmm")</x:f>
        <x:v>Sep</x:v>
      </x:c>
      <x:c r="F475" t="str">
        <x:f>"Q"&amp;ROUNDUP(D475/3,0)</x:f>
        <x:v>Q3</x:v>
      </x:c>
      <x:c r="G475" s="23" t="n">
        <x:v>62.37</x:v>
      </x:c>
      <x:c r="H475" s="23" t="n">
        <x:v>56.26</x:v>
      </x:c>
      <x:c r="I475" s="23" t="n">
        <x:v>59.3</x:v>
      </x:c>
      <x:c r="J475" s="23" t="n">
        <x:f>G475-H475</x:f>
        <x:v>6.109999999999999</x:v>
      </x:c>
      <x:c r="K475" t="str">
        <x:v>HINDCAST</x:v>
      </x:c>
      <x:c r="L475" s="24" t="n">
        <x:v>17.4948</x:v>
      </x:c>
      <x:c r="M475" s="24" t="n">
        <x:v>78.3927</x:v>
      </x:c>
      <x:c r="N475" t="str">
        <x:f>IF(I475&gt;70,"70+ dB",IF(I475&gt;55,"56-70 dB","41-55 dB"))</x:f>
        <x:v>56-70 dB</x:v>
      </x:c>
      <x:c r="O475" t="str">
        <x:f>IF(I475&gt;70,"High",IF(I475&gt;55,"Moderate","Low"))</x:f>
        <x:v>Moderate</x:v>
      </x:c>
      <x:c r="P475" t="str">
        <x:f>IF(I475&gt;=70,"Yes","No")</x:f>
        <x:v>No</x:v>
      </x:c>
      <x:c r="Q475" t="str">
        <x:f>TEXT(B475,"yyyy-mm")</x:f>
        <x:v>2020-09</x:v>
      </x:c>
    </x:row>
    <x:row r="476">
      <x:c r="A476" t="str">
        <x:v>HYD03</x:v>
      </x:c>
      <x:c r="B476" s="22" t="n">
        <x:f>DATE(C476,D476,1)</x:f>
        <x:v>44105</x:v>
      </x:c>
      <x:c r="C476" t="n">
        <x:v>2020</x:v>
      </x:c>
      <x:c r="D476" t="n">
        <x:v>10</x:v>
      </x:c>
      <x:c r="E476" t="str">
        <x:f>TEXT(B476,"mmm")</x:f>
        <x:v>Oct</x:v>
      </x:c>
      <x:c r="F476" t="str">
        <x:f>"Q"&amp;ROUNDUP(D476/3,0)</x:f>
        <x:v>Q4</x:v>
      </x:c>
      <x:c r="G476" s="23" t="n">
        <x:v>61.67</x:v>
      </x:c>
      <x:c r="H476" s="23" t="n">
        <x:v>55.75</x:v>
      </x:c>
      <x:c r="I476" s="23" t="n">
        <x:v>58.7</x:v>
      </x:c>
      <x:c r="J476" s="23" t="n">
        <x:f>G476-H476</x:f>
        <x:v>5.920000000000002</x:v>
      </x:c>
      <x:c r="K476" t="str">
        <x:v>HINDCAST</x:v>
      </x:c>
      <x:c r="L476" s="24" t="n">
        <x:v>17.4948</x:v>
      </x:c>
      <x:c r="M476" s="24" t="n">
        <x:v>78.3927</x:v>
      </x:c>
      <x:c r="N476" t="str">
        <x:f>IF(I476&gt;70,"70+ dB",IF(I476&gt;55,"56-70 dB","41-55 dB"))</x:f>
        <x:v>56-70 dB</x:v>
      </x:c>
      <x:c r="O476" t="str">
        <x:f>IF(I476&gt;70,"High",IF(I476&gt;55,"Moderate","Low"))</x:f>
        <x:v>Moderate</x:v>
      </x:c>
      <x:c r="P476" t="str">
        <x:f>IF(I476&gt;=70,"Yes","No")</x:f>
        <x:v>No</x:v>
      </x:c>
      <x:c r="Q476" t="str">
        <x:f>TEXT(B476,"yyyy-mm")</x:f>
        <x:v>2020-10</x:v>
      </x:c>
    </x:row>
    <x:row r="477">
      <x:c r="A477" t="str">
        <x:v>HYD03</x:v>
      </x:c>
      <x:c r="B477" s="22" t="n">
        <x:f>DATE(C477,D477,1)</x:f>
        <x:v>44136</x:v>
      </x:c>
      <x:c r="C477" t="n">
        <x:v>2020</x:v>
      </x:c>
      <x:c r="D477" t="n">
        <x:v>11</x:v>
      </x:c>
      <x:c r="E477" t="str">
        <x:f>TEXT(B477,"mmm")</x:f>
        <x:v>Nov</x:v>
      </x:c>
      <x:c r="F477" t="str">
        <x:f>"Q"&amp;ROUNDUP(D477/3,0)</x:f>
        <x:v>Q4</x:v>
      </x:c>
      <x:c r="G477" s="23" t="n">
        <x:v>61.03</x:v>
      </x:c>
      <x:c r="H477" s="23" t="n">
        <x:v>54.75</x:v>
      </x:c>
      <x:c r="I477" s="23" t="n">
        <x:v>57.9</x:v>
      </x:c>
      <x:c r="J477" s="23" t="n">
        <x:f>G477-H477</x:f>
        <x:v>6.280000000000001</x:v>
      </x:c>
      <x:c r="K477" t="str">
        <x:v>HINDCAST</x:v>
      </x:c>
      <x:c r="L477" s="24" t="n">
        <x:v>17.4948</x:v>
      </x:c>
      <x:c r="M477" s="24" t="n">
        <x:v>78.3927</x:v>
      </x:c>
      <x:c r="N477" t="str">
        <x:f>IF(I477&gt;70,"70+ dB",IF(I477&gt;55,"56-70 dB","41-55 dB"))</x:f>
        <x:v>56-70 dB</x:v>
      </x:c>
      <x:c r="O477" t="str">
        <x:f>IF(I477&gt;70,"High",IF(I477&gt;55,"Moderate","Low"))</x:f>
        <x:v>Moderate</x:v>
      </x:c>
      <x:c r="P477" t="str">
        <x:f>IF(I477&gt;=70,"Yes","No")</x:f>
        <x:v>No</x:v>
      </x:c>
      <x:c r="Q477" t="str">
        <x:f>TEXT(B477,"yyyy-mm")</x:f>
        <x:v>2020-11</x:v>
      </x:c>
    </x:row>
    <x:row r="478">
      <x:c r="A478" t="str">
        <x:v>HYD03</x:v>
      </x:c>
      <x:c r="B478" s="22" t="n">
        <x:f>DATE(C478,D478,1)</x:f>
        <x:v>44166</x:v>
      </x:c>
      <x:c r="C478" t="n">
        <x:v>2020</x:v>
      </x:c>
      <x:c r="D478" t="n">
        <x:v>12</x:v>
      </x:c>
      <x:c r="E478" t="str">
        <x:f>TEXT(B478,"mmm")</x:f>
        <x:v>Dec</x:v>
      </x:c>
      <x:c r="F478" t="str">
        <x:f>"Q"&amp;ROUNDUP(D478/3,0)</x:f>
        <x:v>Q4</x:v>
      </x:c>
      <x:c r="G478" s="23" t="n">
        <x:v>61.31</x:v>
      </x:c>
      <x:c r="H478" s="23" t="n">
        <x:v>54.88</x:v>
      </x:c>
      <x:c r="I478" s="23" t="n">
        <x:v>58.1</x:v>
      </x:c>
      <x:c r="J478" s="23" t="n">
        <x:f>G478-H478</x:f>
        <x:v>6.43</x:v>
      </x:c>
      <x:c r="K478" t="str">
        <x:v>HINDCAST</x:v>
      </x:c>
      <x:c r="L478" s="24" t="n">
        <x:v>17.4948</x:v>
      </x:c>
      <x:c r="M478" s="24" t="n">
        <x:v>78.3927</x:v>
      </x:c>
      <x:c r="N478" t="str">
        <x:f>IF(I478&gt;70,"70+ dB",IF(I478&gt;55,"56-70 dB","41-55 dB"))</x:f>
        <x:v>56-70 dB</x:v>
      </x:c>
      <x:c r="O478" t="str">
        <x:f>IF(I478&gt;70,"High",IF(I478&gt;55,"Moderate","Low"))</x:f>
        <x:v>Moderate</x:v>
      </x:c>
      <x:c r="P478" t="str">
        <x:f>IF(I478&gt;=70,"Yes","No")</x:f>
        <x:v>No</x:v>
      </x:c>
      <x:c r="Q478" t="str">
        <x:f>TEXT(B478,"yyyy-mm")</x:f>
        <x:v>2020-12</x:v>
      </x:c>
    </x:row>
    <x:row r="479">
      <x:c r="A479" t="str">
        <x:v>HYD03</x:v>
      </x:c>
      <x:c r="B479" s="22" t="n">
        <x:f>DATE(C479,D479,1)</x:f>
        <x:v>44197</x:v>
      </x:c>
      <x:c r="C479" t="n">
        <x:v>2021</x:v>
      </x:c>
      <x:c r="D479" t="n">
        <x:v>1</x:v>
      </x:c>
      <x:c r="E479" t="str">
        <x:f>TEXT(B479,"mmm")</x:f>
        <x:v>Jan</x:v>
      </x:c>
      <x:c r="F479" t="str">
        <x:f>"Q"&amp;ROUNDUP(D479/3,0)</x:f>
        <x:v>Q1</x:v>
      </x:c>
      <x:c r="G479" s="23" t="n">
        <x:v>62.56</x:v>
      </x:c>
      <x:c r="H479" s="23" t="n">
        <x:v>56.6</x:v>
      </x:c>
      <x:c r="I479" s="23" t="n">
        <x:v>59.6</x:v>
      </x:c>
      <x:c r="J479" s="23" t="n">
        <x:f>G479-H479</x:f>
        <x:v>5.960000000000001</x:v>
      </x:c>
      <x:c r="K479" t="str">
        <x:v>HINDCAST</x:v>
      </x:c>
      <x:c r="L479" s="24" t="n">
        <x:v>17.4948</x:v>
      </x:c>
      <x:c r="M479" s="24" t="n">
        <x:v>78.3927</x:v>
      </x:c>
      <x:c r="N479" t="str">
        <x:f>IF(I479&gt;70,"70+ dB",IF(I479&gt;55,"56-70 dB","41-55 dB"))</x:f>
        <x:v>56-70 dB</x:v>
      </x:c>
      <x:c r="O479" t="str">
        <x:f>IF(I479&gt;70,"High",IF(I479&gt;55,"Moderate","Low"))</x:f>
        <x:v>Moderate</x:v>
      </x:c>
      <x:c r="P479" t="str">
        <x:f>IF(I479&gt;=70,"Yes","No")</x:f>
        <x:v>No</x:v>
      </x:c>
      <x:c r="Q479" t="str">
        <x:f>TEXT(B479,"yyyy-mm")</x:f>
        <x:v>2021-01</x:v>
      </x:c>
    </x:row>
    <x:row r="480">
      <x:c r="A480" t="str">
        <x:v>HYD03</x:v>
      </x:c>
      <x:c r="B480" s="22" t="n">
        <x:f>DATE(C480,D480,1)</x:f>
        <x:v>44228</x:v>
      </x:c>
      <x:c r="C480" t="n">
        <x:v>2021</x:v>
      </x:c>
      <x:c r="D480" t="n">
        <x:v>2</x:v>
      </x:c>
      <x:c r="E480" t="str">
        <x:f>TEXT(B480,"mmm")</x:f>
        <x:v>Feb</x:v>
      </x:c>
      <x:c r="F480" t="str">
        <x:f>"Q"&amp;ROUNDUP(D480/3,0)</x:f>
        <x:v>Q1</x:v>
      </x:c>
      <x:c r="G480" s="23" t="n">
        <x:v>63.04</x:v>
      </x:c>
      <x:c r="H480" s="23" t="n">
        <x:v>57.03</x:v>
      </x:c>
      <x:c r="I480" s="23" t="n">
        <x:v>60</x:v>
      </x:c>
      <x:c r="J480" s="23" t="n">
        <x:f>G480-H480</x:f>
        <x:v>6.009999999999998</x:v>
      </x:c>
      <x:c r="K480" t="str">
        <x:v>HINDCAST</x:v>
      </x:c>
      <x:c r="L480" s="24" t="n">
        <x:v>17.4948</x:v>
      </x:c>
      <x:c r="M480" s="24" t="n">
        <x:v>78.3927</x:v>
      </x:c>
      <x:c r="N480" t="str">
        <x:f>IF(I480&gt;70,"70+ dB",IF(I480&gt;55,"56-70 dB","41-55 dB"))</x:f>
        <x:v>56-70 dB</x:v>
      </x:c>
      <x:c r="O480" t="str">
        <x:f>IF(I480&gt;70,"High",IF(I480&gt;55,"Moderate","Low"))</x:f>
        <x:v>Moderate</x:v>
      </x:c>
      <x:c r="P480" t="str">
        <x:f>IF(I480&gt;=70,"Yes","No")</x:f>
        <x:v>No</x:v>
      </x:c>
      <x:c r="Q480" t="str">
        <x:f>TEXT(B480,"yyyy-mm")</x:f>
        <x:v>2021-02</x:v>
      </x:c>
    </x:row>
    <x:row r="481">
      <x:c r="A481" t="str">
        <x:v>HYD03</x:v>
      </x:c>
      <x:c r="B481" s="22" t="n">
        <x:f>DATE(C481,D481,1)</x:f>
        <x:v>44256</x:v>
      </x:c>
      <x:c r="C481" t="n">
        <x:v>2021</x:v>
      </x:c>
      <x:c r="D481" t="n">
        <x:v>3</x:v>
      </x:c>
      <x:c r="E481" t="str">
        <x:f>TEXT(B481,"mmm")</x:f>
        <x:v>Mar</x:v>
      </x:c>
      <x:c r="F481" t="str">
        <x:f>"Q"&amp;ROUNDUP(D481/3,0)</x:f>
        <x:v>Q1</x:v>
      </x:c>
      <x:c r="G481" s="23" t="n">
        <x:v>63.05</x:v>
      </x:c>
      <x:c r="H481" s="23" t="n">
        <x:v>56.88</x:v>
      </x:c>
      <x:c r="I481" s="23" t="n">
        <x:v>60</x:v>
      </x:c>
      <x:c r="J481" s="23" t="n">
        <x:f>G481-H481</x:f>
        <x:v>6.169999999999995</x:v>
      </x:c>
      <x:c r="K481" t="str">
        <x:v>HINDCAST</x:v>
      </x:c>
      <x:c r="L481" s="24" t="n">
        <x:v>17.4948</x:v>
      </x:c>
      <x:c r="M481" s="24" t="n">
        <x:v>78.3927</x:v>
      </x:c>
      <x:c r="N481" t="str">
        <x:f>IF(I481&gt;70,"70+ dB",IF(I481&gt;55,"56-70 dB","41-55 dB"))</x:f>
        <x:v>56-70 dB</x:v>
      </x:c>
      <x:c r="O481" t="str">
        <x:f>IF(I481&gt;70,"High",IF(I481&gt;55,"Moderate","Low"))</x:f>
        <x:v>Moderate</x:v>
      </x:c>
      <x:c r="P481" t="str">
        <x:f>IF(I481&gt;=70,"Yes","No")</x:f>
        <x:v>No</x:v>
      </x:c>
      <x:c r="Q481" t="str">
        <x:f>TEXT(B481,"yyyy-mm")</x:f>
        <x:v>2021-03</x:v>
      </x:c>
    </x:row>
    <x:row r="482">
      <x:c r="A482" t="str">
        <x:v>HYD03</x:v>
      </x:c>
      <x:c r="B482" s="22" t="n">
        <x:f>DATE(C482,D482,1)</x:f>
        <x:v>44287</x:v>
      </x:c>
      <x:c r="C482" t="n">
        <x:v>2021</x:v>
      </x:c>
      <x:c r="D482" t="n">
        <x:v>4</x:v>
      </x:c>
      <x:c r="E482" t="str">
        <x:f>TEXT(B482,"mmm")</x:f>
        <x:v>Apr</x:v>
      </x:c>
      <x:c r="F482" t="str">
        <x:f>"Q"&amp;ROUNDUP(D482/3,0)</x:f>
        <x:v>Q2</x:v>
      </x:c>
      <x:c r="G482" s="23" t="n">
        <x:v>63.05</x:v>
      </x:c>
      <x:c r="H482" s="23" t="n">
        <x:v>57.14</x:v>
      </x:c>
      <x:c r="I482" s="23" t="n">
        <x:v>60.1</x:v>
      </x:c>
      <x:c r="J482" s="23" t="n">
        <x:f>G482-H482</x:f>
        <x:v>5.909999999999997</x:v>
      </x:c>
      <x:c r="K482" t="str">
        <x:v>HINDCAST</x:v>
      </x:c>
      <x:c r="L482" s="24" t="n">
        <x:v>17.4948</x:v>
      </x:c>
      <x:c r="M482" s="24" t="n">
        <x:v>78.3927</x:v>
      </x:c>
      <x:c r="N482" t="str">
        <x:f>IF(I482&gt;70,"70+ dB",IF(I482&gt;55,"56-70 dB","41-55 dB"))</x:f>
        <x:v>56-70 dB</x:v>
      </x:c>
      <x:c r="O482" t="str">
        <x:f>IF(I482&gt;70,"High",IF(I482&gt;55,"Moderate","Low"))</x:f>
        <x:v>Moderate</x:v>
      </x:c>
      <x:c r="P482" t="str">
        <x:f>IF(I482&gt;=70,"Yes","No")</x:f>
        <x:v>No</x:v>
      </x:c>
      <x:c r="Q482" t="str">
        <x:f>TEXT(B482,"yyyy-mm")</x:f>
        <x:v>2021-04</x:v>
      </x:c>
    </x:row>
    <x:row r="483">
      <x:c r="A483" t="str">
        <x:v>HYD03</x:v>
      </x:c>
      <x:c r="B483" s="22" t="n">
        <x:f>DATE(C483,D483,1)</x:f>
        <x:v>44317</x:v>
      </x:c>
      <x:c r="C483" t="n">
        <x:v>2021</x:v>
      </x:c>
      <x:c r="D483" t="n">
        <x:v>5</x:v>
      </x:c>
      <x:c r="E483" t="str">
        <x:f>TEXT(B483,"mmm")</x:f>
        <x:v>May</x:v>
      </x:c>
      <x:c r="F483" t="str">
        <x:f>"Q"&amp;ROUNDUP(D483/3,0)</x:f>
        <x:v>Q2</x:v>
      </x:c>
      <x:c r="G483" s="23" t="n">
        <x:v>63.32</x:v>
      </x:c>
      <x:c r="H483" s="23" t="n">
        <x:v>57.22</x:v>
      </x:c>
      <x:c r="I483" s="23" t="n">
        <x:v>60.3</x:v>
      </x:c>
      <x:c r="J483" s="23" t="n">
        <x:f>G483-H483</x:f>
        <x:v>6.100000000000001</x:v>
      </x:c>
      <x:c r="K483" t="str">
        <x:v>HINDCAST</x:v>
      </x:c>
      <x:c r="L483" s="24" t="n">
        <x:v>17.4948</x:v>
      </x:c>
      <x:c r="M483" s="24" t="n">
        <x:v>78.3927</x:v>
      </x:c>
      <x:c r="N483" t="str">
        <x:f>IF(I483&gt;70,"70+ dB",IF(I483&gt;55,"56-70 dB","41-55 dB"))</x:f>
        <x:v>56-70 dB</x:v>
      </x:c>
      <x:c r="O483" t="str">
        <x:f>IF(I483&gt;70,"High",IF(I483&gt;55,"Moderate","Low"))</x:f>
        <x:v>Moderate</x:v>
      </x:c>
      <x:c r="P483" t="str">
        <x:f>IF(I483&gt;=70,"Yes","No")</x:f>
        <x:v>No</x:v>
      </x:c>
      <x:c r="Q483" t="str">
        <x:f>TEXT(B483,"yyyy-mm")</x:f>
        <x:v>2021-05</x:v>
      </x:c>
    </x:row>
    <x:row r="484">
      <x:c r="A484" t="str">
        <x:v>HYD03</x:v>
      </x:c>
      <x:c r="B484" s="22" t="n">
        <x:f>DATE(C484,D484,1)</x:f>
        <x:v>44348</x:v>
      </x:c>
      <x:c r="C484" t="n">
        <x:v>2021</x:v>
      </x:c>
      <x:c r="D484" t="n">
        <x:v>6</x:v>
      </x:c>
      <x:c r="E484" t="str">
        <x:f>TEXT(B484,"mmm")</x:f>
        <x:v>Jun</x:v>
      </x:c>
      <x:c r="F484" t="str">
        <x:f>"Q"&amp;ROUNDUP(D484/3,0)</x:f>
        <x:v>Q2</x:v>
      </x:c>
      <x:c r="G484" s="23" t="n">
        <x:v>63.46</x:v>
      </x:c>
      <x:c r="H484" s="23" t="n">
        <x:v>58.57</x:v>
      </x:c>
      <x:c r="I484" s="23" t="n">
        <x:v>61</x:v>
      </x:c>
      <x:c r="J484" s="23" t="n">
        <x:f>G484-H484</x:f>
        <x:v>4.890000000000001</x:v>
      </x:c>
      <x:c r="K484" t="str">
        <x:v>HINDCAST</x:v>
      </x:c>
      <x:c r="L484" s="24" t="n">
        <x:v>17.4948</x:v>
      </x:c>
      <x:c r="M484" s="24" t="n">
        <x:v>78.3927</x:v>
      </x:c>
      <x:c r="N484" t="str">
        <x:f>IF(I484&gt;70,"70+ dB",IF(I484&gt;55,"56-70 dB","41-55 dB"))</x:f>
        <x:v>56-70 dB</x:v>
      </x:c>
      <x:c r="O484" t="str">
        <x:f>IF(I484&gt;70,"High",IF(I484&gt;55,"Moderate","Low"))</x:f>
        <x:v>Moderate</x:v>
      </x:c>
      <x:c r="P484" t="str">
        <x:f>IF(I484&gt;=70,"Yes","No")</x:f>
        <x:v>No</x:v>
      </x:c>
      <x:c r="Q484" t="str">
        <x:f>TEXT(B484,"yyyy-mm")</x:f>
        <x:v>2021-06</x:v>
      </x:c>
    </x:row>
    <x:row r="485">
      <x:c r="A485" t="str">
        <x:v>HYD03</x:v>
      </x:c>
      <x:c r="B485" s="22" t="n">
        <x:f>DATE(C485,D485,1)</x:f>
        <x:v>44378</x:v>
      </x:c>
      <x:c r="C485" t="n">
        <x:v>2021</x:v>
      </x:c>
      <x:c r="D485" t="n">
        <x:v>7</x:v>
      </x:c>
      <x:c r="E485" t="str">
        <x:f>TEXT(B485,"mmm")</x:f>
        <x:v>Jul</x:v>
      </x:c>
      <x:c r="F485" t="str">
        <x:f>"Q"&amp;ROUNDUP(D485/3,0)</x:f>
        <x:v>Q3</x:v>
      </x:c>
      <x:c r="G485" s="23" t="n">
        <x:v>63.62</x:v>
      </x:c>
      <x:c r="H485" s="23" t="n">
        <x:v>58.19</x:v>
      </x:c>
      <x:c r="I485" s="23" t="n">
        <x:v>60.9</x:v>
      </x:c>
      <x:c r="J485" s="23" t="n">
        <x:f>G485-H485</x:f>
        <x:v>5.43</x:v>
      </x:c>
      <x:c r="K485" t="str">
        <x:v>HINDCAST</x:v>
      </x:c>
      <x:c r="L485" s="24" t="n">
        <x:v>17.4948</x:v>
      </x:c>
      <x:c r="M485" s="24" t="n">
        <x:v>78.3927</x:v>
      </x:c>
      <x:c r="N485" t="str">
        <x:f>IF(I485&gt;70,"70+ dB",IF(I485&gt;55,"56-70 dB","41-55 dB"))</x:f>
        <x:v>56-70 dB</x:v>
      </x:c>
      <x:c r="O485" t="str">
        <x:f>IF(I485&gt;70,"High",IF(I485&gt;55,"Moderate","Low"))</x:f>
        <x:v>Moderate</x:v>
      </x:c>
      <x:c r="P485" t="str">
        <x:f>IF(I485&gt;=70,"Yes","No")</x:f>
        <x:v>No</x:v>
      </x:c>
      <x:c r="Q485" t="str">
        <x:f>TEXT(B485,"yyyy-mm")</x:f>
        <x:v>2021-07</x:v>
      </x:c>
    </x:row>
    <x:row r="486">
      <x:c r="A486" t="str">
        <x:v>HYD03</x:v>
      </x:c>
      <x:c r="B486" s="22" t="n">
        <x:f>DATE(C486,D486,1)</x:f>
        <x:v>44409</x:v>
      </x:c>
      <x:c r="C486" t="n">
        <x:v>2021</x:v>
      </x:c>
      <x:c r="D486" t="n">
        <x:v>8</x:v>
      </x:c>
      <x:c r="E486" t="str">
        <x:f>TEXT(B486,"mmm")</x:f>
        <x:v>Aug</x:v>
      </x:c>
      <x:c r="F486" t="str">
        <x:f>"Q"&amp;ROUNDUP(D486/3,0)</x:f>
        <x:v>Q3</x:v>
      </x:c>
      <x:c r="G486" s="23" t="n">
        <x:v>63.33</x:v>
      </x:c>
      <x:c r="H486" s="23" t="n">
        <x:v>57.19</x:v>
      </x:c>
      <x:c r="I486" s="23" t="n">
        <x:v>60.3</x:v>
      </x:c>
      <x:c r="J486" s="23" t="n">
        <x:f>G486-H486</x:f>
        <x:v>6.140000000000001</x:v>
      </x:c>
      <x:c r="K486" t="str">
        <x:v>HINDCAST</x:v>
      </x:c>
      <x:c r="L486" s="24" t="n">
        <x:v>17.4948</x:v>
      </x:c>
      <x:c r="M486" s="24" t="n">
        <x:v>78.3927</x:v>
      </x:c>
      <x:c r="N486" t="str">
        <x:f>IF(I486&gt;70,"70+ dB",IF(I486&gt;55,"56-70 dB","41-55 dB"))</x:f>
        <x:v>56-70 dB</x:v>
      </x:c>
      <x:c r="O486" t="str">
        <x:f>IF(I486&gt;70,"High",IF(I486&gt;55,"Moderate","Low"))</x:f>
        <x:v>Moderate</x:v>
      </x:c>
      <x:c r="P486" t="str">
        <x:f>IF(I486&gt;=70,"Yes","No")</x:f>
        <x:v>No</x:v>
      </x:c>
      <x:c r="Q486" t="str">
        <x:f>TEXT(B486,"yyyy-mm")</x:f>
        <x:v>2021-08</x:v>
      </x:c>
    </x:row>
    <x:row r="487">
      <x:c r="A487" t="str">
        <x:v>HYD03</x:v>
      </x:c>
      <x:c r="B487" s="22" t="n">
        <x:f>DATE(C487,D487,1)</x:f>
        <x:v>44440</x:v>
      </x:c>
      <x:c r="C487" t="n">
        <x:v>2021</x:v>
      </x:c>
      <x:c r="D487" t="n">
        <x:v>9</x:v>
      </x:c>
      <x:c r="E487" t="str">
        <x:f>TEXT(B487,"mmm")</x:f>
        <x:v>Sep</x:v>
      </x:c>
      <x:c r="F487" t="str">
        <x:f>"Q"&amp;ROUNDUP(D487/3,0)</x:f>
        <x:v>Q3</x:v>
      </x:c>
      <x:c r="G487" s="23" t="n">
        <x:v>63.25</x:v>
      </x:c>
      <x:c r="H487" s="23" t="n">
        <x:v>56.68</x:v>
      </x:c>
      <x:c r="I487" s="23" t="n">
        <x:v>60</x:v>
      </x:c>
      <x:c r="J487" s="23" t="n">
        <x:f>G487-H487</x:f>
        <x:v>6.57</x:v>
      </x:c>
      <x:c r="K487" t="str">
        <x:v>HINDCAST</x:v>
      </x:c>
      <x:c r="L487" s="24" t="n">
        <x:v>17.4948</x:v>
      </x:c>
      <x:c r="M487" s="24" t="n">
        <x:v>78.3927</x:v>
      </x:c>
      <x:c r="N487" t="str">
        <x:f>IF(I487&gt;70,"70+ dB",IF(I487&gt;55,"56-70 dB","41-55 dB"))</x:f>
        <x:v>56-70 dB</x:v>
      </x:c>
      <x:c r="O487" t="str">
        <x:f>IF(I487&gt;70,"High",IF(I487&gt;55,"Moderate","Low"))</x:f>
        <x:v>Moderate</x:v>
      </x:c>
      <x:c r="P487" t="str">
        <x:f>IF(I487&gt;=70,"Yes","No")</x:f>
        <x:v>No</x:v>
      </x:c>
      <x:c r="Q487" t="str">
        <x:f>TEXT(B487,"yyyy-mm")</x:f>
        <x:v>2021-09</x:v>
      </x:c>
    </x:row>
    <x:row r="488">
      <x:c r="A488" t="str">
        <x:v>HYD03</x:v>
      </x:c>
      <x:c r="B488" s="22" t="n">
        <x:f>DATE(C488,D488,1)</x:f>
        <x:v>44470</x:v>
      </x:c>
      <x:c r="C488" t="n">
        <x:v>2021</x:v>
      </x:c>
      <x:c r="D488" t="n">
        <x:v>10</x:v>
      </x:c>
      <x:c r="E488" t="str">
        <x:f>TEXT(B488,"mmm")</x:f>
        <x:v>Oct</x:v>
      </x:c>
      <x:c r="F488" t="str">
        <x:f>"Q"&amp;ROUNDUP(D488/3,0)</x:f>
        <x:v>Q4</x:v>
      </x:c>
      <x:c r="G488" s="23" t="n">
        <x:v>62.55</x:v>
      </x:c>
      <x:c r="H488" s="23" t="n">
        <x:v>56.18</x:v>
      </x:c>
      <x:c r="I488" s="23" t="n">
        <x:v>59.4</x:v>
      </x:c>
      <x:c r="J488" s="23" t="n">
        <x:f>G488-H488</x:f>
        <x:v>6.369999999999997</x:v>
      </x:c>
      <x:c r="K488" t="str">
        <x:v>HINDCAST</x:v>
      </x:c>
      <x:c r="L488" s="24" t="n">
        <x:v>17.4948</x:v>
      </x:c>
      <x:c r="M488" s="24" t="n">
        <x:v>78.3927</x:v>
      </x:c>
      <x:c r="N488" t="str">
        <x:f>IF(I488&gt;70,"70+ dB",IF(I488&gt;55,"56-70 dB","41-55 dB"))</x:f>
        <x:v>56-70 dB</x:v>
      </x:c>
      <x:c r="O488" t="str">
        <x:f>IF(I488&gt;70,"High",IF(I488&gt;55,"Moderate","Low"))</x:f>
        <x:v>Moderate</x:v>
      </x:c>
      <x:c r="P488" t="str">
        <x:f>IF(I488&gt;=70,"Yes","No")</x:f>
        <x:v>No</x:v>
      </x:c>
      <x:c r="Q488" t="str">
        <x:f>TEXT(B488,"yyyy-mm")</x:f>
        <x:v>2021-10</x:v>
      </x:c>
    </x:row>
    <x:row r="489">
      <x:c r="A489" t="str">
        <x:v>HYD03</x:v>
      </x:c>
      <x:c r="B489" s="22" t="n">
        <x:f>DATE(C489,D489,1)</x:f>
        <x:v>44501</x:v>
      </x:c>
      <x:c r="C489" t="n">
        <x:v>2021</x:v>
      </x:c>
      <x:c r="D489" t="n">
        <x:v>11</x:v>
      </x:c>
      <x:c r="E489" t="str">
        <x:f>TEXT(B489,"mmm")</x:f>
        <x:v>Nov</x:v>
      </x:c>
      <x:c r="F489" t="str">
        <x:f>"Q"&amp;ROUNDUP(D489/3,0)</x:f>
        <x:v>Q4</x:v>
      </x:c>
      <x:c r="G489" s="23" t="n">
        <x:v>61.91</x:v>
      </x:c>
      <x:c r="H489" s="23" t="n">
        <x:v>55.18</x:v>
      </x:c>
      <x:c r="I489" s="23" t="n">
        <x:v>58.5</x:v>
      </x:c>
      <x:c r="J489" s="23" t="n">
        <x:f>G489-H489</x:f>
        <x:v>6.729999999999997</x:v>
      </x:c>
      <x:c r="K489" t="str">
        <x:v>HINDCAST</x:v>
      </x:c>
      <x:c r="L489" s="24" t="n">
        <x:v>17.4948</x:v>
      </x:c>
      <x:c r="M489" s="24" t="n">
        <x:v>78.3927</x:v>
      </x:c>
      <x:c r="N489" t="str">
        <x:f>IF(I489&gt;70,"70+ dB",IF(I489&gt;55,"56-70 dB","41-55 dB"))</x:f>
        <x:v>56-70 dB</x:v>
      </x:c>
      <x:c r="O489" t="str">
        <x:f>IF(I489&gt;70,"High",IF(I489&gt;55,"Moderate","Low"))</x:f>
        <x:v>Moderate</x:v>
      </x:c>
      <x:c r="P489" t="str">
        <x:f>IF(I489&gt;=70,"Yes","No")</x:f>
        <x:v>No</x:v>
      </x:c>
      <x:c r="Q489" t="str">
        <x:f>TEXT(B489,"yyyy-mm")</x:f>
        <x:v>2021-11</x:v>
      </x:c>
    </x:row>
    <x:row r="490">
      <x:c r="A490" t="str">
        <x:v>HYD03</x:v>
      </x:c>
      <x:c r="B490" s="22" t="n">
        <x:f>DATE(C490,D490,1)</x:f>
        <x:v>44531</x:v>
      </x:c>
      <x:c r="C490" t="n">
        <x:v>2021</x:v>
      </x:c>
      <x:c r="D490" t="n">
        <x:v>12</x:v>
      </x:c>
      <x:c r="E490" t="str">
        <x:f>TEXT(B490,"mmm")</x:f>
        <x:v>Dec</x:v>
      </x:c>
      <x:c r="F490" t="str">
        <x:f>"Q"&amp;ROUNDUP(D490/3,0)</x:f>
        <x:v>Q4</x:v>
      </x:c>
      <x:c r="G490" s="23" t="n">
        <x:v>62.19</x:v>
      </x:c>
      <x:c r="H490" s="23" t="n">
        <x:v>55.31</x:v>
      </x:c>
      <x:c r="I490" s="23" t="n">
        <x:v>58.8</x:v>
      </x:c>
      <x:c r="J490" s="23" t="n">
        <x:f>G490-H490</x:f>
        <x:v>6.8799999999999955</x:v>
      </x:c>
      <x:c r="K490" t="str">
        <x:v>HINDCAST</x:v>
      </x:c>
      <x:c r="L490" s="24" t="n">
        <x:v>17.4948</x:v>
      </x:c>
      <x:c r="M490" s="24" t="n">
        <x:v>78.3927</x:v>
      </x:c>
      <x:c r="N490" t="str">
        <x:f>IF(I490&gt;70,"70+ dB",IF(I490&gt;55,"56-70 dB","41-55 dB"))</x:f>
        <x:v>56-70 dB</x:v>
      </x:c>
      <x:c r="O490" t="str">
        <x:f>IF(I490&gt;70,"High",IF(I490&gt;55,"Moderate","Low"))</x:f>
        <x:v>Moderate</x:v>
      </x:c>
      <x:c r="P490" t="str">
        <x:f>IF(I490&gt;=70,"Yes","No")</x:f>
        <x:v>No</x:v>
      </x:c>
      <x:c r="Q490" t="str">
        <x:f>TEXT(B490,"yyyy-mm")</x:f>
        <x:v>2021-12</x:v>
      </x:c>
    </x:row>
    <x:row r="491">
      <x:c r="A491" t="str">
        <x:v>HYD03</x:v>
      </x:c>
      <x:c r="B491" s="22" t="n">
        <x:f>DATE(C491,D491,1)</x:f>
        <x:v>44562</x:v>
      </x:c>
      <x:c r="C491" t="n">
        <x:v>2022</x:v>
      </x:c>
      <x:c r="D491" t="n">
        <x:v>1</x:v>
      </x:c>
      <x:c r="E491" t="str">
        <x:f>TEXT(B491,"mmm")</x:f>
        <x:v>Jan</x:v>
      </x:c>
      <x:c r="F491" t="str">
        <x:f>"Q"&amp;ROUNDUP(D491/3,0)</x:f>
        <x:v>Q1</x:v>
      </x:c>
      <x:c r="G491" s="23" t="n">
        <x:v>63.44</x:v>
      </x:c>
      <x:c r="H491" s="23" t="n">
        <x:v>57.03</x:v>
      </x:c>
      <x:c r="I491" s="23" t="n">
        <x:v>60.2</x:v>
      </x:c>
      <x:c r="J491" s="23" t="n">
        <x:f>G491-H491</x:f>
        <x:v>6.409999999999997</x:v>
      </x:c>
      <x:c r="K491" t="str">
        <x:v>HINDCAST</x:v>
      </x:c>
      <x:c r="L491" s="24" t="n">
        <x:v>17.4948</x:v>
      </x:c>
      <x:c r="M491" s="24" t="n">
        <x:v>78.3927</x:v>
      </x:c>
      <x:c r="N491" t="str">
        <x:f>IF(I491&gt;70,"70+ dB",IF(I491&gt;55,"56-70 dB","41-55 dB"))</x:f>
        <x:v>56-70 dB</x:v>
      </x:c>
      <x:c r="O491" t="str">
        <x:f>IF(I491&gt;70,"High",IF(I491&gt;55,"Moderate","Low"))</x:f>
        <x:v>Moderate</x:v>
      </x:c>
      <x:c r="P491" t="str">
        <x:f>IF(I491&gt;=70,"Yes","No")</x:f>
        <x:v>No</x:v>
      </x:c>
      <x:c r="Q491" t="str">
        <x:f>TEXT(B491,"yyyy-mm")</x:f>
        <x:v>2022-01</x:v>
      </x:c>
    </x:row>
    <x:row r="492">
      <x:c r="A492" t="str">
        <x:v>HYD03</x:v>
      </x:c>
      <x:c r="B492" s="22" t="n">
        <x:f>DATE(C492,D492,1)</x:f>
        <x:v>44593</x:v>
      </x:c>
      <x:c r="C492" t="n">
        <x:v>2022</x:v>
      </x:c>
      <x:c r="D492" t="n">
        <x:v>2</x:v>
      </x:c>
      <x:c r="E492" t="str">
        <x:f>TEXT(B492,"mmm")</x:f>
        <x:v>Feb</x:v>
      </x:c>
      <x:c r="F492" t="str">
        <x:f>"Q"&amp;ROUNDUP(D492/3,0)</x:f>
        <x:v>Q1</x:v>
      </x:c>
      <x:c r="G492" s="23" t="n">
        <x:v>63.92</x:v>
      </x:c>
      <x:c r="H492" s="23" t="n">
        <x:v>57.46</x:v>
      </x:c>
      <x:c r="I492" s="23" t="n">
        <x:v>60.7</x:v>
      </x:c>
      <x:c r="J492" s="23" t="n">
        <x:f>G492-H492</x:f>
        <x:v>6.460000000000001</x:v>
      </x:c>
      <x:c r="K492" t="str">
        <x:v>HINDCAST</x:v>
      </x:c>
      <x:c r="L492" s="24" t="n">
        <x:v>17.4948</x:v>
      </x:c>
      <x:c r="M492" s="24" t="n">
        <x:v>78.3927</x:v>
      </x:c>
      <x:c r="N492" t="str">
        <x:f>IF(I492&gt;70,"70+ dB",IF(I492&gt;55,"56-70 dB","41-55 dB"))</x:f>
        <x:v>56-70 dB</x:v>
      </x:c>
      <x:c r="O492" t="str">
        <x:f>IF(I492&gt;70,"High",IF(I492&gt;55,"Moderate","Low"))</x:f>
        <x:v>Moderate</x:v>
      </x:c>
      <x:c r="P492" t="str">
        <x:f>IF(I492&gt;=70,"Yes","No")</x:f>
        <x:v>No</x:v>
      </x:c>
      <x:c r="Q492" t="str">
        <x:f>TEXT(B492,"yyyy-mm")</x:f>
        <x:v>2022-02</x:v>
      </x:c>
    </x:row>
    <x:row r="493">
      <x:c r="A493" t="str">
        <x:v>HYD03</x:v>
      </x:c>
      <x:c r="B493" s="22" t="n">
        <x:f>DATE(C493,D493,1)</x:f>
        <x:v>44621</x:v>
      </x:c>
      <x:c r="C493" t="n">
        <x:v>2022</x:v>
      </x:c>
      <x:c r="D493" t="n">
        <x:v>3</x:v>
      </x:c>
      <x:c r="E493" t="str">
        <x:f>TEXT(B493,"mmm")</x:f>
        <x:v>Mar</x:v>
      </x:c>
      <x:c r="F493" t="str">
        <x:f>"Q"&amp;ROUNDUP(D493/3,0)</x:f>
        <x:v>Q1</x:v>
      </x:c>
      <x:c r="G493" s="23" t="n">
        <x:v>63.93</x:v>
      </x:c>
      <x:c r="H493" s="23" t="n">
        <x:v>57.31</x:v>
      </x:c>
      <x:c r="I493" s="23" t="n">
        <x:v>60.6</x:v>
      </x:c>
      <x:c r="J493" s="23" t="n">
        <x:f>G493-H493</x:f>
        <x:v>6.619999999999997</x:v>
      </x:c>
      <x:c r="K493" t="str">
        <x:v>HINDCAST</x:v>
      </x:c>
      <x:c r="L493" s="24" t="n">
        <x:v>17.4948</x:v>
      </x:c>
      <x:c r="M493" s="24" t="n">
        <x:v>78.3927</x:v>
      </x:c>
      <x:c r="N493" t="str">
        <x:f>IF(I493&gt;70,"70+ dB",IF(I493&gt;55,"56-70 dB","41-55 dB"))</x:f>
        <x:v>56-70 dB</x:v>
      </x:c>
      <x:c r="O493" t="str">
        <x:f>IF(I493&gt;70,"High",IF(I493&gt;55,"Moderate","Low"))</x:f>
        <x:v>Moderate</x:v>
      </x:c>
      <x:c r="P493" t="str">
        <x:f>IF(I493&gt;=70,"Yes","No")</x:f>
        <x:v>No</x:v>
      </x:c>
      <x:c r="Q493" t="str">
        <x:f>TEXT(B493,"yyyy-mm")</x:f>
        <x:v>2022-03</x:v>
      </x:c>
    </x:row>
    <x:row r="494">
      <x:c r="A494" t="str">
        <x:v>HYD03</x:v>
      </x:c>
      <x:c r="B494" s="22" t="n">
        <x:f>DATE(C494,D494,1)</x:f>
        <x:v>44652</x:v>
      </x:c>
      <x:c r="C494" t="n">
        <x:v>2022</x:v>
      </x:c>
      <x:c r="D494" t="n">
        <x:v>4</x:v>
      </x:c>
      <x:c r="E494" t="str">
        <x:f>TEXT(B494,"mmm")</x:f>
        <x:v>Apr</x:v>
      </x:c>
      <x:c r="F494" t="str">
        <x:f>"Q"&amp;ROUNDUP(D494/3,0)</x:f>
        <x:v>Q2</x:v>
      </x:c>
      <x:c r="G494" s="23" t="n">
        <x:v>63.93</x:v>
      </x:c>
      <x:c r="H494" s="23" t="n">
        <x:v>57.57</x:v>
      </x:c>
      <x:c r="I494" s="23" t="n">
        <x:v>60.8</x:v>
      </x:c>
      <x:c r="J494" s="23" t="n">
        <x:f>G494-H494</x:f>
        <x:v>6.359999999999999</x:v>
      </x:c>
      <x:c r="K494" t="str">
        <x:v>HINDCAST</x:v>
      </x:c>
      <x:c r="L494" s="24" t="n">
        <x:v>17.4948</x:v>
      </x:c>
      <x:c r="M494" s="24" t="n">
        <x:v>78.3927</x:v>
      </x:c>
      <x:c r="N494" t="str">
        <x:f>IF(I494&gt;70,"70+ dB",IF(I494&gt;55,"56-70 dB","41-55 dB"))</x:f>
        <x:v>56-70 dB</x:v>
      </x:c>
      <x:c r="O494" t="str">
        <x:f>IF(I494&gt;70,"High",IF(I494&gt;55,"Moderate","Low"))</x:f>
        <x:v>Moderate</x:v>
      </x:c>
      <x:c r="P494" t="str">
        <x:f>IF(I494&gt;=70,"Yes","No")</x:f>
        <x:v>No</x:v>
      </x:c>
      <x:c r="Q494" t="str">
        <x:f>TEXT(B494,"yyyy-mm")</x:f>
        <x:v>2022-04</x:v>
      </x:c>
    </x:row>
    <x:row r="495">
      <x:c r="A495" t="str">
        <x:v>HYD03</x:v>
      </x:c>
      <x:c r="B495" s="22" t="n">
        <x:f>DATE(C495,D495,1)</x:f>
        <x:v>44682</x:v>
      </x:c>
      <x:c r="C495" t="n">
        <x:v>2022</x:v>
      </x:c>
      <x:c r="D495" t="n">
        <x:v>5</x:v>
      </x:c>
      <x:c r="E495" t="str">
        <x:f>TEXT(B495,"mmm")</x:f>
        <x:v>May</x:v>
      </x:c>
      <x:c r="F495" t="str">
        <x:f>"Q"&amp;ROUNDUP(D495/3,0)</x:f>
        <x:v>Q2</x:v>
      </x:c>
      <x:c r="G495" s="23" t="n">
        <x:v>64.2</x:v>
      </x:c>
      <x:c r="H495" s="23" t="n">
        <x:v>57.65</x:v>
      </x:c>
      <x:c r="I495" s="23" t="n">
        <x:v>60.9</x:v>
      </x:c>
      <x:c r="J495" s="23" t="n">
        <x:f>G495-H495</x:f>
        <x:v>6.550000000000004</x:v>
      </x:c>
      <x:c r="K495" t="str">
        <x:v>HINDCAST</x:v>
      </x:c>
      <x:c r="L495" s="24" t="n">
        <x:v>17.4948</x:v>
      </x:c>
      <x:c r="M495" s="24" t="n">
        <x:v>78.3927</x:v>
      </x:c>
      <x:c r="N495" t="str">
        <x:f>IF(I495&gt;70,"70+ dB",IF(I495&gt;55,"56-70 dB","41-55 dB"))</x:f>
        <x:v>56-70 dB</x:v>
      </x:c>
      <x:c r="O495" t="str">
        <x:f>IF(I495&gt;70,"High",IF(I495&gt;55,"Moderate","Low"))</x:f>
        <x:v>Moderate</x:v>
      </x:c>
      <x:c r="P495" t="str">
        <x:f>IF(I495&gt;=70,"Yes","No")</x:f>
        <x:v>No</x:v>
      </x:c>
      <x:c r="Q495" t="str">
        <x:f>TEXT(B495,"yyyy-mm")</x:f>
        <x:v>2022-05</x:v>
      </x:c>
    </x:row>
    <x:row r="496">
      <x:c r="A496" t="str">
        <x:v>HYD03</x:v>
      </x:c>
      <x:c r="B496" s="22" t="n">
        <x:f>DATE(C496,D496,1)</x:f>
        <x:v>44713</x:v>
      </x:c>
      <x:c r="C496" t="n">
        <x:v>2022</x:v>
      </x:c>
      <x:c r="D496" t="n">
        <x:v>6</x:v>
      </x:c>
      <x:c r="E496" t="str">
        <x:f>TEXT(B496,"mmm")</x:f>
        <x:v>Jun</x:v>
      </x:c>
      <x:c r="F496" t="str">
        <x:f>"Q"&amp;ROUNDUP(D496/3,0)</x:f>
        <x:v>Q2</x:v>
      </x:c>
      <x:c r="G496" s="23" t="n">
        <x:v>64.34</x:v>
      </x:c>
      <x:c r="H496" s="23" t="n">
        <x:v>59</x:v>
      </x:c>
      <x:c r="I496" s="23" t="n">
        <x:v>61.7</x:v>
      </x:c>
      <x:c r="J496" s="23" t="n">
        <x:f>G496-H496</x:f>
        <x:v>5.340000000000003</x:v>
      </x:c>
      <x:c r="K496" t="str">
        <x:v>HINDCAST</x:v>
      </x:c>
      <x:c r="L496" s="24" t="n">
        <x:v>17.4948</x:v>
      </x:c>
      <x:c r="M496" s="24" t="n">
        <x:v>78.3927</x:v>
      </x:c>
      <x:c r="N496" t="str">
        <x:f>IF(I496&gt;70,"70+ dB",IF(I496&gt;55,"56-70 dB","41-55 dB"))</x:f>
        <x:v>56-70 dB</x:v>
      </x:c>
      <x:c r="O496" t="str">
        <x:f>IF(I496&gt;70,"High",IF(I496&gt;55,"Moderate","Low"))</x:f>
        <x:v>Moderate</x:v>
      </x:c>
      <x:c r="P496" t="str">
        <x:f>IF(I496&gt;=70,"Yes","No")</x:f>
        <x:v>No</x:v>
      </x:c>
      <x:c r="Q496" t="str">
        <x:f>TEXT(B496,"yyyy-mm")</x:f>
        <x:v>2022-06</x:v>
      </x:c>
    </x:row>
    <x:row r="497">
      <x:c r="A497" t="str">
        <x:v>HYD03</x:v>
      </x:c>
      <x:c r="B497" s="22" t="n">
        <x:f>DATE(C497,D497,1)</x:f>
        <x:v>44743</x:v>
      </x:c>
      <x:c r="C497" t="n">
        <x:v>2022</x:v>
      </x:c>
      <x:c r="D497" t="n">
        <x:v>7</x:v>
      </x:c>
      <x:c r="E497" t="str">
        <x:f>TEXT(B497,"mmm")</x:f>
        <x:v>Jul</x:v>
      </x:c>
      <x:c r="F497" t="str">
        <x:f>"Q"&amp;ROUNDUP(D497/3,0)</x:f>
        <x:v>Q3</x:v>
      </x:c>
      <x:c r="G497" s="23" t="n">
        <x:v>64.5</x:v>
      </x:c>
      <x:c r="H497" s="23" t="n">
        <x:v>58.62</x:v>
      </x:c>
      <x:c r="I497" s="23" t="n">
        <x:v>61.6</x:v>
      </x:c>
      <x:c r="J497" s="23" t="n">
        <x:f>G497-H497</x:f>
        <x:v>5.880000000000003</x:v>
      </x:c>
      <x:c r="K497" t="str">
        <x:v>HINDCAST</x:v>
      </x:c>
      <x:c r="L497" s="24" t="n">
        <x:v>17.4948</x:v>
      </x:c>
      <x:c r="M497" s="24" t="n">
        <x:v>78.3927</x:v>
      </x:c>
      <x:c r="N497" t="str">
        <x:f>IF(I497&gt;70,"70+ dB",IF(I497&gt;55,"56-70 dB","41-55 dB"))</x:f>
        <x:v>56-70 dB</x:v>
      </x:c>
      <x:c r="O497" t="str">
        <x:f>IF(I497&gt;70,"High",IF(I497&gt;55,"Moderate","Low"))</x:f>
        <x:v>Moderate</x:v>
      </x:c>
      <x:c r="P497" t="str">
        <x:f>IF(I497&gt;=70,"Yes","No")</x:f>
        <x:v>No</x:v>
      </x:c>
      <x:c r="Q497" t="str">
        <x:f>TEXT(B497,"yyyy-mm")</x:f>
        <x:v>2022-07</x:v>
      </x:c>
    </x:row>
    <x:row r="498">
      <x:c r="A498" t="str">
        <x:v>HYD03</x:v>
      </x:c>
      <x:c r="B498" s="22" t="n">
        <x:f>DATE(C498,D498,1)</x:f>
        <x:v>44774</x:v>
      </x:c>
      <x:c r="C498" t="n">
        <x:v>2022</x:v>
      </x:c>
      <x:c r="D498" t="n">
        <x:v>8</x:v>
      </x:c>
      <x:c r="E498" t="str">
        <x:f>TEXT(B498,"mmm")</x:f>
        <x:v>Aug</x:v>
      </x:c>
      <x:c r="F498" t="str">
        <x:f>"Q"&amp;ROUNDUP(D498/3,0)</x:f>
        <x:v>Q3</x:v>
      </x:c>
      <x:c r="G498" s="23" t="n">
        <x:v>64.21</x:v>
      </x:c>
      <x:c r="H498" s="23" t="n">
        <x:v>57.61</x:v>
      </x:c>
      <x:c r="I498" s="23" t="n">
        <x:v>60.9</x:v>
      </x:c>
      <x:c r="J498" s="23" t="n">
        <x:f>G498-H498</x:f>
        <x:v>6.599999999999994</x:v>
      </x:c>
      <x:c r="K498" t="str">
        <x:v>HINDCAST</x:v>
      </x:c>
      <x:c r="L498" s="24" t="n">
        <x:v>17.4948</x:v>
      </x:c>
      <x:c r="M498" s="24" t="n">
        <x:v>78.3927</x:v>
      </x:c>
      <x:c r="N498" t="str">
        <x:f>IF(I498&gt;70,"70+ dB",IF(I498&gt;55,"56-70 dB","41-55 dB"))</x:f>
        <x:v>56-70 dB</x:v>
      </x:c>
      <x:c r="O498" t="str">
        <x:f>IF(I498&gt;70,"High",IF(I498&gt;55,"Moderate","Low"))</x:f>
        <x:v>Moderate</x:v>
      </x:c>
      <x:c r="P498" t="str">
        <x:f>IF(I498&gt;=70,"Yes","No")</x:f>
        <x:v>No</x:v>
      </x:c>
      <x:c r="Q498" t="str">
        <x:f>TEXT(B498,"yyyy-mm")</x:f>
        <x:v>2022-08</x:v>
      </x:c>
    </x:row>
    <x:row r="499">
      <x:c r="A499" t="str">
        <x:v>HYD03</x:v>
      </x:c>
      <x:c r="B499" s="22" t="n">
        <x:f>DATE(C499,D499,1)</x:f>
        <x:v>44805</x:v>
      </x:c>
      <x:c r="C499" t="n">
        <x:v>2022</x:v>
      </x:c>
      <x:c r="D499" t="n">
        <x:v>9</x:v>
      </x:c>
      <x:c r="E499" t="str">
        <x:f>TEXT(B499,"mmm")</x:f>
        <x:v>Sep</x:v>
      </x:c>
      <x:c r="F499" t="str">
        <x:f>"Q"&amp;ROUNDUP(D499/3,0)</x:f>
        <x:v>Q3</x:v>
      </x:c>
      <x:c r="G499" s="23" t="n">
        <x:v>64.13</x:v>
      </x:c>
      <x:c r="H499" s="23" t="n">
        <x:v>57.11</x:v>
      </x:c>
      <x:c r="I499" s="23" t="n">
        <x:v>60.6</x:v>
      </x:c>
      <x:c r="J499" s="23" t="n">
        <x:f>G499-H499</x:f>
        <x:v>7.019999999999996</x:v>
      </x:c>
      <x:c r="K499" t="str">
        <x:v>HINDCAST</x:v>
      </x:c>
      <x:c r="L499" s="24" t="n">
        <x:v>17.4948</x:v>
      </x:c>
      <x:c r="M499" s="24" t="n">
        <x:v>78.3927</x:v>
      </x:c>
      <x:c r="N499" t="str">
        <x:f>IF(I499&gt;70,"70+ dB",IF(I499&gt;55,"56-70 dB","41-55 dB"))</x:f>
        <x:v>56-70 dB</x:v>
      </x:c>
      <x:c r="O499" t="str">
        <x:f>IF(I499&gt;70,"High",IF(I499&gt;55,"Moderate","Low"))</x:f>
        <x:v>Moderate</x:v>
      </x:c>
      <x:c r="P499" t="str">
        <x:f>IF(I499&gt;=70,"Yes","No")</x:f>
        <x:v>No</x:v>
      </x:c>
      <x:c r="Q499" t="str">
        <x:f>TEXT(B499,"yyyy-mm")</x:f>
        <x:v>2022-09</x:v>
      </x:c>
    </x:row>
    <x:row r="500">
      <x:c r="A500" t="str">
        <x:v>HYD03</x:v>
      </x:c>
      <x:c r="B500" s="22" t="n">
        <x:f>DATE(C500,D500,1)</x:f>
        <x:v>44835</x:v>
      </x:c>
      <x:c r="C500" t="n">
        <x:v>2022</x:v>
      </x:c>
      <x:c r="D500" t="n">
        <x:v>10</x:v>
      </x:c>
      <x:c r="E500" t="str">
        <x:f>TEXT(B500,"mmm")</x:f>
        <x:v>Oct</x:v>
      </x:c>
      <x:c r="F500" t="str">
        <x:f>"Q"&amp;ROUNDUP(D500/3,0)</x:f>
        <x:v>Q4</x:v>
      </x:c>
      <x:c r="G500" s="23" t="n">
        <x:v>63.43</x:v>
      </x:c>
      <x:c r="H500" s="23" t="n">
        <x:v>56.61</x:v>
      </x:c>
      <x:c r="I500" s="23" t="n">
        <x:v>60</x:v>
      </x:c>
      <x:c r="J500" s="23" t="n">
        <x:f>G500-H500</x:f>
        <x:v>6.82</x:v>
      </x:c>
      <x:c r="K500" t="str">
        <x:v>HINDCAST</x:v>
      </x:c>
      <x:c r="L500" s="24" t="n">
        <x:v>17.4948</x:v>
      </x:c>
      <x:c r="M500" s="24" t="n">
        <x:v>78.3927</x:v>
      </x:c>
      <x:c r="N500" t="str">
        <x:f>IF(I500&gt;70,"70+ dB",IF(I500&gt;55,"56-70 dB","41-55 dB"))</x:f>
        <x:v>56-70 dB</x:v>
      </x:c>
      <x:c r="O500" t="str">
        <x:f>IF(I500&gt;70,"High",IF(I500&gt;55,"Moderate","Low"))</x:f>
        <x:v>Moderate</x:v>
      </x:c>
      <x:c r="P500" t="str">
        <x:f>IF(I500&gt;=70,"Yes","No")</x:f>
        <x:v>No</x:v>
      </x:c>
      <x:c r="Q500" t="str">
        <x:f>TEXT(B500,"yyyy-mm")</x:f>
        <x:v>2022-10</x:v>
      </x:c>
    </x:row>
    <x:row r="501">
      <x:c r="A501" t="str">
        <x:v>HYD03</x:v>
      </x:c>
      <x:c r="B501" s="22" t="n">
        <x:f>DATE(C501,D501,1)</x:f>
        <x:v>44866</x:v>
      </x:c>
      <x:c r="C501" t="n">
        <x:v>2022</x:v>
      </x:c>
      <x:c r="D501" t="n">
        <x:v>11</x:v>
      </x:c>
      <x:c r="E501" t="str">
        <x:f>TEXT(B501,"mmm")</x:f>
        <x:v>Nov</x:v>
      </x:c>
      <x:c r="F501" t="str">
        <x:f>"Q"&amp;ROUNDUP(D501/3,0)</x:f>
        <x:v>Q4</x:v>
      </x:c>
      <x:c r="G501" s="23" t="n">
        <x:v>62.79</x:v>
      </x:c>
      <x:c r="H501" s="23" t="n">
        <x:v>55.61</x:v>
      </x:c>
      <x:c r="I501" s="23" t="n">
        <x:v>59.2</x:v>
      </x:c>
      <x:c r="J501" s="23" t="n">
        <x:f>G501-H501</x:f>
        <x:v>7.18</x:v>
      </x:c>
      <x:c r="K501" t="str">
        <x:v>HINDCAST</x:v>
      </x:c>
      <x:c r="L501" s="24" t="n">
        <x:v>17.4948</x:v>
      </x:c>
      <x:c r="M501" s="24" t="n">
        <x:v>78.3927</x:v>
      </x:c>
      <x:c r="N501" t="str">
        <x:f>IF(I501&gt;70,"70+ dB",IF(I501&gt;55,"56-70 dB","41-55 dB"))</x:f>
        <x:v>56-70 dB</x:v>
      </x:c>
      <x:c r="O501" t="str">
        <x:f>IF(I501&gt;70,"High",IF(I501&gt;55,"Moderate","Low"))</x:f>
        <x:v>Moderate</x:v>
      </x:c>
      <x:c r="P501" t="str">
        <x:f>IF(I501&gt;=70,"Yes","No")</x:f>
        <x:v>No</x:v>
      </x:c>
      <x:c r="Q501" t="str">
        <x:f>TEXT(B501,"yyyy-mm")</x:f>
        <x:v>2022-11</x:v>
      </x:c>
    </x:row>
    <x:row r="502">
      <x:c r="A502" t="str">
        <x:v>HYD03</x:v>
      </x:c>
      <x:c r="B502" s="22" t="n">
        <x:f>DATE(C502,D502,1)</x:f>
        <x:v>44896</x:v>
      </x:c>
      <x:c r="C502" t="n">
        <x:v>2022</x:v>
      </x:c>
      <x:c r="D502" t="n">
        <x:v>12</x:v>
      </x:c>
      <x:c r="E502" t="str">
        <x:f>TEXT(B502,"mmm")</x:f>
        <x:v>Dec</x:v>
      </x:c>
      <x:c r="F502" t="str">
        <x:f>"Q"&amp;ROUNDUP(D502/3,0)</x:f>
        <x:v>Q4</x:v>
      </x:c>
      <x:c r="G502" s="23" t="n">
        <x:v>63.07</x:v>
      </x:c>
      <x:c r="H502" s="23" t="n">
        <x:v>55.74</x:v>
      </x:c>
      <x:c r="I502" s="23" t="n">
        <x:v>59.4</x:v>
      </x:c>
      <x:c r="J502" s="23" t="n">
        <x:f>G502-H502</x:f>
        <x:v>7.329999999999998</x:v>
      </x:c>
      <x:c r="K502" t="str">
        <x:v>HINDCAST</x:v>
      </x:c>
      <x:c r="L502" s="24" t="n">
        <x:v>17.4948</x:v>
      </x:c>
      <x:c r="M502" s="24" t="n">
        <x:v>78.3927</x:v>
      </x:c>
      <x:c r="N502" t="str">
        <x:f>IF(I502&gt;70,"70+ dB",IF(I502&gt;55,"56-70 dB","41-55 dB"))</x:f>
        <x:v>56-70 dB</x:v>
      </x:c>
      <x:c r="O502" t="str">
        <x:f>IF(I502&gt;70,"High",IF(I502&gt;55,"Moderate","Low"))</x:f>
        <x:v>Moderate</x:v>
      </x:c>
      <x:c r="P502" t="str">
        <x:f>IF(I502&gt;=70,"Yes","No")</x:f>
        <x:v>No</x:v>
      </x:c>
      <x:c r="Q502" t="str">
        <x:f>TEXT(B502,"yyyy-mm")</x:f>
        <x:v>2022-12</x:v>
      </x:c>
    </x:row>
    <x:row r="503">
      <x:c r="A503" t="str">
        <x:v>HYD03</x:v>
      </x:c>
      <x:c r="B503" s="22" t="n">
        <x:f>DATE(C503,D503,1)</x:f>
        <x:v>44927</x:v>
      </x:c>
      <x:c r="C503" t="n">
        <x:v>2023</x:v>
      </x:c>
      <x:c r="D503" t="n">
        <x:v>1</x:v>
      </x:c>
      <x:c r="E503" t="str">
        <x:f>TEXT(B503,"mmm")</x:f>
        <x:v>Jan</x:v>
      </x:c>
      <x:c r="F503" t="str">
        <x:f>"Q"&amp;ROUNDUP(D503/3,0)</x:f>
        <x:v>Q1</x:v>
      </x:c>
      <x:c r="G503" s="23" t="n">
        <x:v>64.32</x:v>
      </x:c>
      <x:c r="H503" s="23" t="n">
        <x:v>57.45</x:v>
      </x:c>
      <x:c r="I503" s="23" t="n">
        <x:v>60.9</x:v>
      </x:c>
      <x:c r="J503" s="23" t="n">
        <x:f>G503-H503</x:f>
        <x:v>6.86999999999999</x:v>
      </x:c>
      <x:c r="K503" t="str">
        <x:v>HINDCAST</x:v>
      </x:c>
      <x:c r="L503" s="24" t="n">
        <x:v>17.4948</x:v>
      </x:c>
      <x:c r="M503" s="24" t="n">
        <x:v>78.3927</x:v>
      </x:c>
      <x:c r="N503" t="str">
        <x:f>IF(I503&gt;70,"70+ dB",IF(I503&gt;55,"56-70 dB","41-55 dB"))</x:f>
        <x:v>56-70 dB</x:v>
      </x:c>
      <x:c r="O503" t="str">
        <x:f>IF(I503&gt;70,"High",IF(I503&gt;55,"Moderate","Low"))</x:f>
        <x:v>Moderate</x:v>
      </x:c>
      <x:c r="P503" t="str">
        <x:f>IF(I503&gt;=70,"Yes","No")</x:f>
        <x:v>No</x:v>
      </x:c>
      <x:c r="Q503" t="str">
        <x:f>TEXT(B503,"yyyy-mm")</x:f>
        <x:v>2023-01</x:v>
      </x:c>
    </x:row>
    <x:row r="504">
      <x:c r="A504" t="str">
        <x:v>HYD03</x:v>
      </x:c>
      <x:c r="B504" s="22" t="n">
        <x:f>DATE(C504,D504,1)</x:f>
        <x:v>44958</x:v>
      </x:c>
      <x:c r="C504" t="n">
        <x:v>2023</x:v>
      </x:c>
      <x:c r="D504" t="n">
        <x:v>2</x:v>
      </x:c>
      <x:c r="E504" t="str">
        <x:f>TEXT(B504,"mmm")</x:f>
        <x:v>Feb</x:v>
      </x:c>
      <x:c r="F504" t="str">
        <x:f>"Q"&amp;ROUNDUP(D504/3,0)</x:f>
        <x:v>Q1</x:v>
      </x:c>
      <x:c r="G504" s="23" t="n">
        <x:v>64.8</x:v>
      </x:c>
      <x:c r="H504" s="23" t="n">
        <x:v>57.88</x:v>
      </x:c>
      <x:c r="I504" s="23" t="n">
        <x:v>61.3</x:v>
      </x:c>
      <x:c r="J504" s="23" t="n">
        <x:f>G504-H504</x:f>
        <x:v>6.919999999999995</x:v>
      </x:c>
      <x:c r="K504" t="str">
        <x:v>HINDCAST</x:v>
      </x:c>
      <x:c r="L504" s="24" t="n">
        <x:v>17.4948</x:v>
      </x:c>
      <x:c r="M504" s="24" t="n">
        <x:v>78.3927</x:v>
      </x:c>
      <x:c r="N504" t="str">
        <x:f>IF(I504&gt;70,"70+ dB",IF(I504&gt;55,"56-70 dB","41-55 dB"))</x:f>
        <x:v>56-70 dB</x:v>
      </x:c>
      <x:c r="O504" t="str">
        <x:f>IF(I504&gt;70,"High",IF(I504&gt;55,"Moderate","Low"))</x:f>
        <x:v>Moderate</x:v>
      </x:c>
      <x:c r="P504" t="str">
        <x:f>IF(I504&gt;=70,"Yes","No")</x:f>
        <x:v>No</x:v>
      </x:c>
      <x:c r="Q504" t="str">
        <x:f>TEXT(B504,"yyyy-mm")</x:f>
        <x:v>2023-02</x:v>
      </x:c>
    </x:row>
    <x:row r="505">
      <x:c r="A505" t="str">
        <x:v>HYD03</x:v>
      </x:c>
      <x:c r="B505" s="22" t="n">
        <x:f>DATE(C505,D505,1)</x:f>
        <x:v>44986</x:v>
      </x:c>
      <x:c r="C505" t="n">
        <x:v>2023</x:v>
      </x:c>
      <x:c r="D505" t="n">
        <x:v>3</x:v>
      </x:c>
      <x:c r="E505" t="str">
        <x:f>TEXT(B505,"mmm")</x:f>
        <x:v>Mar</x:v>
      </x:c>
      <x:c r="F505" t="str">
        <x:f>"Q"&amp;ROUNDUP(D505/3,0)</x:f>
        <x:v>Q1</x:v>
      </x:c>
      <x:c r="G505" s="23" t="n">
        <x:v>64.81</x:v>
      </x:c>
      <x:c r="H505" s="23" t="n">
        <x:v>57.74</x:v>
      </x:c>
      <x:c r="I505" s="23" t="n">
        <x:v>61.3</x:v>
      </x:c>
      <x:c r="J505" s="23" t="n">
        <x:f>G505-H505</x:f>
        <x:v>7.07</x:v>
      </x:c>
      <x:c r="K505" t="str">
        <x:v>HINDCAST</x:v>
      </x:c>
      <x:c r="L505" s="24" t="n">
        <x:v>17.4948</x:v>
      </x:c>
      <x:c r="M505" s="24" t="n">
        <x:v>78.3927</x:v>
      </x:c>
      <x:c r="N505" t="str">
        <x:f>IF(I505&gt;70,"70+ dB",IF(I505&gt;55,"56-70 dB","41-55 dB"))</x:f>
        <x:v>56-70 dB</x:v>
      </x:c>
      <x:c r="O505" t="str">
        <x:f>IF(I505&gt;70,"High",IF(I505&gt;55,"Moderate","Low"))</x:f>
        <x:v>Moderate</x:v>
      </x:c>
      <x:c r="P505" t="str">
        <x:f>IF(I505&gt;=70,"Yes","No")</x:f>
        <x:v>No</x:v>
      </x:c>
      <x:c r="Q505" t="str">
        <x:f>TEXT(B505,"yyyy-mm")</x:f>
        <x:v>2023-03</x:v>
      </x:c>
    </x:row>
    <x:row r="506">
      <x:c r="A506" t="str">
        <x:v>HYD03</x:v>
      </x:c>
      <x:c r="B506" s="22" t="n">
        <x:f>DATE(C506,D506,1)</x:f>
        <x:v>45017</x:v>
      </x:c>
      <x:c r="C506" t="n">
        <x:v>2023</x:v>
      </x:c>
      <x:c r="D506" t="n">
        <x:v>4</x:v>
      </x:c>
      <x:c r="E506" t="str">
        <x:f>TEXT(B506,"mmm")</x:f>
        <x:v>Apr</x:v>
      </x:c>
      <x:c r="F506" t="str">
        <x:f>"Q"&amp;ROUNDUP(D506/3,0)</x:f>
        <x:v>Q2</x:v>
      </x:c>
      <x:c r="G506" s="23" t="n">
        <x:v>64.81</x:v>
      </x:c>
      <x:c r="H506" s="23" t="n">
        <x:v>58</x:v>
      </x:c>
      <x:c r="I506" s="23" t="n">
        <x:v>61.4</x:v>
      </x:c>
      <x:c r="J506" s="23" t="n">
        <x:f>G506-H506</x:f>
        <x:v>6.810000000000002</x:v>
      </x:c>
      <x:c r="K506" t="str">
        <x:v>HINDCAST</x:v>
      </x:c>
      <x:c r="L506" s="24" t="n">
        <x:v>17.4948</x:v>
      </x:c>
      <x:c r="M506" s="24" t="n">
        <x:v>78.3927</x:v>
      </x:c>
      <x:c r="N506" t="str">
        <x:f>IF(I506&gt;70,"70+ dB",IF(I506&gt;55,"56-70 dB","41-55 dB"))</x:f>
        <x:v>56-70 dB</x:v>
      </x:c>
      <x:c r="O506" t="str">
        <x:f>IF(I506&gt;70,"High",IF(I506&gt;55,"Moderate","Low"))</x:f>
        <x:v>Moderate</x:v>
      </x:c>
      <x:c r="P506" t="str">
        <x:f>IF(I506&gt;=70,"Yes","No")</x:f>
        <x:v>No</x:v>
      </x:c>
      <x:c r="Q506" t="str">
        <x:f>TEXT(B506,"yyyy-mm")</x:f>
        <x:v>2023-04</x:v>
      </x:c>
    </x:row>
    <x:row r="507">
      <x:c r="A507" t="str">
        <x:v>HYD03</x:v>
      </x:c>
      <x:c r="B507" s="22" t="n">
        <x:f>DATE(C507,D507,1)</x:f>
        <x:v>45047</x:v>
      </x:c>
      <x:c r="C507" t="n">
        <x:v>2023</x:v>
      </x:c>
      <x:c r="D507" t="n">
        <x:v>5</x:v>
      </x:c>
      <x:c r="E507" t="str">
        <x:f>TEXT(B507,"mmm")</x:f>
        <x:v>May</x:v>
      </x:c>
      <x:c r="F507" t="str">
        <x:f>"Q"&amp;ROUNDUP(D507/3,0)</x:f>
        <x:v>Q2</x:v>
      </x:c>
      <x:c r="G507" s="23" t="n">
        <x:v>65.08</x:v>
      </x:c>
      <x:c r="H507" s="23" t="n">
        <x:v>58.07</x:v>
      </x:c>
      <x:c r="I507" s="23" t="n">
        <x:v>61.6</x:v>
      </x:c>
      <x:c r="J507" s="23" t="n">
        <x:f>G507-H507</x:f>
        <x:v>7.009999999999998</x:v>
      </x:c>
      <x:c r="K507" t="str">
        <x:v>HINDCAST</x:v>
      </x:c>
      <x:c r="L507" s="24" t="n">
        <x:v>17.4948</x:v>
      </x:c>
      <x:c r="M507" s="24" t="n">
        <x:v>78.3927</x:v>
      </x:c>
      <x:c r="N507" t="str">
        <x:f>IF(I507&gt;70,"70+ dB",IF(I507&gt;55,"56-70 dB","41-55 dB"))</x:f>
        <x:v>56-70 dB</x:v>
      </x:c>
      <x:c r="O507" t="str">
        <x:f>IF(I507&gt;70,"High",IF(I507&gt;55,"Moderate","Low"))</x:f>
        <x:v>Moderate</x:v>
      </x:c>
      <x:c r="P507" t="str">
        <x:f>IF(I507&gt;=70,"Yes","No")</x:f>
        <x:v>No</x:v>
      </x:c>
      <x:c r="Q507" t="str">
        <x:f>TEXT(B507,"yyyy-mm")</x:f>
        <x:v>2023-05</x:v>
      </x:c>
    </x:row>
    <x:row r="508">
      <x:c r="A508" t="str">
        <x:v>HYD03</x:v>
      </x:c>
      <x:c r="B508" s="22" t="n">
        <x:f>DATE(C508,D508,1)</x:f>
        <x:v>45078</x:v>
      </x:c>
      <x:c r="C508" t="n">
        <x:v>2023</x:v>
      </x:c>
      <x:c r="D508" t="n">
        <x:v>6</x:v>
      </x:c>
      <x:c r="E508" t="str">
        <x:f>TEXT(B508,"mmm")</x:f>
        <x:v>Jun</x:v>
      </x:c>
      <x:c r="F508" t="str">
        <x:f>"Q"&amp;ROUNDUP(D508/3,0)</x:f>
        <x:v>Q2</x:v>
      </x:c>
      <x:c r="G508" s="23" t="n">
        <x:v>65.22</x:v>
      </x:c>
      <x:c r="H508" s="23" t="n">
        <x:v>59.43</x:v>
      </x:c>
      <x:c r="I508" s="23" t="n">
        <x:v>62.3</x:v>
      </x:c>
      <x:c r="J508" s="23" t="n">
        <x:f>G508-H508</x:f>
        <x:v>5.789999999999999</x:v>
      </x:c>
      <x:c r="K508" t="str">
        <x:v>HINDCAST</x:v>
      </x:c>
      <x:c r="L508" s="24" t="n">
        <x:v>17.4948</x:v>
      </x:c>
      <x:c r="M508" s="24" t="n">
        <x:v>78.3927</x:v>
      </x:c>
      <x:c r="N508" t="str">
        <x:f>IF(I508&gt;70,"70+ dB",IF(I508&gt;55,"56-70 dB","41-55 dB"))</x:f>
        <x:v>56-70 dB</x:v>
      </x:c>
      <x:c r="O508" t="str">
        <x:f>IF(I508&gt;70,"High",IF(I508&gt;55,"Moderate","Low"))</x:f>
        <x:v>Moderate</x:v>
      </x:c>
      <x:c r="P508" t="str">
        <x:f>IF(I508&gt;=70,"Yes","No")</x:f>
        <x:v>No</x:v>
      </x:c>
      <x:c r="Q508" t="str">
        <x:f>TEXT(B508,"yyyy-mm")</x:f>
        <x:v>2023-06</x:v>
      </x:c>
    </x:row>
    <x:row r="509">
      <x:c r="A509" t="str">
        <x:v>HYD03</x:v>
      </x:c>
      <x:c r="B509" s="22" t="n">
        <x:f>DATE(C509,D509,1)</x:f>
        <x:v>45108</x:v>
      </x:c>
      <x:c r="C509" t="n">
        <x:v>2023</x:v>
      </x:c>
      <x:c r="D509" t="n">
        <x:v>7</x:v>
      </x:c>
      <x:c r="E509" t="str">
        <x:f>TEXT(B509,"mmm")</x:f>
        <x:v>Jul</x:v>
      </x:c>
      <x:c r="F509" t="str">
        <x:f>"Q"&amp;ROUNDUP(D509/3,0)</x:f>
        <x:v>Q3</x:v>
      </x:c>
      <x:c r="G509" s="23" t="n">
        <x:v>65.38</x:v>
      </x:c>
      <x:c r="H509" s="23" t="n">
        <x:v>59.04</x:v>
      </x:c>
      <x:c r="I509" s="23" t="n">
        <x:v>62.2</x:v>
      </x:c>
      <x:c r="J509" s="23" t="n">
        <x:f>G509-H509</x:f>
        <x:v>6.339999999999996</x:v>
      </x:c>
      <x:c r="K509" t="str">
        <x:v>HINDCAST</x:v>
      </x:c>
      <x:c r="L509" s="24" t="n">
        <x:v>17.4948</x:v>
      </x:c>
      <x:c r="M509" s="24" t="n">
        <x:v>78.3927</x:v>
      </x:c>
      <x:c r="N509" t="str">
        <x:f>IF(I509&gt;70,"70+ dB",IF(I509&gt;55,"56-70 dB","41-55 dB"))</x:f>
        <x:v>56-70 dB</x:v>
      </x:c>
      <x:c r="O509" t="str">
        <x:f>IF(I509&gt;70,"High",IF(I509&gt;55,"Moderate","Low"))</x:f>
        <x:v>Moderate</x:v>
      </x:c>
      <x:c r="P509" t="str">
        <x:f>IF(I509&gt;=70,"Yes","No")</x:f>
        <x:v>No</x:v>
      </x:c>
      <x:c r="Q509" t="str">
        <x:f>TEXT(B509,"yyyy-mm")</x:f>
        <x:v>2023-07</x:v>
      </x:c>
    </x:row>
    <x:row r="510">
      <x:c r="A510" t="str">
        <x:v>HYD03</x:v>
      </x:c>
      <x:c r="B510" s="22" t="n">
        <x:f>DATE(C510,D510,1)</x:f>
        <x:v>45139</x:v>
      </x:c>
      <x:c r="C510" t="n">
        <x:v>2023</x:v>
      </x:c>
      <x:c r="D510" t="n">
        <x:v>8</x:v>
      </x:c>
      <x:c r="E510" t="str">
        <x:f>TEXT(B510,"mmm")</x:f>
        <x:v>Aug</x:v>
      </x:c>
      <x:c r="F510" t="str">
        <x:f>"Q"&amp;ROUNDUP(D510/3,0)</x:f>
        <x:v>Q3</x:v>
      </x:c>
      <x:c r="G510" s="23" t="n">
        <x:v>65.09</x:v>
      </x:c>
      <x:c r="H510" s="23" t="n">
        <x:v>58.04</x:v>
      </x:c>
      <x:c r="I510" s="23" t="n">
        <x:v>61.6</x:v>
      </x:c>
      <x:c r="J510" s="23" t="n">
        <x:f>G510-H510</x:f>
        <x:v>7.050000000000004</x:v>
      </x:c>
      <x:c r="K510" t="str">
        <x:v>HINDCAST</x:v>
      </x:c>
      <x:c r="L510" s="24" t="n">
        <x:v>17.4948</x:v>
      </x:c>
      <x:c r="M510" s="24" t="n">
        <x:v>78.3927</x:v>
      </x:c>
      <x:c r="N510" t="str">
        <x:f>IF(I510&gt;70,"70+ dB",IF(I510&gt;55,"56-70 dB","41-55 dB"))</x:f>
        <x:v>56-70 dB</x:v>
      </x:c>
      <x:c r="O510" t="str">
        <x:f>IF(I510&gt;70,"High",IF(I510&gt;55,"Moderate","Low"))</x:f>
        <x:v>Moderate</x:v>
      </x:c>
      <x:c r="P510" t="str">
        <x:f>IF(I510&gt;=70,"Yes","No")</x:f>
        <x:v>No</x:v>
      </x:c>
      <x:c r="Q510" t="str">
        <x:f>TEXT(B510,"yyyy-mm")</x:f>
        <x:v>2023-08</x:v>
      </x:c>
    </x:row>
    <x:row r="511">
      <x:c r="A511" t="str">
        <x:v>HYD03</x:v>
      </x:c>
      <x:c r="B511" s="22" t="n">
        <x:f>DATE(C511,D511,1)</x:f>
        <x:v>45170</x:v>
      </x:c>
      <x:c r="C511" t="n">
        <x:v>2023</x:v>
      </x:c>
      <x:c r="D511" t="n">
        <x:v>9</x:v>
      </x:c>
      <x:c r="E511" t="str">
        <x:f>TEXT(B511,"mmm")</x:f>
        <x:v>Sep</x:v>
      </x:c>
      <x:c r="F511" t="str">
        <x:f>"Q"&amp;ROUNDUP(D511/3,0)</x:f>
        <x:v>Q3</x:v>
      </x:c>
      <x:c r="G511" s="23" t="n">
        <x:v>65.01</x:v>
      </x:c>
      <x:c r="H511" s="23" t="n">
        <x:v>57.54</x:v>
      </x:c>
      <x:c r="I511" s="23" t="n">
        <x:v>61.3</x:v>
      </x:c>
      <x:c r="J511" s="23" t="n">
        <x:f>G511-H511</x:f>
        <x:v>7.470000000000006</x:v>
      </x:c>
      <x:c r="K511" t="str">
        <x:v>HINDCAST</x:v>
      </x:c>
      <x:c r="L511" s="24" t="n">
        <x:v>17.4948</x:v>
      </x:c>
      <x:c r="M511" s="24" t="n">
        <x:v>78.3927</x:v>
      </x:c>
      <x:c r="N511" t="str">
        <x:f>IF(I511&gt;70,"70+ dB",IF(I511&gt;55,"56-70 dB","41-55 dB"))</x:f>
        <x:v>56-70 dB</x:v>
      </x:c>
      <x:c r="O511" t="str">
        <x:f>IF(I511&gt;70,"High",IF(I511&gt;55,"Moderate","Low"))</x:f>
        <x:v>Moderate</x:v>
      </x:c>
      <x:c r="P511" t="str">
        <x:f>IF(I511&gt;=70,"Yes","No")</x:f>
        <x:v>No</x:v>
      </x:c>
      <x:c r="Q511" t="str">
        <x:f>TEXT(B511,"yyyy-mm")</x:f>
        <x:v>2023-09</x:v>
      </x:c>
    </x:row>
    <x:row r="512">
      <x:c r="A512" t="str">
        <x:v>HYD03</x:v>
      </x:c>
      <x:c r="B512" s="22" t="n">
        <x:f>DATE(C512,D512,1)</x:f>
        <x:v>45200</x:v>
      </x:c>
      <x:c r="C512" t="n">
        <x:v>2023</x:v>
      </x:c>
      <x:c r="D512" t="n">
        <x:v>10</x:v>
      </x:c>
      <x:c r="E512" t="str">
        <x:f>TEXT(B512,"mmm")</x:f>
        <x:v>Oct</x:v>
      </x:c>
      <x:c r="F512" t="str">
        <x:f>"Q"&amp;ROUNDUP(D512/3,0)</x:f>
        <x:v>Q4</x:v>
      </x:c>
      <x:c r="G512" s="23" t="n">
        <x:v>64.31</x:v>
      </x:c>
      <x:c r="H512" s="23" t="n">
        <x:v>57.04</x:v>
      </x:c>
      <x:c r="I512" s="23" t="n">
        <x:v>60.7</x:v>
      </x:c>
      <x:c r="J512" s="23" t="n">
        <x:f>G512-H512</x:f>
        <x:v>7.270000000000003</x:v>
      </x:c>
      <x:c r="K512" t="str">
        <x:v>HINDCAST</x:v>
      </x:c>
      <x:c r="L512" s="24" t="n">
        <x:v>17.4948</x:v>
      </x:c>
      <x:c r="M512" s="24" t="n">
        <x:v>78.3927</x:v>
      </x:c>
      <x:c r="N512" t="str">
        <x:f>IF(I512&gt;70,"70+ dB",IF(I512&gt;55,"56-70 dB","41-55 dB"))</x:f>
        <x:v>56-70 dB</x:v>
      </x:c>
      <x:c r="O512" t="str">
        <x:f>IF(I512&gt;70,"High",IF(I512&gt;55,"Moderate","Low"))</x:f>
        <x:v>Moderate</x:v>
      </x:c>
      <x:c r="P512" t="str">
        <x:f>IF(I512&gt;=70,"Yes","No")</x:f>
        <x:v>No</x:v>
      </x:c>
      <x:c r="Q512" t="str">
        <x:f>TEXT(B512,"yyyy-mm")</x:f>
        <x:v>2023-10</x:v>
      </x:c>
    </x:row>
    <x:row r="513">
      <x:c r="A513" t="str">
        <x:v>HYD03</x:v>
      </x:c>
      <x:c r="B513" s="22" t="n">
        <x:f>DATE(C513,D513,1)</x:f>
        <x:v>45231</x:v>
      </x:c>
      <x:c r="C513" t="n">
        <x:v>2023</x:v>
      </x:c>
      <x:c r="D513" t="n">
        <x:v>11</x:v>
      </x:c>
      <x:c r="E513" t="str">
        <x:f>TEXT(B513,"mmm")</x:f>
        <x:v>Nov</x:v>
      </x:c>
      <x:c r="F513" t="str">
        <x:f>"Q"&amp;ROUNDUP(D513/3,0)</x:f>
        <x:v>Q4</x:v>
      </x:c>
      <x:c r="G513" s="23" t="n">
        <x:v>63.67</x:v>
      </x:c>
      <x:c r="H513" s="23" t="n">
        <x:v>56.04</x:v>
      </x:c>
      <x:c r="I513" s="23" t="n">
        <x:v>59.9</x:v>
      </x:c>
      <x:c r="J513" s="23" t="n">
        <x:f>G513-H513</x:f>
        <x:v>7.630000000000003</x:v>
      </x:c>
      <x:c r="K513" t="str">
        <x:v>HINDCAST</x:v>
      </x:c>
      <x:c r="L513" s="24" t="n">
        <x:v>17.4948</x:v>
      </x:c>
      <x:c r="M513" s="24" t="n">
        <x:v>78.3927</x:v>
      </x:c>
      <x:c r="N513" t="str">
        <x:f>IF(I513&gt;70,"70+ dB",IF(I513&gt;55,"56-70 dB","41-55 dB"))</x:f>
        <x:v>56-70 dB</x:v>
      </x:c>
      <x:c r="O513" t="str">
        <x:f>IF(I513&gt;70,"High",IF(I513&gt;55,"Moderate","Low"))</x:f>
        <x:v>Moderate</x:v>
      </x:c>
      <x:c r="P513" t="str">
        <x:f>IF(I513&gt;=70,"Yes","No")</x:f>
        <x:v>No</x:v>
      </x:c>
      <x:c r="Q513" t="str">
        <x:f>TEXT(B513,"yyyy-mm")</x:f>
        <x:v>2023-11</x:v>
      </x:c>
    </x:row>
    <x:row r="514">
      <x:c r="A514" t="str">
        <x:v>HYD03</x:v>
      </x:c>
      <x:c r="B514" s="22" t="n">
        <x:f>DATE(C514,D514,1)</x:f>
        <x:v>45261</x:v>
      </x:c>
      <x:c r="C514" t="n">
        <x:v>2023</x:v>
      </x:c>
      <x:c r="D514" t="n">
        <x:v>12</x:v>
      </x:c>
      <x:c r="E514" t="str">
        <x:f>TEXT(B514,"mmm")</x:f>
        <x:v>Dec</x:v>
      </x:c>
      <x:c r="F514" t="str">
        <x:f>"Q"&amp;ROUNDUP(D514/3,0)</x:f>
        <x:v>Q4</x:v>
      </x:c>
      <x:c r="G514" s="23" t="n">
        <x:v>63.95</x:v>
      </x:c>
      <x:c r="H514" s="23" t="n">
        <x:v>56.16</x:v>
      </x:c>
      <x:c r="I514" s="23" t="n">
        <x:v>60.1</x:v>
      </x:c>
      <x:c r="J514" s="23" t="n">
        <x:f>G514-H514</x:f>
        <x:v>7.790000000000006</x:v>
      </x:c>
      <x:c r="K514" t="str">
        <x:v>HINDCAST</x:v>
      </x:c>
      <x:c r="L514" s="24" t="n">
        <x:v>17.4948</x:v>
      </x:c>
      <x:c r="M514" s="24" t="n">
        <x:v>78.3927</x:v>
      </x:c>
      <x:c r="N514" t="str">
        <x:f>IF(I514&gt;70,"70+ dB",IF(I514&gt;55,"56-70 dB","41-55 dB"))</x:f>
        <x:v>56-70 dB</x:v>
      </x:c>
      <x:c r="O514" t="str">
        <x:f>IF(I514&gt;70,"High",IF(I514&gt;55,"Moderate","Low"))</x:f>
        <x:v>Moderate</x:v>
      </x:c>
      <x:c r="P514" t="str">
        <x:f>IF(I514&gt;=70,"Yes","No")</x:f>
        <x:v>No</x:v>
      </x:c>
      <x:c r="Q514" t="str">
        <x:f>TEXT(B514,"yyyy-mm")</x:f>
        <x:v>2023-12</x:v>
      </x:c>
    </x:row>
    <x:row r="515">
      <x:c r="A515" t="str">
        <x:v>HYD03</x:v>
      </x:c>
      <x:c r="B515" s="22" t="n">
        <x:f>DATE(C515,D515,1)</x:f>
        <x:v>45292</x:v>
      </x:c>
      <x:c r="C515" t="n">
        <x:v>2024</x:v>
      </x:c>
      <x:c r="D515" t="n">
        <x:v>1</x:v>
      </x:c>
      <x:c r="E515" t="str">
        <x:f>TEXT(B515,"mmm")</x:f>
        <x:v>Jan</x:v>
      </x:c>
      <x:c r="F515" t="str">
        <x:f>"Q"&amp;ROUNDUP(D515/3,0)</x:f>
        <x:v>Q1</x:v>
      </x:c>
      <x:c r="G515" s="23" t="n">
        <x:v>65.2</x:v>
      </x:c>
      <x:c r="H515" s="23" t="n">
        <x:v>57.88</x:v>
      </x:c>
      <x:c r="I515" s="23" t="n">
        <x:v>61.5</x:v>
      </x:c>
      <x:c r="J515" s="23" t="n">
        <x:f>G515-H515</x:f>
        <x:v>7.32</x:v>
      </x:c>
      <x:c r="K515" t="str">
        <x:v>HINDCAST</x:v>
      </x:c>
      <x:c r="L515" s="24" t="n">
        <x:v>17.4948</x:v>
      </x:c>
      <x:c r="M515" s="24" t="n">
        <x:v>78.3927</x:v>
      </x:c>
      <x:c r="N515" t="str">
        <x:f>IF(I515&gt;70,"70+ dB",IF(I515&gt;55,"56-70 dB","41-55 dB"))</x:f>
        <x:v>56-70 dB</x:v>
      </x:c>
      <x:c r="O515" t="str">
        <x:f>IF(I515&gt;70,"High",IF(I515&gt;55,"Moderate","Low"))</x:f>
        <x:v>Moderate</x:v>
      </x:c>
      <x:c r="P515" t="str">
        <x:f>IF(I515&gt;=70,"Yes","No")</x:f>
        <x:v>No</x:v>
      </x:c>
      <x:c r="Q515" t="str">
        <x:f>TEXT(B515,"yyyy-mm")</x:f>
        <x:v>2024-01</x:v>
      </x:c>
    </x:row>
    <x:row r="516">
      <x:c r="A516" t="str">
        <x:v>HYD03</x:v>
      </x:c>
      <x:c r="B516" s="22" t="n">
        <x:f>DATE(C516,D516,1)</x:f>
        <x:v>45323</x:v>
      </x:c>
      <x:c r="C516" t="n">
        <x:v>2024</x:v>
      </x:c>
      <x:c r="D516" t="n">
        <x:v>2</x:v>
      </x:c>
      <x:c r="E516" t="str">
        <x:f>TEXT(B516,"mmm")</x:f>
        <x:v>Feb</x:v>
      </x:c>
      <x:c r="F516" t="str">
        <x:f>"Q"&amp;ROUNDUP(D516/3,0)</x:f>
        <x:v>Q1</x:v>
      </x:c>
      <x:c r="G516" s="23" t="n">
        <x:v>65.68</x:v>
      </x:c>
      <x:c r="H516" s="23" t="n">
        <x:v>58.31</x:v>
      </x:c>
      <x:c r="I516" s="23" t="n">
        <x:v>62</x:v>
      </x:c>
      <x:c r="J516" s="23" t="n">
        <x:f>G516-H516</x:f>
        <x:v>7.3700000000000045</x:v>
      </x:c>
      <x:c r="K516" t="str">
        <x:v>HINDCAST</x:v>
      </x:c>
      <x:c r="L516" s="24" t="n">
        <x:v>17.4948</x:v>
      </x:c>
      <x:c r="M516" s="24" t="n">
        <x:v>78.3927</x:v>
      </x:c>
      <x:c r="N516" t="str">
        <x:f>IF(I516&gt;70,"70+ dB",IF(I516&gt;55,"56-70 dB","41-55 dB"))</x:f>
        <x:v>56-70 dB</x:v>
      </x:c>
      <x:c r="O516" t="str">
        <x:f>IF(I516&gt;70,"High",IF(I516&gt;55,"Moderate","Low"))</x:f>
        <x:v>Moderate</x:v>
      </x:c>
      <x:c r="P516" t="str">
        <x:f>IF(I516&gt;=70,"Yes","No")</x:f>
        <x:v>No</x:v>
      </x:c>
      <x:c r="Q516" t="str">
        <x:f>TEXT(B516,"yyyy-mm")</x:f>
        <x:v>2024-02</x:v>
      </x:c>
    </x:row>
    <x:row r="517">
      <x:c r="A517" t="str">
        <x:v>HYD03</x:v>
      </x:c>
      <x:c r="B517" s="22" t="n">
        <x:f>DATE(C517,D517,1)</x:f>
        <x:v>45352</x:v>
      </x:c>
      <x:c r="C517" t="n">
        <x:v>2024</x:v>
      </x:c>
      <x:c r="D517" t="n">
        <x:v>3</x:v>
      </x:c>
      <x:c r="E517" t="str">
        <x:f>TEXT(B517,"mmm")</x:f>
        <x:v>Mar</x:v>
      </x:c>
      <x:c r="F517" t="str">
        <x:f>"Q"&amp;ROUNDUP(D517/3,0)</x:f>
        <x:v>Q1</x:v>
      </x:c>
      <x:c r="G517" s="23" t="n">
        <x:v>65.69</x:v>
      </x:c>
      <x:c r="H517" s="23" t="n">
        <x:v>58.16</x:v>
      </x:c>
      <x:c r="I517" s="23" t="n">
        <x:v>61.9</x:v>
      </x:c>
      <x:c r="J517" s="23" t="n">
        <x:f>G517-H517</x:f>
        <x:v>7.530000000000001</x:v>
      </x:c>
      <x:c r="K517" t="str">
        <x:v>HINDCAST</x:v>
      </x:c>
      <x:c r="L517" s="24" t="n">
        <x:v>17.4948</x:v>
      </x:c>
      <x:c r="M517" s="24" t="n">
        <x:v>78.3927</x:v>
      </x:c>
      <x:c r="N517" t="str">
        <x:f>IF(I517&gt;70,"70+ dB",IF(I517&gt;55,"56-70 dB","41-55 dB"))</x:f>
        <x:v>56-70 dB</x:v>
      </x:c>
      <x:c r="O517" t="str">
        <x:f>IF(I517&gt;70,"High",IF(I517&gt;55,"Moderate","Low"))</x:f>
        <x:v>Moderate</x:v>
      </x:c>
      <x:c r="P517" t="str">
        <x:f>IF(I517&gt;=70,"Yes","No")</x:f>
        <x:v>No</x:v>
      </x:c>
      <x:c r="Q517" t="str">
        <x:f>TEXT(B517,"yyyy-mm")</x:f>
        <x:v>2024-03</x:v>
      </x:c>
    </x:row>
    <x:row r="518">
      <x:c r="A518" t="str">
        <x:v>HYD03</x:v>
      </x:c>
      <x:c r="B518" s="22" t="n">
        <x:f>DATE(C518,D518,1)</x:f>
        <x:v>45383</x:v>
      </x:c>
      <x:c r="C518" t="n">
        <x:v>2024</x:v>
      </x:c>
      <x:c r="D518" t="n">
        <x:v>4</x:v>
      </x:c>
      <x:c r="E518" t="str">
        <x:f>TEXT(B518,"mmm")</x:f>
        <x:v>Apr</x:v>
      </x:c>
      <x:c r="F518" t="str">
        <x:f>"Q"&amp;ROUNDUP(D518/3,0)</x:f>
        <x:v>Q2</x:v>
      </x:c>
      <x:c r="G518" s="23" t="n">
        <x:v>65.69</x:v>
      </x:c>
      <x:c r="H518" s="23" t="n">
        <x:v>58.42</x:v>
      </x:c>
      <x:c r="I518" s="23" t="n">
        <x:v>62.1</x:v>
      </x:c>
      <x:c r="J518" s="23" t="n">
        <x:f>G518-H518</x:f>
        <x:v>7.269999999999996</x:v>
      </x:c>
      <x:c r="K518" t="str">
        <x:v>HINDCAST</x:v>
      </x:c>
      <x:c r="L518" s="24" t="n">
        <x:v>17.4948</x:v>
      </x:c>
      <x:c r="M518" s="24" t="n">
        <x:v>78.3927</x:v>
      </x:c>
      <x:c r="N518" t="str">
        <x:f>IF(I518&gt;70,"70+ dB",IF(I518&gt;55,"56-70 dB","41-55 dB"))</x:f>
        <x:v>56-70 dB</x:v>
      </x:c>
      <x:c r="O518" t="str">
        <x:f>IF(I518&gt;70,"High",IF(I518&gt;55,"Moderate","Low"))</x:f>
        <x:v>Moderate</x:v>
      </x:c>
      <x:c r="P518" t="str">
        <x:f>IF(I518&gt;=70,"Yes","No")</x:f>
        <x:v>No</x:v>
      </x:c>
      <x:c r="Q518" t="str">
        <x:f>TEXT(B518,"yyyy-mm")</x:f>
        <x:v>2024-04</x:v>
      </x:c>
    </x:row>
    <x:row r="519">
      <x:c r="A519" t="str">
        <x:v>HYD03</x:v>
      </x:c>
      <x:c r="B519" s="22" t="n">
        <x:f>DATE(C519,D519,1)</x:f>
        <x:v>45413</x:v>
      </x:c>
      <x:c r="C519" t="n">
        <x:v>2024</x:v>
      </x:c>
      <x:c r="D519" t="n">
        <x:v>5</x:v>
      </x:c>
      <x:c r="E519" t="str">
        <x:f>TEXT(B519,"mmm")</x:f>
        <x:v>May</x:v>
      </x:c>
      <x:c r="F519" t="str">
        <x:f>"Q"&amp;ROUNDUP(D519/3,0)</x:f>
        <x:v>Q2</x:v>
      </x:c>
      <x:c r="G519" s="23" t="n">
        <x:v>65.96</x:v>
      </x:c>
      <x:c r="H519" s="23" t="n">
        <x:v>58.5</x:v>
      </x:c>
      <x:c r="I519" s="23" t="n">
        <x:v>62.2</x:v>
      </x:c>
      <x:c r="J519" s="23" t="n">
        <x:f>G519-H519</x:f>
        <x:v>7.459999999999994</x:v>
      </x:c>
      <x:c r="K519" t="str">
        <x:v>HINDCAST</x:v>
      </x:c>
      <x:c r="L519" s="24" t="n">
        <x:v>17.4948</x:v>
      </x:c>
      <x:c r="M519" s="24" t="n">
        <x:v>78.3927</x:v>
      </x:c>
      <x:c r="N519" t="str">
        <x:f>IF(I519&gt;70,"70+ dB",IF(I519&gt;55,"56-70 dB","41-55 dB"))</x:f>
        <x:v>56-70 dB</x:v>
      </x:c>
      <x:c r="O519" t="str">
        <x:f>IF(I519&gt;70,"High",IF(I519&gt;55,"Moderate","Low"))</x:f>
        <x:v>Moderate</x:v>
      </x:c>
      <x:c r="P519" t="str">
        <x:f>IF(I519&gt;=70,"Yes","No")</x:f>
        <x:v>No</x:v>
      </x:c>
      <x:c r="Q519" t="str">
        <x:f>TEXT(B519,"yyyy-mm")</x:f>
        <x:v>2024-05</x:v>
      </x:c>
    </x:row>
    <x:row r="520">
      <x:c r="A520" t="str">
        <x:v>HYD03</x:v>
      </x:c>
      <x:c r="B520" s="22" t="n">
        <x:f>DATE(C520,D520,1)</x:f>
        <x:v>45444</x:v>
      </x:c>
      <x:c r="C520" t="n">
        <x:v>2024</x:v>
      </x:c>
      <x:c r="D520" t="n">
        <x:v>6</x:v>
      </x:c>
      <x:c r="E520" t="str">
        <x:f>TEXT(B520,"mmm")</x:f>
        <x:v>Jun</x:v>
      </x:c>
      <x:c r="F520" t="str">
        <x:f>"Q"&amp;ROUNDUP(D520/3,0)</x:f>
        <x:v>Q2</x:v>
      </x:c>
      <x:c r="G520" s="23" t="n">
        <x:v>66.1</x:v>
      </x:c>
      <x:c r="H520" s="23" t="n">
        <x:v>59.85</x:v>
      </x:c>
      <x:c r="I520" s="23" t="n">
        <x:v>63</x:v>
      </x:c>
      <x:c r="J520" s="23" t="n">
        <x:f>G520-H520</x:f>
        <x:v>6.249999999999993</x:v>
      </x:c>
      <x:c r="K520" t="str">
        <x:v>HINDCAST</x:v>
      </x:c>
      <x:c r="L520" s="24" t="n">
        <x:v>17.4948</x:v>
      </x:c>
      <x:c r="M520" s="24" t="n">
        <x:v>78.3927</x:v>
      </x:c>
      <x:c r="N520" t="str">
        <x:f>IF(I520&gt;70,"70+ dB",IF(I520&gt;55,"56-70 dB","41-55 dB"))</x:f>
        <x:v>56-70 dB</x:v>
      </x:c>
      <x:c r="O520" t="str">
        <x:f>IF(I520&gt;70,"High",IF(I520&gt;55,"Moderate","Low"))</x:f>
        <x:v>Moderate</x:v>
      </x:c>
      <x:c r="P520" t="str">
        <x:f>IF(I520&gt;=70,"Yes","No")</x:f>
        <x:v>No</x:v>
      </x:c>
      <x:c r="Q520" t="str">
        <x:f>TEXT(B520,"yyyy-mm")</x:f>
        <x:v>2024-06</x:v>
      </x:c>
    </x:row>
    <x:row r="521">
      <x:c r="A521" t="str">
        <x:v>HYD03</x:v>
      </x:c>
      <x:c r="B521" s="22" t="n">
        <x:f>DATE(C521,D521,1)</x:f>
        <x:v>45474</x:v>
      </x:c>
      <x:c r="C521" t="n">
        <x:v>2024</x:v>
      </x:c>
      <x:c r="D521" t="n">
        <x:v>7</x:v>
      </x:c>
      <x:c r="E521" t="str">
        <x:f>TEXT(B521,"mmm")</x:f>
        <x:v>Jul</x:v>
      </x:c>
      <x:c r="F521" t="str">
        <x:f>"Q"&amp;ROUNDUP(D521/3,0)</x:f>
        <x:v>Q3</x:v>
      </x:c>
      <x:c r="G521" s="23" t="n">
        <x:v>66.26</x:v>
      </x:c>
      <x:c r="H521" s="23" t="n">
        <x:v>59.47</x:v>
      </x:c>
      <x:c r="I521" s="23" t="n">
        <x:v>62.9</x:v>
      </x:c>
      <x:c r="J521" s="23" t="n">
        <x:f>G521-H521</x:f>
        <x:v>6.790000000000006</x:v>
      </x:c>
      <x:c r="K521" t="str">
        <x:v>HINDCAST</x:v>
      </x:c>
      <x:c r="L521" s="24" t="n">
        <x:v>17.4948</x:v>
      </x:c>
      <x:c r="M521" s="24" t="n">
        <x:v>78.3927</x:v>
      </x:c>
      <x:c r="N521" t="str">
        <x:f>IF(I521&gt;70,"70+ dB",IF(I521&gt;55,"56-70 dB","41-55 dB"))</x:f>
        <x:v>56-70 dB</x:v>
      </x:c>
      <x:c r="O521" t="str">
        <x:f>IF(I521&gt;70,"High",IF(I521&gt;55,"Moderate","Low"))</x:f>
        <x:v>Moderate</x:v>
      </x:c>
      <x:c r="P521" t="str">
        <x:f>IF(I521&gt;=70,"Yes","No")</x:f>
        <x:v>No</x:v>
      </x:c>
      <x:c r="Q521" t="str">
        <x:f>TEXT(B521,"yyyy-mm")</x:f>
        <x:v>2024-07</x:v>
      </x:c>
    </x:row>
    <x:row r="522">
      <x:c r="A522" t="str">
        <x:v>HYD03</x:v>
      </x:c>
      <x:c r="B522" s="22" t="n">
        <x:f>DATE(C522,D522,1)</x:f>
        <x:v>45505</x:v>
      </x:c>
      <x:c r="C522" t="n">
        <x:v>2024</x:v>
      </x:c>
      <x:c r="D522" t="n">
        <x:v>8</x:v>
      </x:c>
      <x:c r="E522" t="str">
        <x:f>TEXT(B522,"mmm")</x:f>
        <x:v>Aug</x:v>
      </x:c>
      <x:c r="F522" t="str">
        <x:f>"Q"&amp;ROUNDUP(D522/3,0)</x:f>
        <x:v>Q3</x:v>
      </x:c>
      <x:c r="G522" s="23" t="n">
        <x:v>65.97</x:v>
      </x:c>
      <x:c r="H522" s="23" t="n">
        <x:v>58.47</x:v>
      </x:c>
      <x:c r="I522" s="23" t="n">
        <x:v>62.2</x:v>
      </x:c>
      <x:c r="J522" s="23" t="n">
        <x:f>G522-H522</x:f>
        <x:v>7.5</x:v>
      </x:c>
      <x:c r="K522" t="str">
        <x:v>HINDCAST</x:v>
      </x:c>
      <x:c r="L522" s="24" t="n">
        <x:v>17.4948</x:v>
      </x:c>
      <x:c r="M522" s="24" t="n">
        <x:v>78.3927</x:v>
      </x:c>
      <x:c r="N522" t="str">
        <x:f>IF(I522&gt;70,"70+ dB",IF(I522&gt;55,"56-70 dB","41-55 dB"))</x:f>
        <x:v>56-70 dB</x:v>
      </x:c>
      <x:c r="O522" t="str">
        <x:f>IF(I522&gt;70,"High",IF(I522&gt;55,"Moderate","Low"))</x:f>
        <x:v>Moderate</x:v>
      </x:c>
      <x:c r="P522" t="str">
        <x:f>IF(I522&gt;=70,"Yes","No")</x:f>
        <x:v>No</x:v>
      </x:c>
      <x:c r="Q522" t="str">
        <x:f>TEXT(B522,"yyyy-mm")</x:f>
        <x:v>2024-08</x:v>
      </x:c>
    </x:row>
    <x:row r="523">
      <x:c r="A523" t="str">
        <x:v>HYD03</x:v>
      </x:c>
      <x:c r="B523" s="22" t="n">
        <x:f>DATE(C523,D523,1)</x:f>
        <x:v>45536</x:v>
      </x:c>
      <x:c r="C523" t="n">
        <x:v>2024</x:v>
      </x:c>
      <x:c r="D523" t="n">
        <x:v>9</x:v>
      </x:c>
      <x:c r="E523" t="str">
        <x:f>TEXT(B523,"mmm")</x:f>
        <x:v>Sep</x:v>
      </x:c>
      <x:c r="F523" t="str">
        <x:f>"Q"&amp;ROUNDUP(D523/3,0)</x:f>
        <x:v>Q3</x:v>
      </x:c>
      <x:c r="G523" s="23" t="n">
        <x:v>65.89</x:v>
      </x:c>
      <x:c r="H523" s="23" t="n">
        <x:v>57.96</x:v>
      </x:c>
      <x:c r="I523" s="23" t="n">
        <x:v>61.9</x:v>
      </x:c>
      <x:c r="J523" s="23" t="n">
        <x:f>G523-H523</x:f>
        <x:v>7.93</x:v>
      </x:c>
      <x:c r="K523" t="str">
        <x:v>HINDCAST</x:v>
      </x:c>
      <x:c r="L523" s="24" t="n">
        <x:v>17.4948</x:v>
      </x:c>
      <x:c r="M523" s="24" t="n">
        <x:v>78.3927</x:v>
      </x:c>
      <x:c r="N523" t="str">
        <x:f>IF(I523&gt;70,"70+ dB",IF(I523&gt;55,"56-70 dB","41-55 dB"))</x:f>
        <x:v>56-70 dB</x:v>
      </x:c>
      <x:c r="O523" t="str">
        <x:f>IF(I523&gt;70,"High",IF(I523&gt;55,"Moderate","Low"))</x:f>
        <x:v>Moderate</x:v>
      </x:c>
      <x:c r="P523" t="str">
        <x:f>IF(I523&gt;=70,"Yes","No")</x:f>
        <x:v>No</x:v>
      </x:c>
      <x:c r="Q523" t="str">
        <x:f>TEXT(B523,"yyyy-mm")</x:f>
        <x:v>2024-09</x:v>
      </x:c>
    </x:row>
    <x:row r="524">
      <x:c r="A524" t="str">
        <x:v>HYD03</x:v>
      </x:c>
      <x:c r="B524" s="22" t="n">
        <x:f>DATE(C524,D524,1)</x:f>
        <x:v>45566</x:v>
      </x:c>
      <x:c r="C524" t="n">
        <x:v>2024</x:v>
      </x:c>
      <x:c r="D524" t="n">
        <x:v>10</x:v>
      </x:c>
      <x:c r="E524" t="str">
        <x:f>TEXT(B524,"mmm")</x:f>
        <x:v>Oct</x:v>
      </x:c>
      <x:c r="F524" t="str">
        <x:f>"Q"&amp;ROUNDUP(D524/3,0)</x:f>
        <x:v>Q4</x:v>
      </x:c>
      <x:c r="G524" s="23" t="n">
        <x:v>65.19</x:v>
      </x:c>
      <x:c r="H524" s="23" t="n">
        <x:v>57.46</x:v>
      </x:c>
      <x:c r="I524" s="23" t="n">
        <x:v>61.3</x:v>
      </x:c>
      <x:c r="J524" s="23" t="n">
        <x:f>G524-H524</x:f>
        <x:v>7.729999999999997</x:v>
      </x:c>
      <x:c r="K524" t="str">
        <x:v>HINDCAST</x:v>
      </x:c>
      <x:c r="L524" s="24" t="n">
        <x:v>17.4948</x:v>
      </x:c>
      <x:c r="M524" s="24" t="n">
        <x:v>78.3927</x:v>
      </x:c>
      <x:c r="N524" t="str">
        <x:f>IF(I524&gt;70,"70+ dB",IF(I524&gt;55,"56-70 dB","41-55 dB"))</x:f>
        <x:v>56-70 dB</x:v>
      </x:c>
      <x:c r="O524" t="str">
        <x:f>IF(I524&gt;70,"High",IF(I524&gt;55,"Moderate","Low"))</x:f>
        <x:v>Moderate</x:v>
      </x:c>
      <x:c r="P524" t="str">
        <x:f>IF(I524&gt;=70,"Yes","No")</x:f>
        <x:v>No</x:v>
      </x:c>
      <x:c r="Q524" t="str">
        <x:f>TEXT(B524,"yyyy-mm")</x:f>
        <x:v>2024-10</x:v>
      </x:c>
    </x:row>
    <x:row r="525">
      <x:c r="A525" t="str">
        <x:v>HYD03</x:v>
      </x:c>
      <x:c r="B525" s="22" t="n">
        <x:f>DATE(C525,D525,1)</x:f>
        <x:v>45597</x:v>
      </x:c>
      <x:c r="C525" t="n">
        <x:v>2024</x:v>
      </x:c>
      <x:c r="D525" t="n">
        <x:v>11</x:v>
      </x:c>
      <x:c r="E525" t="str">
        <x:f>TEXT(B525,"mmm")</x:f>
        <x:v>Nov</x:v>
      </x:c>
      <x:c r="F525" t="str">
        <x:f>"Q"&amp;ROUNDUP(D525/3,0)</x:f>
        <x:v>Q4</x:v>
      </x:c>
      <x:c r="G525" s="23" t="n">
        <x:v>64.55</x:v>
      </x:c>
      <x:c r="H525" s="23" t="n">
        <x:v>56.46</x:v>
      </x:c>
      <x:c r="I525" s="23" t="n">
        <x:v>60.5</x:v>
      </x:c>
      <x:c r="J525" s="23" t="n">
        <x:f>G525-H525</x:f>
        <x:v>8.089999999999996</x:v>
      </x:c>
      <x:c r="K525" t="str">
        <x:v>HINDCAST</x:v>
      </x:c>
      <x:c r="L525" s="24" t="n">
        <x:v>17.4948</x:v>
      </x:c>
      <x:c r="M525" s="24" t="n">
        <x:v>78.3927</x:v>
      </x:c>
      <x:c r="N525" t="str">
        <x:f>IF(I525&gt;70,"70+ dB",IF(I525&gt;55,"56-70 dB","41-55 dB"))</x:f>
        <x:v>56-70 dB</x:v>
      </x:c>
      <x:c r="O525" t="str">
        <x:f>IF(I525&gt;70,"High",IF(I525&gt;55,"Moderate","Low"))</x:f>
        <x:v>Moderate</x:v>
      </x:c>
      <x:c r="P525" t="str">
        <x:f>IF(I525&gt;=70,"Yes","No")</x:f>
        <x:v>No</x:v>
      </x:c>
      <x:c r="Q525" t="str">
        <x:f>TEXT(B525,"yyyy-mm")</x:f>
        <x:v>2024-11</x:v>
      </x:c>
    </x:row>
    <x:row r="526">
      <x:c r="A526" t="str">
        <x:v>HYD03</x:v>
      </x:c>
      <x:c r="B526" s="22" t="n">
        <x:f>DATE(C526,D526,1)</x:f>
        <x:v>45627</x:v>
      </x:c>
      <x:c r="C526" t="n">
        <x:v>2024</x:v>
      </x:c>
      <x:c r="D526" t="n">
        <x:v>12</x:v>
      </x:c>
      <x:c r="E526" t="str">
        <x:f>TEXT(B526,"mmm")</x:f>
        <x:v>Dec</x:v>
      </x:c>
      <x:c r="F526" t="str">
        <x:f>"Q"&amp;ROUNDUP(D526/3,0)</x:f>
        <x:v>Q4</x:v>
      </x:c>
      <x:c r="G526" s="23" t="n">
        <x:v>64.84</x:v>
      </x:c>
      <x:c r="H526" s="23" t="n">
        <x:v>56.59</x:v>
      </x:c>
      <x:c r="I526" s="23" t="n">
        <x:v>60.7</x:v>
      </x:c>
      <x:c r="J526" s="23" t="n">
        <x:f>G526-H526</x:f>
        <x:v>8.25</x:v>
      </x:c>
      <x:c r="K526" t="str">
        <x:v>HINDCAST</x:v>
      </x:c>
      <x:c r="L526" s="24" t="n">
        <x:v>17.4948</x:v>
      </x:c>
      <x:c r="M526" s="24" t="n">
        <x:v>78.3927</x:v>
      </x:c>
      <x:c r="N526" t="str">
        <x:f>IF(I526&gt;70,"70+ dB",IF(I526&gt;55,"56-70 dB","41-55 dB"))</x:f>
        <x:v>56-70 dB</x:v>
      </x:c>
      <x:c r="O526" t="str">
        <x:f>IF(I526&gt;70,"High",IF(I526&gt;55,"Moderate","Low"))</x:f>
        <x:v>Moderate</x:v>
      </x:c>
      <x:c r="P526" t="str">
        <x:f>IF(I526&gt;=70,"Yes","No")</x:f>
        <x:v>No</x:v>
      </x:c>
      <x:c r="Q526" t="str">
        <x:f>TEXT(B526,"yyyy-mm")</x:f>
        <x:v>2024-12</x:v>
      </x:c>
    </x:row>
    <x:row r="527">
      <x:c r="A527" t="str">
        <x:v>HYD03</x:v>
      </x:c>
      <x:c r="B527" s="22" t="n">
        <x:f>DATE(C527,D527,1)</x:f>
        <x:v>45658</x:v>
      </x:c>
      <x:c r="C527" t="n">
        <x:v>2025</x:v>
      </x:c>
      <x:c r="D527" t="n">
        <x:v>1</x:v>
      </x:c>
      <x:c r="E527" t="str">
        <x:f>TEXT(B527,"mmm")</x:f>
        <x:v>Jan</x:v>
      </x:c>
      <x:c r="F527" t="str">
        <x:f>"Q"&amp;ROUNDUP(D527/3,0)</x:f>
        <x:v>Q1</x:v>
      </x:c>
      <x:c r="G527" s="23" t="n">
        <x:v>66.08</x:v>
      </x:c>
      <x:c r="H527" s="23" t="n">
        <x:v>58.31</x:v>
      </x:c>
      <x:c r="I527" s="23" t="n">
        <x:v>62.2</x:v>
      </x:c>
      <x:c r="J527" s="23" t="n">
        <x:f>G527-H527</x:f>
        <x:v>7.769999999999996</x:v>
      </x:c>
      <x:c r="K527" t="str">
        <x:v>HINDCAST</x:v>
      </x:c>
      <x:c r="L527" s="24" t="n">
        <x:v>17.4948</x:v>
      </x:c>
      <x:c r="M527" s="24" t="n">
        <x:v>78.3927</x:v>
      </x:c>
      <x:c r="N527" t="str">
        <x:f>IF(I527&gt;70,"70+ dB",IF(I527&gt;55,"56-70 dB","41-55 dB"))</x:f>
        <x:v>56-70 dB</x:v>
      </x:c>
      <x:c r="O527" t="str">
        <x:f>IF(I527&gt;70,"High",IF(I527&gt;55,"Moderate","Low"))</x:f>
        <x:v>Moderate</x:v>
      </x:c>
      <x:c r="P527" t="str">
        <x:f>IF(I527&gt;=70,"Yes","No")</x:f>
        <x:v>No</x:v>
      </x:c>
      <x:c r="Q527" t="str">
        <x:f>TEXT(B527,"yyyy-mm")</x:f>
        <x:v>2025-01</x:v>
      </x:c>
    </x:row>
    <x:row r="528">
      <x:c r="A528" t="str">
        <x:v>HYD03</x:v>
      </x:c>
      <x:c r="B528" s="22" t="n">
        <x:f>DATE(C528,D528,1)</x:f>
        <x:v>45689</x:v>
      </x:c>
      <x:c r="C528" t="n">
        <x:v>2025</x:v>
      </x:c>
      <x:c r="D528" t="n">
        <x:v>2</x:v>
      </x:c>
      <x:c r="E528" t="str">
        <x:f>TEXT(B528,"mmm")</x:f>
        <x:v>Feb</x:v>
      </x:c>
      <x:c r="F528" t="str">
        <x:f>"Q"&amp;ROUNDUP(D528/3,0)</x:f>
        <x:v>Q1</x:v>
      </x:c>
      <x:c r="G528" s="23" t="n">
        <x:v>66.56</x:v>
      </x:c>
      <x:c r="H528" s="23" t="n">
        <x:v>58.74</x:v>
      </x:c>
      <x:c r="I528" s="23" t="n">
        <x:v>62.6</x:v>
      </x:c>
      <x:c r="J528" s="23" t="n">
        <x:f>G528-H528</x:f>
        <x:v>7.82</x:v>
      </x:c>
      <x:c r="K528" t="str">
        <x:v>HINDCAST</x:v>
      </x:c>
      <x:c r="L528" s="24" t="n">
        <x:v>17.4948</x:v>
      </x:c>
      <x:c r="M528" s="24" t="n">
        <x:v>78.3927</x:v>
      </x:c>
      <x:c r="N528" t="str">
        <x:f>IF(I528&gt;70,"70+ dB",IF(I528&gt;55,"56-70 dB","41-55 dB"))</x:f>
        <x:v>56-70 dB</x:v>
      </x:c>
      <x:c r="O528" t="str">
        <x:f>IF(I528&gt;70,"High",IF(I528&gt;55,"Moderate","Low"))</x:f>
        <x:v>Moderate</x:v>
      </x:c>
      <x:c r="P528" t="str">
        <x:f>IF(I528&gt;=70,"Yes","No")</x:f>
        <x:v>No</x:v>
      </x:c>
      <x:c r="Q528" t="str">
        <x:f>TEXT(B528,"yyyy-mm")</x:f>
        <x:v>2025-02</x:v>
      </x:c>
    </x:row>
    <x:row r="529">
      <x:c r="A529" t="str">
        <x:v>HYD03</x:v>
      </x:c>
      <x:c r="B529" s="22" t="n">
        <x:f>DATE(C529,D529,1)</x:f>
        <x:v>45717</x:v>
      </x:c>
      <x:c r="C529" t="n">
        <x:v>2025</x:v>
      </x:c>
      <x:c r="D529" t="n">
        <x:v>3</x:v>
      </x:c>
      <x:c r="E529" t="str">
        <x:f>TEXT(B529,"mmm")</x:f>
        <x:v>Mar</x:v>
      </x:c>
      <x:c r="F529" t="str">
        <x:f>"Q"&amp;ROUNDUP(D529/3,0)</x:f>
        <x:v>Q1</x:v>
      </x:c>
      <x:c r="G529" s="23" t="n">
        <x:v>66.57</x:v>
      </x:c>
      <x:c r="H529" s="23" t="n">
        <x:v>58.59</x:v>
      </x:c>
      <x:c r="I529" s="23" t="n">
        <x:v>62.6</x:v>
      </x:c>
      <x:c r="J529" s="23" t="n">
        <x:f>G529-H529</x:f>
        <x:v>7.97999999999999</x:v>
      </x:c>
      <x:c r="K529" t="str">
        <x:v>HINDCAST</x:v>
      </x:c>
      <x:c r="L529" s="24" t="n">
        <x:v>17.4948</x:v>
      </x:c>
      <x:c r="M529" s="24" t="n">
        <x:v>78.3927</x:v>
      </x:c>
      <x:c r="N529" t="str">
        <x:f>IF(I529&gt;70,"70+ dB",IF(I529&gt;55,"56-70 dB","41-55 dB"))</x:f>
        <x:v>56-70 dB</x:v>
      </x:c>
      <x:c r="O529" t="str">
        <x:f>IF(I529&gt;70,"High",IF(I529&gt;55,"Moderate","Low"))</x:f>
        <x:v>Moderate</x:v>
      </x:c>
      <x:c r="P529" t="str">
        <x:f>IF(I529&gt;=70,"Yes","No")</x:f>
        <x:v>No</x:v>
      </x:c>
      <x:c r="Q529" t="str">
        <x:f>TEXT(B529,"yyyy-mm")</x:f>
        <x:v>2025-03</x:v>
      </x:c>
    </x:row>
    <x:row r="530">
      <x:c r="A530" t="str">
        <x:v>HYD03</x:v>
      </x:c>
      <x:c r="B530" s="22" t="n">
        <x:f>DATE(C530,D530,1)</x:f>
        <x:v>45748</x:v>
      </x:c>
      <x:c r="C530" t="n">
        <x:v>2025</x:v>
      </x:c>
      <x:c r="D530" t="n">
        <x:v>4</x:v>
      </x:c>
      <x:c r="E530" t="str">
        <x:f>TEXT(B530,"mmm")</x:f>
        <x:v>Apr</x:v>
      </x:c>
      <x:c r="F530" t="str">
        <x:f>"Q"&amp;ROUNDUP(D530/3,0)</x:f>
        <x:v>Q2</x:v>
      </x:c>
      <x:c r="G530" s="23" t="n">
        <x:v>66.57</x:v>
      </x:c>
      <x:c r="H530" s="23" t="n">
        <x:v>58.85</x:v>
      </x:c>
      <x:c r="I530" s="23" t="n">
        <x:v>62.7</x:v>
      </x:c>
      <x:c r="J530" s="23" t="n">
        <x:f>G530-H530</x:f>
        <x:v>7.719999999999992</x:v>
      </x:c>
      <x:c r="K530" t="str">
        <x:v>HINDCAST</x:v>
      </x:c>
      <x:c r="L530" s="24" t="n">
        <x:v>17.4948</x:v>
      </x:c>
      <x:c r="M530" s="24" t="n">
        <x:v>78.3927</x:v>
      </x:c>
      <x:c r="N530" t="str">
        <x:f>IF(I530&gt;70,"70+ dB",IF(I530&gt;55,"56-70 dB","41-55 dB"))</x:f>
        <x:v>56-70 dB</x:v>
      </x:c>
      <x:c r="O530" t="str">
        <x:f>IF(I530&gt;70,"High",IF(I530&gt;55,"Moderate","Low"))</x:f>
        <x:v>Moderate</x:v>
      </x:c>
      <x:c r="P530" t="str">
        <x:f>IF(I530&gt;=70,"Yes","No")</x:f>
        <x:v>No</x:v>
      </x:c>
      <x:c r="Q530" t="str">
        <x:f>TEXT(B530,"yyyy-mm")</x:f>
        <x:v>2025-04</x:v>
      </x:c>
    </x:row>
    <x:row r="531">
      <x:c r="A531" t="str">
        <x:v>HYD03</x:v>
      </x:c>
      <x:c r="B531" s="22" t="n">
        <x:f>DATE(C531,D531,1)</x:f>
        <x:v>45778</x:v>
      </x:c>
      <x:c r="C531" t="n">
        <x:v>2025</x:v>
      </x:c>
      <x:c r="D531" t="n">
        <x:v>5</x:v>
      </x:c>
      <x:c r="E531" t="str">
        <x:f>TEXT(B531,"mmm")</x:f>
        <x:v>May</x:v>
      </x:c>
      <x:c r="F531" t="str">
        <x:f>"Q"&amp;ROUNDUP(D531/3,0)</x:f>
        <x:v>Q2</x:v>
      </x:c>
      <x:c r="G531" s="23" t="n">
        <x:v>66.84</x:v>
      </x:c>
      <x:c r="H531" s="23" t="n">
        <x:v>58.93</x:v>
      </x:c>
      <x:c r="I531" s="23" t="n">
        <x:v>62.9</x:v>
      </x:c>
      <x:c r="J531" s="23" t="n">
        <x:f>G531-H531</x:f>
        <x:v>7.910000000000004</x:v>
      </x:c>
      <x:c r="K531" t="str">
        <x:v>HINDCAST</x:v>
      </x:c>
      <x:c r="L531" s="24" t="n">
        <x:v>17.4948</x:v>
      </x:c>
      <x:c r="M531" s="24" t="n">
        <x:v>78.3927</x:v>
      </x:c>
      <x:c r="N531" t="str">
        <x:f>IF(I531&gt;70,"70+ dB",IF(I531&gt;55,"56-70 dB","41-55 dB"))</x:f>
        <x:v>56-70 dB</x:v>
      </x:c>
      <x:c r="O531" t="str">
        <x:f>IF(I531&gt;70,"High",IF(I531&gt;55,"Moderate","Low"))</x:f>
        <x:v>Moderate</x:v>
      </x:c>
      <x:c r="P531" t="str">
        <x:f>IF(I531&gt;=70,"Yes","No")</x:f>
        <x:v>No</x:v>
      </x:c>
      <x:c r="Q531" t="str">
        <x:f>TEXT(B531,"yyyy-mm")</x:f>
        <x:v>2025-05</x:v>
      </x:c>
    </x:row>
    <x:row r="532">
      <x:c r="A532" t="str">
        <x:v>HYD03</x:v>
      </x:c>
      <x:c r="B532" s="22" t="n">
        <x:f>DATE(C532,D532,1)</x:f>
        <x:v>45809</x:v>
      </x:c>
      <x:c r="C532" t="n">
        <x:v>2025</x:v>
      </x:c>
      <x:c r="D532" t="n">
        <x:v>6</x:v>
      </x:c>
      <x:c r="E532" t="str">
        <x:f>TEXT(B532,"mmm")</x:f>
        <x:v>Jun</x:v>
      </x:c>
      <x:c r="F532" t="str">
        <x:f>"Q"&amp;ROUNDUP(D532/3,0)</x:f>
        <x:v>Q2</x:v>
      </x:c>
      <x:c r="G532" s="23" t="n">
        <x:v>66.98</x:v>
      </x:c>
      <x:c r="H532" s="23" t="n">
        <x:v>60.28</x:v>
      </x:c>
      <x:c r="I532" s="23" t="n">
        <x:v>63.6</x:v>
      </x:c>
      <x:c r="J532" s="23" t="n">
        <x:f>G532-H532</x:f>
        <x:v>6.700000000000003</x:v>
      </x:c>
      <x:c r="K532" t="str">
        <x:v>HINDCAST</x:v>
      </x:c>
      <x:c r="L532" s="24" t="n">
        <x:v>17.4948</x:v>
      </x:c>
      <x:c r="M532" s="24" t="n">
        <x:v>78.3927</x:v>
      </x:c>
      <x:c r="N532" t="str">
        <x:f>IF(I532&gt;70,"70+ dB",IF(I532&gt;55,"56-70 dB","41-55 dB"))</x:f>
        <x:v>56-70 dB</x:v>
      </x:c>
      <x:c r="O532" t="str">
        <x:f>IF(I532&gt;70,"High",IF(I532&gt;55,"Moderate","Low"))</x:f>
        <x:v>Moderate</x:v>
      </x:c>
      <x:c r="P532" t="str">
        <x:f>IF(I532&gt;=70,"Yes","No")</x:f>
        <x:v>No</x:v>
      </x:c>
      <x:c r="Q532" t="str">
        <x:f>TEXT(B532,"yyyy-mm")</x:f>
        <x:v>2025-06</x:v>
      </x:c>
    </x:row>
    <x:row r="533">
      <x:c r="A533" t="str">
        <x:v>HYD03</x:v>
      </x:c>
      <x:c r="B533" s="22" t="n">
        <x:f>DATE(C533,D533,1)</x:f>
        <x:v>45839</x:v>
      </x:c>
      <x:c r="C533" t="n">
        <x:v>2025</x:v>
      </x:c>
      <x:c r="D533" t="n">
        <x:v>7</x:v>
      </x:c>
      <x:c r="E533" t="str">
        <x:f>TEXT(B533,"mmm")</x:f>
        <x:v>Jul</x:v>
      </x:c>
      <x:c r="F533" t="str">
        <x:f>"Q"&amp;ROUNDUP(D533/3,0)</x:f>
        <x:v>Q3</x:v>
      </x:c>
      <x:c r="G533" s="23" t="n">
        <x:v>67.14</x:v>
      </x:c>
      <x:c r="H533" s="23" t="n">
        <x:v>59.9</x:v>
      </x:c>
      <x:c r="I533" s="23" t="n">
        <x:v>63.5</x:v>
      </x:c>
      <x:c r="J533" s="23" t="n">
        <x:f>G533-H533</x:f>
        <x:v>7.240000000000002</x:v>
      </x:c>
      <x:c r="K533" t="str">
        <x:v>HINDCAST</x:v>
      </x:c>
      <x:c r="L533" s="24" t="n">
        <x:v>17.4948</x:v>
      </x:c>
      <x:c r="M533" s="24" t="n">
        <x:v>78.3927</x:v>
      </x:c>
      <x:c r="N533" t="str">
        <x:f>IF(I533&gt;70,"70+ dB",IF(I533&gt;55,"56-70 dB","41-55 dB"))</x:f>
        <x:v>56-70 dB</x:v>
      </x:c>
      <x:c r="O533" t="str">
        <x:f>IF(I533&gt;70,"High",IF(I533&gt;55,"Moderate","Low"))</x:f>
        <x:v>Moderate</x:v>
      </x:c>
      <x:c r="P533" t="str">
        <x:f>IF(I533&gt;=70,"Yes","No")</x:f>
        <x:v>No</x:v>
      </x:c>
      <x:c r="Q533" t="str">
        <x:f>TEXT(B533,"yyyy-mm")</x:f>
        <x:v>2025-07</x:v>
      </x:c>
    </x:row>
    <x:row r="534">
      <x:c r="A534" t="str">
        <x:v>HYD03</x:v>
      </x:c>
      <x:c r="B534" s="22" t="n">
        <x:f>DATE(C534,D534,1)</x:f>
        <x:v>45870</x:v>
      </x:c>
      <x:c r="C534" t="n">
        <x:v>2025</x:v>
      </x:c>
      <x:c r="D534" t="n">
        <x:v>8</x:v>
      </x:c>
      <x:c r="E534" t="str">
        <x:f>TEXT(B534,"mmm")</x:f>
        <x:v>Aug</x:v>
      </x:c>
      <x:c r="F534" t="str">
        <x:f>"Q"&amp;ROUNDUP(D534/3,0)</x:f>
        <x:v>Q3</x:v>
      </x:c>
      <x:c r="G534" s="23" t="n">
        <x:v>66.85</x:v>
      </x:c>
      <x:c r="H534" s="23" t="n">
        <x:v>58.89</x:v>
      </x:c>
      <x:c r="I534" s="23" t="n">
        <x:v>62.9</x:v>
      </x:c>
      <x:c r="J534" s="23" t="n">
        <x:f>G534-H534</x:f>
        <x:v>7.959999999999994</x:v>
      </x:c>
      <x:c r="K534" t="str">
        <x:v>HINDCAST</x:v>
      </x:c>
      <x:c r="L534" s="24" t="n">
        <x:v>17.4948</x:v>
      </x:c>
      <x:c r="M534" s="24" t="n">
        <x:v>78.3927</x:v>
      </x:c>
      <x:c r="N534" t="str">
        <x:f>IF(I534&gt;70,"70+ dB",IF(I534&gt;55,"56-70 dB","41-55 dB"))</x:f>
        <x:v>56-70 dB</x:v>
      </x:c>
      <x:c r="O534" t="str">
        <x:f>IF(I534&gt;70,"High",IF(I534&gt;55,"Moderate","Low"))</x:f>
        <x:v>Moderate</x:v>
      </x:c>
      <x:c r="P534" t="str">
        <x:f>IF(I534&gt;=70,"Yes","No")</x:f>
        <x:v>No</x:v>
      </x:c>
      <x:c r="Q534" t="str">
        <x:f>TEXT(B534,"yyyy-mm")</x:f>
        <x:v>2025-08</x:v>
      </x:c>
    </x:row>
    <x:row r="535">
      <x:c r="A535" t="str">
        <x:v>HYD03</x:v>
      </x:c>
      <x:c r="B535" s="22" t="n">
        <x:f>DATE(C535,D535,1)</x:f>
        <x:v>45901</x:v>
      </x:c>
      <x:c r="C535" t="n">
        <x:v>2025</x:v>
      </x:c>
      <x:c r="D535" t="n">
        <x:v>9</x:v>
      </x:c>
      <x:c r="E535" t="str">
        <x:f>TEXT(B535,"mmm")</x:f>
        <x:v>Sep</x:v>
      </x:c>
      <x:c r="F535" t="str">
        <x:f>"Q"&amp;ROUNDUP(D535/3,0)</x:f>
        <x:v>Q3</x:v>
      </x:c>
      <x:c r="G535" s="23" t="n">
        <x:v>66.77</x:v>
      </x:c>
      <x:c r="H535" s="23" t="n">
        <x:v>58.39</x:v>
      </x:c>
      <x:c r="I535" s="23" t="n">
        <x:v>62.6</x:v>
      </x:c>
      <x:c r="J535" s="23" t="n">
        <x:f>G535-H535</x:f>
        <x:v>8.379999999999995</x:v>
      </x:c>
      <x:c r="K535" t="str">
        <x:v>HINDCAST</x:v>
      </x:c>
      <x:c r="L535" s="24" t="n">
        <x:v>17.4948</x:v>
      </x:c>
      <x:c r="M535" s="24" t="n">
        <x:v>78.3927</x:v>
      </x:c>
      <x:c r="N535" t="str">
        <x:f>IF(I535&gt;70,"70+ dB",IF(I535&gt;55,"56-70 dB","41-55 dB"))</x:f>
        <x:v>56-70 dB</x:v>
      </x:c>
      <x:c r="O535" t="str">
        <x:f>IF(I535&gt;70,"High",IF(I535&gt;55,"Moderate","Low"))</x:f>
        <x:v>Moderate</x:v>
      </x:c>
      <x:c r="P535" t="str">
        <x:f>IF(I535&gt;=70,"Yes","No")</x:f>
        <x:v>No</x:v>
      </x:c>
      <x:c r="Q535" t="str">
        <x:f>TEXT(B535,"yyyy-mm")</x:f>
        <x:v>2025-09</x:v>
      </x:c>
    </x:row>
    <x:row r="536">
      <x:c r="A536" t="str">
        <x:v>HYD03</x:v>
      </x:c>
      <x:c r="B536" s="22" t="n">
        <x:f>DATE(C536,D536,1)</x:f>
        <x:v>45931</x:v>
      </x:c>
      <x:c r="C536" t="n">
        <x:v>2025</x:v>
      </x:c>
      <x:c r="D536" t="n">
        <x:v>10</x:v>
      </x:c>
      <x:c r="E536" t="str">
        <x:f>TEXT(B536,"mmm")</x:f>
        <x:v>Oct</x:v>
      </x:c>
      <x:c r="F536" t="str">
        <x:f>"Q"&amp;ROUNDUP(D536/3,0)</x:f>
        <x:v>Q4</x:v>
      </x:c>
      <x:c r="G536" s="23" t="n">
        <x:v>66.07</x:v>
      </x:c>
      <x:c r="H536" s="23" t="n">
        <x:v>57.89</x:v>
      </x:c>
      <x:c r="I536" s="23" t="n">
        <x:v>62</x:v>
      </x:c>
      <x:c r="J536" s="23" t="n">
        <x:f>G536-H536</x:f>
        <x:v>8.179999999999993</x:v>
      </x:c>
      <x:c r="K536" t="str">
        <x:v>HINDCAST</x:v>
      </x:c>
      <x:c r="L536" s="24" t="n">
        <x:v>17.4948</x:v>
      </x:c>
      <x:c r="M536" s="24" t="n">
        <x:v>78.3927</x:v>
      </x:c>
      <x:c r="N536" t="str">
        <x:f>IF(I536&gt;70,"70+ dB",IF(I536&gt;55,"56-70 dB","41-55 dB"))</x:f>
        <x:v>56-70 dB</x:v>
      </x:c>
      <x:c r="O536" t="str">
        <x:f>IF(I536&gt;70,"High",IF(I536&gt;55,"Moderate","Low"))</x:f>
        <x:v>Moderate</x:v>
      </x:c>
      <x:c r="P536" t="str">
        <x:f>IF(I536&gt;=70,"Yes","No")</x:f>
        <x:v>No</x:v>
      </x:c>
      <x:c r="Q536" t="str">
        <x:f>TEXT(B536,"yyyy-mm")</x:f>
        <x:v>2025-10</x:v>
      </x:c>
    </x:row>
    <x:row r="537">
      <x:c r="A537" t="str">
        <x:v>HYD03</x:v>
      </x:c>
      <x:c r="B537" s="22" t="n">
        <x:f>DATE(C537,D537,1)</x:f>
        <x:v>45962</x:v>
      </x:c>
      <x:c r="C537" t="n">
        <x:v>2025</x:v>
      </x:c>
      <x:c r="D537" t="n">
        <x:v>11</x:v>
      </x:c>
      <x:c r="E537" t="str">
        <x:f>TEXT(B537,"mmm")</x:f>
        <x:v>Nov</x:v>
      </x:c>
      <x:c r="F537" t="str">
        <x:f>"Q"&amp;ROUNDUP(D537/3,0)</x:f>
        <x:v>Q4</x:v>
      </x:c>
      <x:c r="G537" s="23" t="n">
        <x:v>65.43</x:v>
      </x:c>
      <x:c r="H537" s="23" t="n">
        <x:v>56.89</x:v>
      </x:c>
      <x:c r="I537" s="23" t="n">
        <x:v>61.2</x:v>
      </x:c>
      <x:c r="J537" s="23" t="n">
        <x:f>G537-H537</x:f>
        <x:v>8.540000000000006</x:v>
      </x:c>
      <x:c r="K537" t="str">
        <x:v>HINDCAST</x:v>
      </x:c>
      <x:c r="L537" s="24" t="n">
        <x:v>17.4948</x:v>
      </x:c>
      <x:c r="M537" s="24" t="n">
        <x:v>78.3927</x:v>
      </x:c>
      <x:c r="N537" t="str">
        <x:f>IF(I537&gt;70,"70+ dB",IF(I537&gt;55,"56-70 dB","41-55 dB"))</x:f>
        <x:v>56-70 dB</x:v>
      </x:c>
      <x:c r="O537" t="str">
        <x:f>IF(I537&gt;70,"High",IF(I537&gt;55,"Moderate","Low"))</x:f>
        <x:v>Moderate</x:v>
      </x:c>
      <x:c r="P537" t="str">
        <x:f>IF(I537&gt;=70,"Yes","No")</x:f>
        <x:v>No</x:v>
      </x:c>
      <x:c r="Q537" t="str">
        <x:f>TEXT(B537,"yyyy-mm")</x:f>
        <x:v>2025-11</x:v>
      </x:c>
    </x:row>
    <x:row r="538">
      <x:c r="A538" t="str">
        <x:v>HYD03</x:v>
      </x:c>
      <x:c r="B538" s="22" t="n">
        <x:f>DATE(C538,D538,1)</x:f>
        <x:v>45992</x:v>
      </x:c>
      <x:c r="C538" t="n">
        <x:v>2025</x:v>
      </x:c>
      <x:c r="D538" t="n">
        <x:v>12</x:v>
      </x:c>
      <x:c r="E538" t="str">
        <x:f>TEXT(B538,"mmm")</x:f>
        <x:v>Dec</x:v>
      </x:c>
      <x:c r="F538" t="str">
        <x:f>"Q"&amp;ROUNDUP(D538/3,0)</x:f>
        <x:v>Q4</x:v>
      </x:c>
      <x:c r="G538" s="23" t="n">
        <x:v>65.72</x:v>
      </x:c>
      <x:c r="H538" s="23" t="n">
        <x:v>57.02</x:v>
      </x:c>
      <x:c r="I538" s="23" t="n">
        <x:v>61.4</x:v>
      </x:c>
      <x:c r="J538" s="23" t="n">
        <x:f>G538-H538</x:f>
        <x:v>8.699999999999996</x:v>
      </x:c>
      <x:c r="K538" t="str">
        <x:v>HINDCAST</x:v>
      </x:c>
      <x:c r="L538" s="24" t="n">
        <x:v>17.4948</x:v>
      </x:c>
      <x:c r="M538" s="24" t="n">
        <x:v>78.3927</x:v>
      </x:c>
      <x:c r="N538" t="str">
        <x:f>IF(I538&gt;70,"70+ dB",IF(I538&gt;55,"56-70 dB","41-55 dB"))</x:f>
        <x:v>56-70 dB</x:v>
      </x:c>
      <x:c r="O538" t="str">
        <x:f>IF(I538&gt;70,"High",IF(I538&gt;55,"Moderate","Low"))</x:f>
        <x:v>Moderate</x:v>
      </x:c>
      <x:c r="P538" t="str">
        <x:f>IF(I538&gt;=70,"Yes","No")</x:f>
        <x:v>No</x:v>
      </x:c>
      <x:c r="Q538" t="str">
        <x:f>TEXT(B538,"yyyy-mm")</x:f>
        <x:v>2025-12</x:v>
      </x:c>
    </x:row>
    <x:row r="539">
      <x:c r="A539" t="str">
        <x:v>HYD04</x:v>
      </x:c>
      <x:c r="B539" s="22" t="n">
        <x:f>DATE(C539,D539,1)</x:f>
        <x:v>40575</x:v>
      </x:c>
      <x:c r="C539" t="n">
        <x:v>2011</x:v>
      </x:c>
      <x:c r="D539" t="n">
        <x:v>2</x:v>
      </x:c>
      <x:c r="E539" t="str">
        <x:f>TEXT(B539,"mmm")</x:f>
        <x:v>Feb</x:v>
      </x:c>
      <x:c r="F539" t="str">
        <x:f>"Q"&amp;ROUNDUP(D539/3,0)</x:f>
        <x:v>Q1</x:v>
      </x:c>
      <x:c r="G539" s="23" t="n">
        <x:v>76</x:v>
      </x:c>
      <x:c r="H539" s="23" t="n">
        <x:v>71</x:v>
      </x:c>
      <x:c r="I539" s="23" t="n">
        <x:v>73.5</x:v>
      </x:c>
      <x:c r="J539" s="23" t="n">
        <x:f>G539-H539</x:f>
        <x:v>5</x:v>
      </x:c>
      <x:c r="K539" t="str">
        <x:v>OBSERVED</x:v>
      </x:c>
      <x:c r="L539" s="24" t="n">
        <x:v>17.3616</x:v>
      </x:c>
      <x:c r="M539" s="24" t="n">
        <x:v>78.4747</x:v>
      </x:c>
      <x:c r="N539" t="str">
        <x:f>IF(I539&gt;70,"70+ dB",IF(I539&gt;55,"56-70 dB","41-55 dB"))</x:f>
        <x:v>70+ dB</x:v>
      </x:c>
      <x:c r="O539" t="str">
        <x:f>IF(I539&gt;70,"High",IF(I539&gt;55,"Moderate","Low"))</x:f>
        <x:v>High</x:v>
      </x:c>
      <x:c r="P539" t="str">
        <x:f>IF(I539&gt;=70,"Yes","No")</x:f>
        <x:v>Yes</x:v>
      </x:c>
      <x:c r="Q539" t="str">
        <x:f>TEXT(B539,"yyyy-mm")</x:f>
        <x:v>2011-02</x:v>
      </x:c>
    </x:row>
    <x:row r="540">
      <x:c r="A540" t="str">
        <x:v>HYD04</x:v>
      </x:c>
      <x:c r="B540" s="22" t="n">
        <x:f>DATE(C540,D540,1)</x:f>
        <x:v>40603</x:v>
      </x:c>
      <x:c r="C540" t="n">
        <x:v>2011</x:v>
      </x:c>
      <x:c r="D540" t="n">
        <x:v>3</x:v>
      </x:c>
      <x:c r="E540" t="str">
        <x:f>TEXT(B540,"mmm")</x:f>
        <x:v>Mar</x:v>
      </x:c>
      <x:c r="F540" t="str">
        <x:f>"Q"&amp;ROUNDUP(D540/3,0)</x:f>
        <x:v>Q1</x:v>
      </x:c>
      <x:c r="G540" s="23" t="n">
        <x:v>76</x:v>
      </x:c>
      <x:c r="H540" s="23" t="n">
        <x:v>71</x:v>
      </x:c>
      <x:c r="I540" s="23" t="n">
        <x:v>73.5</x:v>
      </x:c>
      <x:c r="J540" s="23" t="n">
        <x:f>G540-H540</x:f>
        <x:v>5</x:v>
      </x:c>
      <x:c r="K540" t="str">
        <x:v>OBSERVED</x:v>
      </x:c>
      <x:c r="L540" s="24" t="n">
        <x:v>17.3616</x:v>
      </x:c>
      <x:c r="M540" s="24" t="n">
        <x:v>78.4747</x:v>
      </x:c>
      <x:c r="N540" t="str">
        <x:f>IF(I540&gt;70,"70+ dB",IF(I540&gt;55,"56-70 dB","41-55 dB"))</x:f>
        <x:v>70+ dB</x:v>
      </x:c>
      <x:c r="O540" t="str">
        <x:f>IF(I540&gt;70,"High",IF(I540&gt;55,"Moderate","Low"))</x:f>
        <x:v>High</x:v>
      </x:c>
      <x:c r="P540" t="str">
        <x:f>IF(I540&gt;=70,"Yes","No")</x:f>
        <x:v>Yes</x:v>
      </x:c>
      <x:c r="Q540" t="str">
        <x:f>TEXT(B540,"yyyy-mm")</x:f>
        <x:v>2011-03</x:v>
      </x:c>
    </x:row>
    <x:row r="541">
      <x:c r="A541" t="str">
        <x:v>HYD04</x:v>
      </x:c>
      <x:c r="B541" s="22" t="n">
        <x:f>DATE(C541,D541,1)</x:f>
        <x:v>40634</x:v>
      </x:c>
      <x:c r="C541" t="n">
        <x:v>2011</x:v>
      </x:c>
      <x:c r="D541" t="n">
        <x:v>4</x:v>
      </x:c>
      <x:c r="E541" t="str">
        <x:f>TEXT(B541,"mmm")</x:f>
        <x:v>Apr</x:v>
      </x:c>
      <x:c r="F541" t="str">
        <x:f>"Q"&amp;ROUNDUP(D541/3,0)</x:f>
        <x:v>Q2</x:v>
      </x:c>
      <x:c r="G541" s="23" t="n">
        <x:v>76</x:v>
      </x:c>
      <x:c r="H541" s="23" t="n">
        <x:v>71</x:v>
      </x:c>
      <x:c r="I541" s="23" t="n">
        <x:v>73.5</x:v>
      </x:c>
      <x:c r="J541" s="23" t="n">
        <x:f>G541-H541</x:f>
        <x:v>5</x:v>
      </x:c>
      <x:c r="K541" t="str">
        <x:v>OBSERVED</x:v>
      </x:c>
      <x:c r="L541" s="24" t="n">
        <x:v>17.3616</x:v>
      </x:c>
      <x:c r="M541" s="24" t="n">
        <x:v>78.4747</x:v>
      </x:c>
      <x:c r="N541" t="str">
        <x:f>IF(I541&gt;70,"70+ dB",IF(I541&gt;55,"56-70 dB","41-55 dB"))</x:f>
        <x:v>70+ dB</x:v>
      </x:c>
      <x:c r="O541" t="str">
        <x:f>IF(I541&gt;70,"High",IF(I541&gt;55,"Moderate","Low"))</x:f>
        <x:v>High</x:v>
      </x:c>
      <x:c r="P541" t="str">
        <x:f>IF(I541&gt;=70,"Yes","No")</x:f>
        <x:v>Yes</x:v>
      </x:c>
      <x:c r="Q541" t="str">
        <x:f>TEXT(B541,"yyyy-mm")</x:f>
        <x:v>2011-04</x:v>
      </x:c>
    </x:row>
    <x:row r="542">
      <x:c r="A542" t="str">
        <x:v>HYD04</x:v>
      </x:c>
      <x:c r="B542" s="22" t="n">
        <x:f>DATE(C542,D542,1)</x:f>
        <x:v>40664</x:v>
      </x:c>
      <x:c r="C542" t="n">
        <x:v>2011</x:v>
      </x:c>
      <x:c r="D542" t="n">
        <x:v>5</x:v>
      </x:c>
      <x:c r="E542" t="str">
        <x:f>TEXT(B542,"mmm")</x:f>
        <x:v>May</x:v>
      </x:c>
      <x:c r="F542" t="str">
        <x:f>"Q"&amp;ROUNDUP(D542/3,0)</x:f>
        <x:v>Q2</x:v>
      </x:c>
      <x:c r="G542" s="23" t="n">
        <x:v>75</x:v>
      </x:c>
      <x:c r="H542" s="23" t="n">
        <x:v>71</x:v>
      </x:c>
      <x:c r="I542" s="23" t="n">
        <x:v>73</x:v>
      </x:c>
      <x:c r="J542" s="23" t="n">
        <x:f>G542-H542</x:f>
        <x:v>4</x:v>
      </x:c>
      <x:c r="K542" t="str">
        <x:v>OBSERVED</x:v>
      </x:c>
      <x:c r="L542" s="24" t="n">
        <x:v>17.3616</x:v>
      </x:c>
      <x:c r="M542" s="24" t="n">
        <x:v>78.4747</x:v>
      </x:c>
      <x:c r="N542" t="str">
        <x:f>IF(I542&gt;70,"70+ dB",IF(I542&gt;55,"56-70 dB","41-55 dB"))</x:f>
        <x:v>70+ dB</x:v>
      </x:c>
      <x:c r="O542" t="str">
        <x:f>IF(I542&gt;70,"High",IF(I542&gt;55,"Moderate","Low"))</x:f>
        <x:v>High</x:v>
      </x:c>
      <x:c r="P542" t="str">
        <x:f>IF(I542&gt;=70,"Yes","No")</x:f>
        <x:v>Yes</x:v>
      </x:c>
      <x:c r="Q542" t="str">
        <x:f>TEXT(B542,"yyyy-mm")</x:f>
        <x:v>2011-05</x:v>
      </x:c>
    </x:row>
    <x:row r="543">
      <x:c r="A543" t="str">
        <x:v>HYD04</x:v>
      </x:c>
      <x:c r="B543" s="22" t="n">
        <x:f>DATE(C543,D543,1)</x:f>
        <x:v>40695</x:v>
      </x:c>
      <x:c r="C543" t="n">
        <x:v>2011</x:v>
      </x:c>
      <x:c r="D543" t="n">
        <x:v>6</x:v>
      </x:c>
      <x:c r="E543" t="str">
        <x:f>TEXT(B543,"mmm")</x:f>
        <x:v>Jun</x:v>
      </x:c>
      <x:c r="F543" t="str">
        <x:f>"Q"&amp;ROUNDUP(D543/3,0)</x:f>
        <x:v>Q2</x:v>
      </x:c>
      <x:c r="G543" s="23" t="n">
        <x:v>77</x:v>
      </x:c>
      <x:c r="H543" s="23" t="n">
        <x:v>73</x:v>
      </x:c>
      <x:c r="I543" s="23" t="n">
        <x:v>75</x:v>
      </x:c>
      <x:c r="J543" s="23" t="n">
        <x:f>G543-H543</x:f>
        <x:v>4</x:v>
      </x:c>
      <x:c r="K543" t="str">
        <x:v>OBSERVED</x:v>
      </x:c>
      <x:c r="L543" s="24" t="n">
        <x:v>17.3616</x:v>
      </x:c>
      <x:c r="M543" s="24" t="n">
        <x:v>78.4747</x:v>
      </x:c>
      <x:c r="N543" t="str">
        <x:f>IF(I543&gt;70,"70+ dB",IF(I543&gt;55,"56-70 dB","41-55 dB"))</x:f>
        <x:v>70+ dB</x:v>
      </x:c>
      <x:c r="O543" t="str">
        <x:f>IF(I543&gt;70,"High",IF(I543&gt;55,"Moderate","Low"))</x:f>
        <x:v>High</x:v>
      </x:c>
      <x:c r="P543" t="str">
        <x:f>IF(I543&gt;=70,"Yes","No")</x:f>
        <x:v>Yes</x:v>
      </x:c>
      <x:c r="Q543" t="str">
        <x:f>TEXT(B543,"yyyy-mm")</x:f>
        <x:v>2011-06</x:v>
      </x:c>
    </x:row>
    <x:row r="544">
      <x:c r="A544" t="str">
        <x:v>HYD04</x:v>
      </x:c>
      <x:c r="B544" s="22" t="n">
        <x:f>DATE(C544,D544,1)</x:f>
        <x:v>40725</x:v>
      </x:c>
      <x:c r="C544" t="n">
        <x:v>2011</x:v>
      </x:c>
      <x:c r="D544" t="n">
        <x:v>7</x:v>
      </x:c>
      <x:c r="E544" t="str">
        <x:f>TEXT(B544,"mmm")</x:f>
        <x:v>Jul</x:v>
      </x:c>
      <x:c r="F544" t="str">
        <x:f>"Q"&amp;ROUNDUP(D544/3,0)</x:f>
        <x:v>Q3</x:v>
      </x:c>
      <x:c r="G544" s="23" t="n">
        <x:v>77</x:v>
      </x:c>
      <x:c r="H544" s="23" t="n">
        <x:v>72</x:v>
      </x:c>
      <x:c r="I544" s="23" t="n">
        <x:v>74.5</x:v>
      </x:c>
      <x:c r="J544" s="23" t="n">
        <x:f>G544-H544</x:f>
        <x:v>5</x:v>
      </x:c>
      <x:c r="K544" t="str">
        <x:v>OBSERVED</x:v>
      </x:c>
      <x:c r="L544" s="24" t="n">
        <x:v>17.3616</x:v>
      </x:c>
      <x:c r="M544" s="24" t="n">
        <x:v>78.4747</x:v>
      </x:c>
      <x:c r="N544" t="str">
        <x:f>IF(I544&gt;70,"70+ dB",IF(I544&gt;55,"56-70 dB","41-55 dB"))</x:f>
        <x:v>70+ dB</x:v>
      </x:c>
      <x:c r="O544" t="str">
        <x:f>IF(I544&gt;70,"High",IF(I544&gt;55,"Moderate","Low"))</x:f>
        <x:v>High</x:v>
      </x:c>
      <x:c r="P544" t="str">
        <x:f>IF(I544&gt;=70,"Yes","No")</x:f>
        <x:v>Yes</x:v>
      </x:c>
      <x:c r="Q544" t="str">
        <x:f>TEXT(B544,"yyyy-mm")</x:f>
        <x:v>2011-07</x:v>
      </x:c>
    </x:row>
    <x:row r="545">
      <x:c r="A545" t="str">
        <x:v>HYD04</x:v>
      </x:c>
      <x:c r="B545" s="22" t="n">
        <x:f>DATE(C545,D545,1)</x:f>
        <x:v>40756</x:v>
      </x:c>
      <x:c r="C545" t="n">
        <x:v>2011</x:v>
      </x:c>
      <x:c r="D545" t="n">
        <x:v>8</x:v>
      </x:c>
      <x:c r="E545" t="str">
        <x:f>TEXT(B545,"mmm")</x:f>
        <x:v>Aug</x:v>
      </x:c>
      <x:c r="F545" t="str">
        <x:f>"Q"&amp;ROUNDUP(D545/3,0)</x:f>
        <x:v>Q3</x:v>
      </x:c>
      <x:c r="G545" s="23" t="n">
        <x:v>76</x:v>
      </x:c>
      <x:c r="H545" s="23" t="n">
        <x:v>71</x:v>
      </x:c>
      <x:c r="I545" s="23" t="n">
        <x:v>73.5</x:v>
      </x:c>
      <x:c r="J545" s="23" t="n">
        <x:f>G545-H545</x:f>
        <x:v>5</x:v>
      </x:c>
      <x:c r="K545" t="str">
        <x:v>OBSERVED</x:v>
      </x:c>
      <x:c r="L545" s="24" t="n">
        <x:v>17.3616</x:v>
      </x:c>
      <x:c r="M545" s="24" t="n">
        <x:v>78.4747</x:v>
      </x:c>
      <x:c r="N545" t="str">
        <x:f>IF(I545&gt;70,"70+ dB",IF(I545&gt;55,"56-70 dB","41-55 dB"))</x:f>
        <x:v>70+ dB</x:v>
      </x:c>
      <x:c r="O545" t="str">
        <x:f>IF(I545&gt;70,"High",IF(I545&gt;55,"Moderate","Low"))</x:f>
        <x:v>High</x:v>
      </x:c>
      <x:c r="P545" t="str">
        <x:f>IF(I545&gt;=70,"Yes","No")</x:f>
        <x:v>Yes</x:v>
      </x:c>
      <x:c r="Q545" t="str">
        <x:f>TEXT(B545,"yyyy-mm")</x:f>
        <x:v>2011-08</x:v>
      </x:c>
    </x:row>
    <x:row r="546">
      <x:c r="A546" t="str">
        <x:v>HYD04</x:v>
      </x:c>
      <x:c r="B546" s="22" t="n">
        <x:f>DATE(C546,D546,1)</x:f>
        <x:v>40787</x:v>
      </x:c>
      <x:c r="C546" t="n">
        <x:v>2011</x:v>
      </x:c>
      <x:c r="D546" t="n">
        <x:v>9</x:v>
      </x:c>
      <x:c r="E546" t="str">
        <x:f>TEXT(B546,"mmm")</x:f>
        <x:v>Sep</x:v>
      </x:c>
      <x:c r="F546" t="str">
        <x:f>"Q"&amp;ROUNDUP(D546/3,0)</x:f>
        <x:v>Q3</x:v>
      </x:c>
      <x:c r="G546" s="23" t="n">
        <x:v>76</x:v>
      </x:c>
      <x:c r="H546" s="23" t="n">
        <x:v>71</x:v>
      </x:c>
      <x:c r="I546" s="23" t="n">
        <x:v>73.5</x:v>
      </x:c>
      <x:c r="J546" s="23" t="n">
        <x:f>G546-H546</x:f>
        <x:v>5</x:v>
      </x:c>
      <x:c r="K546" t="str">
        <x:v>OBSERVED</x:v>
      </x:c>
      <x:c r="L546" s="24" t="n">
        <x:v>17.3616</x:v>
      </x:c>
      <x:c r="M546" s="24" t="n">
        <x:v>78.4747</x:v>
      </x:c>
      <x:c r="N546" t="str">
        <x:f>IF(I546&gt;70,"70+ dB",IF(I546&gt;55,"56-70 dB","41-55 dB"))</x:f>
        <x:v>70+ dB</x:v>
      </x:c>
      <x:c r="O546" t="str">
        <x:f>IF(I546&gt;70,"High",IF(I546&gt;55,"Moderate","Low"))</x:f>
        <x:v>High</x:v>
      </x:c>
      <x:c r="P546" t="str">
        <x:f>IF(I546&gt;=70,"Yes","No")</x:f>
        <x:v>Yes</x:v>
      </x:c>
      <x:c r="Q546" t="str">
        <x:f>TEXT(B546,"yyyy-mm")</x:f>
        <x:v>2011-09</x:v>
      </x:c>
    </x:row>
    <x:row r="547">
      <x:c r="A547" t="str">
        <x:v>HYD04</x:v>
      </x:c>
      <x:c r="B547" s="22" t="n">
        <x:f>DATE(C547,D547,1)</x:f>
        <x:v>40817</x:v>
      </x:c>
      <x:c r="C547" t="n">
        <x:v>2011</x:v>
      </x:c>
      <x:c r="D547" t="n">
        <x:v>10</x:v>
      </x:c>
      <x:c r="E547" t="str">
        <x:f>TEXT(B547,"mmm")</x:f>
        <x:v>Oct</x:v>
      </x:c>
      <x:c r="F547" t="str">
        <x:f>"Q"&amp;ROUNDUP(D547/3,0)</x:f>
        <x:v>Q4</x:v>
      </x:c>
      <x:c r="G547" s="23" t="n">
        <x:v>75</x:v>
      </x:c>
      <x:c r="H547" s="23" t="n">
        <x:v>71</x:v>
      </x:c>
      <x:c r="I547" s="23" t="n">
        <x:v>73</x:v>
      </x:c>
      <x:c r="J547" s="23" t="n">
        <x:f>G547-H547</x:f>
        <x:v>4</x:v>
      </x:c>
      <x:c r="K547" t="str">
        <x:v>OBSERVED</x:v>
      </x:c>
      <x:c r="L547" s="24" t="n">
        <x:v>17.3616</x:v>
      </x:c>
      <x:c r="M547" s="24" t="n">
        <x:v>78.4747</x:v>
      </x:c>
      <x:c r="N547" t="str">
        <x:f>IF(I547&gt;70,"70+ dB",IF(I547&gt;55,"56-70 dB","41-55 dB"))</x:f>
        <x:v>70+ dB</x:v>
      </x:c>
      <x:c r="O547" t="str">
        <x:f>IF(I547&gt;70,"High",IF(I547&gt;55,"Moderate","Low"))</x:f>
        <x:v>High</x:v>
      </x:c>
      <x:c r="P547" t="str">
        <x:f>IF(I547&gt;=70,"Yes","No")</x:f>
        <x:v>Yes</x:v>
      </x:c>
      <x:c r="Q547" t="str">
        <x:f>TEXT(B547,"yyyy-mm")</x:f>
        <x:v>2011-10</x:v>
      </x:c>
    </x:row>
    <x:row r="548">
      <x:c r="A548" t="str">
        <x:v>HYD04</x:v>
      </x:c>
      <x:c r="B548" s="22" t="n">
        <x:f>DATE(C548,D548,1)</x:f>
        <x:v>40848</x:v>
      </x:c>
      <x:c r="C548" t="n">
        <x:v>2011</x:v>
      </x:c>
      <x:c r="D548" t="n">
        <x:v>11</x:v>
      </x:c>
      <x:c r="E548" t="str">
        <x:f>TEXT(B548,"mmm")</x:f>
        <x:v>Nov</x:v>
      </x:c>
      <x:c r="F548" t="str">
        <x:f>"Q"&amp;ROUNDUP(D548/3,0)</x:f>
        <x:v>Q4</x:v>
      </x:c>
      <x:c r="G548" s="23" t="n">
        <x:v>75</x:v>
      </x:c>
      <x:c r="H548" s="23" t="n">
        <x:v>71</x:v>
      </x:c>
      <x:c r="I548" s="23" t="n">
        <x:v>73</x:v>
      </x:c>
      <x:c r="J548" s="23" t="n">
        <x:f>G548-H548</x:f>
        <x:v>4</x:v>
      </x:c>
      <x:c r="K548" t="str">
        <x:v>OBSERVED</x:v>
      </x:c>
      <x:c r="L548" s="24" t="n">
        <x:v>17.3616</x:v>
      </x:c>
      <x:c r="M548" s="24" t="n">
        <x:v>78.4747</x:v>
      </x:c>
      <x:c r="N548" t="str">
        <x:f>IF(I548&gt;70,"70+ dB",IF(I548&gt;55,"56-70 dB","41-55 dB"))</x:f>
        <x:v>70+ dB</x:v>
      </x:c>
      <x:c r="O548" t="str">
        <x:f>IF(I548&gt;70,"High",IF(I548&gt;55,"Moderate","Low"))</x:f>
        <x:v>High</x:v>
      </x:c>
      <x:c r="P548" t="str">
        <x:f>IF(I548&gt;=70,"Yes","No")</x:f>
        <x:v>Yes</x:v>
      </x:c>
      <x:c r="Q548" t="str">
        <x:f>TEXT(B548,"yyyy-mm")</x:f>
        <x:v>2011-11</x:v>
      </x:c>
    </x:row>
    <x:row r="549">
      <x:c r="A549" t="str">
        <x:v>HYD04</x:v>
      </x:c>
      <x:c r="B549" s="22" t="n">
        <x:f>DATE(C549,D549,1)</x:f>
        <x:v>40878</x:v>
      </x:c>
      <x:c r="C549" t="n">
        <x:v>2011</x:v>
      </x:c>
      <x:c r="D549" t="n">
        <x:v>12</x:v>
      </x:c>
      <x:c r="E549" t="str">
        <x:f>TEXT(B549,"mmm")</x:f>
        <x:v>Dec</x:v>
      </x:c>
      <x:c r="F549" t="str">
        <x:f>"Q"&amp;ROUNDUP(D549/3,0)</x:f>
        <x:v>Q4</x:v>
      </x:c>
      <x:c r="G549" s="23" t="n">
        <x:v>76</x:v>
      </x:c>
      <x:c r="H549" s="23" t="n">
        <x:v>69</x:v>
      </x:c>
      <x:c r="I549" s="23" t="n">
        <x:v>72.5</x:v>
      </x:c>
      <x:c r="J549" s="23" t="n">
        <x:f>G549-H549</x:f>
        <x:v>7</x:v>
      </x:c>
      <x:c r="K549" t="str">
        <x:v>OBSERVED</x:v>
      </x:c>
      <x:c r="L549" s="24" t="n">
        <x:v>17.3616</x:v>
      </x:c>
      <x:c r="M549" s="24" t="n">
        <x:v>78.4747</x:v>
      </x:c>
      <x:c r="N549" t="str">
        <x:f>IF(I549&gt;70,"70+ dB",IF(I549&gt;55,"56-70 dB","41-55 dB"))</x:f>
        <x:v>70+ dB</x:v>
      </x:c>
      <x:c r="O549" t="str">
        <x:f>IF(I549&gt;70,"High",IF(I549&gt;55,"Moderate","Low"))</x:f>
        <x:v>High</x:v>
      </x:c>
      <x:c r="P549" t="str">
        <x:f>IF(I549&gt;=70,"Yes","No")</x:f>
        <x:v>Yes</x:v>
      </x:c>
      <x:c r="Q549" t="str">
        <x:f>TEXT(B549,"yyyy-mm")</x:f>
        <x:v>2011-12</x:v>
      </x:c>
    </x:row>
    <x:row r="550">
      <x:c r="A550" t="str">
        <x:v>HYD04</x:v>
      </x:c>
      <x:c r="B550" s="22" t="n">
        <x:f>DATE(C550,D550,1)</x:f>
        <x:v>40909</x:v>
      </x:c>
      <x:c r="C550" t="n">
        <x:v>2012</x:v>
      </x:c>
      <x:c r="D550" t="n">
        <x:v>1</x:v>
      </x:c>
      <x:c r="E550" t="str">
        <x:f>TEXT(B550,"mmm")</x:f>
        <x:v>Jan</x:v>
      </x:c>
      <x:c r="F550" t="str">
        <x:f>"Q"&amp;ROUNDUP(D550/3,0)</x:f>
        <x:v>Q1</x:v>
      </x:c>
      <x:c r="G550" s="23" t="n">
        <x:v>52</x:v>
      </x:c>
      <x:c r="H550" s="23" t="n">
        <x:v>46</x:v>
      </x:c>
      <x:c r="I550" s="23" t="n">
        <x:v>49</x:v>
      </x:c>
      <x:c r="J550" s="23" t="n">
        <x:f>G550-H550</x:f>
        <x:v>6</x:v>
      </x:c>
      <x:c r="K550" t="str">
        <x:v>OBSERVED</x:v>
      </x:c>
      <x:c r="L550" s="24" t="n">
        <x:v>17.3616</x:v>
      </x:c>
      <x:c r="M550" s="24" t="n">
        <x:v>78.4747</x:v>
      </x:c>
      <x:c r="N550" t="str">
        <x:f>IF(I550&gt;70,"70+ dB",IF(I550&gt;55,"56-70 dB","41-55 dB"))</x:f>
        <x:v>41-55 dB</x:v>
      </x:c>
      <x:c r="O550" t="str">
        <x:f>IF(I550&gt;70,"High",IF(I550&gt;55,"Moderate","Low"))</x:f>
        <x:v>Low</x:v>
      </x:c>
      <x:c r="P550" t="str">
        <x:f>IF(I550&gt;=70,"Yes","No")</x:f>
        <x:v>No</x:v>
      </x:c>
      <x:c r="Q550" t="str">
        <x:f>TEXT(B550,"yyyy-mm")</x:f>
        <x:v>2012-01</x:v>
      </x:c>
    </x:row>
    <x:row r="551">
      <x:c r="A551" t="str">
        <x:v>HYD04</x:v>
      </x:c>
      <x:c r="B551" s="22" t="n">
        <x:f>DATE(C551,D551,1)</x:f>
        <x:v>40940</x:v>
      </x:c>
      <x:c r="C551" t="n">
        <x:v>2012</x:v>
      </x:c>
      <x:c r="D551" t="n">
        <x:v>2</x:v>
      </x:c>
      <x:c r="E551" t="str">
        <x:f>TEXT(B551,"mmm")</x:f>
        <x:v>Feb</x:v>
      </x:c>
      <x:c r="F551" t="str">
        <x:f>"Q"&amp;ROUNDUP(D551/3,0)</x:f>
        <x:v>Q1</x:v>
      </x:c>
      <x:c r="G551" s="23" t="n">
        <x:v>53</x:v>
      </x:c>
      <x:c r="H551" s="23" t="n">
        <x:v>48</x:v>
      </x:c>
      <x:c r="I551" s="23" t="n">
        <x:v>50.5</x:v>
      </x:c>
      <x:c r="J551" s="23" t="n">
        <x:f>G551-H551</x:f>
        <x:v>5</x:v>
      </x:c>
      <x:c r="K551" t="str">
        <x:v>OBSERVED</x:v>
      </x:c>
      <x:c r="L551" s="24" t="n">
        <x:v>17.3616</x:v>
      </x:c>
      <x:c r="M551" s="24" t="n">
        <x:v>78.4747</x:v>
      </x:c>
      <x:c r="N551" t="str">
        <x:f>IF(I551&gt;70,"70+ dB",IF(I551&gt;55,"56-70 dB","41-55 dB"))</x:f>
        <x:v>41-55 dB</x:v>
      </x:c>
      <x:c r="O551" t="str">
        <x:f>IF(I551&gt;70,"High",IF(I551&gt;55,"Moderate","Low"))</x:f>
        <x:v>Low</x:v>
      </x:c>
      <x:c r="P551" t="str">
        <x:f>IF(I551&gt;=70,"Yes","No")</x:f>
        <x:v>No</x:v>
      </x:c>
      <x:c r="Q551" t="str">
        <x:f>TEXT(B551,"yyyy-mm")</x:f>
        <x:v>2012-02</x:v>
      </x:c>
    </x:row>
    <x:row r="552">
      <x:c r="A552" t="str">
        <x:v>HYD04</x:v>
      </x:c>
      <x:c r="B552" s="22" t="n">
        <x:f>DATE(C552,D552,1)</x:f>
        <x:v>40969</x:v>
      </x:c>
      <x:c r="C552" t="n">
        <x:v>2012</x:v>
      </x:c>
      <x:c r="D552" t="n">
        <x:v>3</x:v>
      </x:c>
      <x:c r="E552" t="str">
        <x:f>TEXT(B552,"mmm")</x:f>
        <x:v>Mar</x:v>
      </x:c>
      <x:c r="F552" t="str">
        <x:f>"Q"&amp;ROUNDUP(D552/3,0)</x:f>
        <x:v>Q1</x:v>
      </x:c>
      <x:c r="G552" s="23" t="n">
        <x:v>52</x:v>
      </x:c>
      <x:c r="H552" s="23" t="n">
        <x:v>47</x:v>
      </x:c>
      <x:c r="I552" s="23" t="n">
        <x:v>49.5</x:v>
      </x:c>
      <x:c r="J552" s="23" t="n">
        <x:f>G552-H552</x:f>
        <x:v>5</x:v>
      </x:c>
      <x:c r="K552" t="str">
        <x:v>OBSERVED</x:v>
      </x:c>
      <x:c r="L552" s="24" t="n">
        <x:v>17.3616</x:v>
      </x:c>
      <x:c r="M552" s="24" t="n">
        <x:v>78.4747</x:v>
      </x:c>
      <x:c r="N552" t="str">
        <x:f>IF(I552&gt;70,"70+ dB",IF(I552&gt;55,"56-70 dB","41-55 dB"))</x:f>
        <x:v>41-55 dB</x:v>
      </x:c>
      <x:c r="O552" t="str">
        <x:f>IF(I552&gt;70,"High",IF(I552&gt;55,"Moderate","Low"))</x:f>
        <x:v>Low</x:v>
      </x:c>
      <x:c r="P552" t="str">
        <x:f>IF(I552&gt;=70,"Yes","No")</x:f>
        <x:v>No</x:v>
      </x:c>
      <x:c r="Q552" t="str">
        <x:f>TEXT(B552,"yyyy-mm")</x:f>
        <x:v>2012-03</x:v>
      </x:c>
    </x:row>
    <x:row r="553">
      <x:c r="A553" t="str">
        <x:v>HYD04</x:v>
      </x:c>
      <x:c r="B553" s="22" t="n">
        <x:f>DATE(C553,D553,1)</x:f>
        <x:v>41000</x:v>
      </x:c>
      <x:c r="C553" t="n">
        <x:v>2012</x:v>
      </x:c>
      <x:c r="D553" t="n">
        <x:v>4</x:v>
      </x:c>
      <x:c r="E553" t="str">
        <x:f>TEXT(B553,"mmm")</x:f>
        <x:v>Apr</x:v>
      </x:c>
      <x:c r="F553" t="str">
        <x:f>"Q"&amp;ROUNDUP(D553/3,0)</x:f>
        <x:v>Q2</x:v>
      </x:c>
      <x:c r="G553" s="23" t="n">
        <x:v>53</x:v>
      </x:c>
      <x:c r="H553" s="23" t="n">
        <x:v>48</x:v>
      </x:c>
      <x:c r="I553" s="23" t="n">
        <x:v>50.5</x:v>
      </x:c>
      <x:c r="J553" s="23" t="n">
        <x:f>G553-H553</x:f>
        <x:v>5</x:v>
      </x:c>
      <x:c r="K553" t="str">
        <x:v>OBSERVED</x:v>
      </x:c>
      <x:c r="L553" s="24" t="n">
        <x:v>17.3616</x:v>
      </x:c>
      <x:c r="M553" s="24" t="n">
        <x:v>78.4747</x:v>
      </x:c>
      <x:c r="N553" t="str">
        <x:f>IF(I553&gt;70,"70+ dB",IF(I553&gt;55,"56-70 dB","41-55 dB"))</x:f>
        <x:v>41-55 dB</x:v>
      </x:c>
      <x:c r="O553" t="str">
        <x:f>IF(I553&gt;70,"High",IF(I553&gt;55,"Moderate","Low"))</x:f>
        <x:v>Low</x:v>
      </x:c>
      <x:c r="P553" t="str">
        <x:f>IF(I553&gt;=70,"Yes","No")</x:f>
        <x:v>No</x:v>
      </x:c>
      <x:c r="Q553" t="str">
        <x:f>TEXT(B553,"yyyy-mm")</x:f>
        <x:v>2012-04</x:v>
      </x:c>
    </x:row>
    <x:row r="554">
      <x:c r="A554" t="str">
        <x:v>HYD04</x:v>
      </x:c>
      <x:c r="B554" s="22" t="n">
        <x:f>DATE(C554,D554,1)</x:f>
        <x:v>41030</x:v>
      </x:c>
      <x:c r="C554" t="n">
        <x:v>2012</x:v>
      </x:c>
      <x:c r="D554" t="n">
        <x:v>5</x:v>
      </x:c>
      <x:c r="E554" t="str">
        <x:f>TEXT(B554,"mmm")</x:f>
        <x:v>May</x:v>
      </x:c>
      <x:c r="F554" t="str">
        <x:f>"Q"&amp;ROUNDUP(D554/3,0)</x:f>
        <x:v>Q2</x:v>
      </x:c>
      <x:c r="G554" s="23" t="n">
        <x:v>53</x:v>
      </x:c>
      <x:c r="H554" s="23" t="n">
        <x:v>46</x:v>
      </x:c>
      <x:c r="I554" s="23" t="n">
        <x:v>49.5</x:v>
      </x:c>
      <x:c r="J554" s="23" t="n">
        <x:f>G554-H554</x:f>
        <x:v>7</x:v>
      </x:c>
      <x:c r="K554" t="str">
        <x:v>OBSERVED</x:v>
      </x:c>
      <x:c r="L554" s="24" t="n">
        <x:v>17.3616</x:v>
      </x:c>
      <x:c r="M554" s="24" t="n">
        <x:v>78.4747</x:v>
      </x:c>
      <x:c r="N554" t="str">
        <x:f>IF(I554&gt;70,"70+ dB",IF(I554&gt;55,"56-70 dB","41-55 dB"))</x:f>
        <x:v>41-55 dB</x:v>
      </x:c>
      <x:c r="O554" t="str">
        <x:f>IF(I554&gt;70,"High",IF(I554&gt;55,"Moderate","Low"))</x:f>
        <x:v>Low</x:v>
      </x:c>
      <x:c r="P554" t="str">
        <x:f>IF(I554&gt;=70,"Yes","No")</x:f>
        <x:v>No</x:v>
      </x:c>
      <x:c r="Q554" t="str">
        <x:f>TEXT(B554,"yyyy-mm")</x:f>
        <x:v>2012-05</x:v>
      </x:c>
    </x:row>
    <x:row r="555">
      <x:c r="A555" t="str">
        <x:v>HYD04</x:v>
      </x:c>
      <x:c r="B555" s="22" t="n">
        <x:f>DATE(C555,D555,1)</x:f>
        <x:v>41061</x:v>
      </x:c>
      <x:c r="C555" t="n">
        <x:v>2012</x:v>
      </x:c>
      <x:c r="D555" t="n">
        <x:v>6</x:v>
      </x:c>
      <x:c r="E555" t="str">
        <x:f>TEXT(B555,"mmm")</x:f>
        <x:v>Jun</x:v>
      </x:c>
      <x:c r="F555" t="str">
        <x:f>"Q"&amp;ROUNDUP(D555/3,0)</x:f>
        <x:v>Q2</x:v>
      </x:c>
      <x:c r="G555" s="23" t="n">
        <x:v>54</x:v>
      </x:c>
      <x:c r="H555" s="23" t="n">
        <x:v>47</x:v>
      </x:c>
      <x:c r="I555" s="23" t="n">
        <x:v>50.5</x:v>
      </x:c>
      <x:c r="J555" s="23" t="n">
        <x:f>G555-H555</x:f>
        <x:v>7</x:v>
      </x:c>
      <x:c r="K555" t="str">
        <x:v>OBSERVED</x:v>
      </x:c>
      <x:c r="L555" s="24" t="n">
        <x:v>17.3616</x:v>
      </x:c>
      <x:c r="M555" s="24" t="n">
        <x:v>78.4747</x:v>
      </x:c>
      <x:c r="N555" t="str">
        <x:f>IF(I555&gt;70,"70+ dB",IF(I555&gt;55,"56-70 dB","41-55 dB"))</x:f>
        <x:v>41-55 dB</x:v>
      </x:c>
      <x:c r="O555" t="str">
        <x:f>IF(I555&gt;70,"High",IF(I555&gt;55,"Moderate","Low"))</x:f>
        <x:v>Low</x:v>
      </x:c>
      <x:c r="P555" t="str">
        <x:f>IF(I555&gt;=70,"Yes","No")</x:f>
        <x:v>No</x:v>
      </x:c>
      <x:c r="Q555" t="str">
        <x:f>TEXT(B555,"yyyy-mm")</x:f>
        <x:v>2012-06</x:v>
      </x:c>
    </x:row>
    <x:row r="556">
      <x:c r="A556" t="str">
        <x:v>HYD04</x:v>
      </x:c>
      <x:c r="B556" s="22" t="n">
        <x:f>DATE(C556,D556,1)</x:f>
        <x:v>41091</x:v>
      </x:c>
      <x:c r="C556" t="n">
        <x:v>2012</x:v>
      </x:c>
      <x:c r="D556" t="n">
        <x:v>7</x:v>
      </x:c>
      <x:c r="E556" t="str">
        <x:f>TEXT(B556,"mmm")</x:f>
        <x:v>Jul</x:v>
      </x:c>
      <x:c r="F556" t="str">
        <x:f>"Q"&amp;ROUNDUP(D556/3,0)</x:f>
        <x:v>Q3</x:v>
      </x:c>
      <x:c r="G556" s="23" t="n">
        <x:v>54</x:v>
      </x:c>
      <x:c r="H556" s="23" t="n">
        <x:v>50</x:v>
      </x:c>
      <x:c r="I556" s="23" t="n">
        <x:v>52</x:v>
      </x:c>
      <x:c r="J556" s="23" t="n">
        <x:f>G556-H556</x:f>
        <x:v>4</x:v>
      </x:c>
      <x:c r="K556" t="str">
        <x:v>OBSERVED</x:v>
      </x:c>
      <x:c r="L556" s="24" t="n">
        <x:v>17.3616</x:v>
      </x:c>
      <x:c r="M556" s="24" t="n">
        <x:v>78.4747</x:v>
      </x:c>
      <x:c r="N556" t="str">
        <x:f>IF(I556&gt;70,"70+ dB",IF(I556&gt;55,"56-70 dB","41-55 dB"))</x:f>
        <x:v>41-55 dB</x:v>
      </x:c>
      <x:c r="O556" t="str">
        <x:f>IF(I556&gt;70,"High",IF(I556&gt;55,"Moderate","Low"))</x:f>
        <x:v>Low</x:v>
      </x:c>
      <x:c r="P556" t="str">
        <x:f>IF(I556&gt;=70,"Yes","No")</x:f>
        <x:v>No</x:v>
      </x:c>
      <x:c r="Q556" t="str">
        <x:f>TEXT(B556,"yyyy-mm")</x:f>
        <x:v>2012-07</x:v>
      </x:c>
    </x:row>
    <x:row r="557">
      <x:c r="A557" t="str">
        <x:v>HYD04</x:v>
      </x:c>
      <x:c r="B557" s="22" t="n">
        <x:f>DATE(C557,D557,1)</x:f>
        <x:v>41122</x:v>
      </x:c>
      <x:c r="C557" t="n">
        <x:v>2012</x:v>
      </x:c>
      <x:c r="D557" t="n">
        <x:v>8</x:v>
      </x:c>
      <x:c r="E557" t="str">
        <x:f>TEXT(B557,"mmm")</x:f>
        <x:v>Aug</x:v>
      </x:c>
      <x:c r="F557" t="str">
        <x:f>"Q"&amp;ROUNDUP(D557/3,0)</x:f>
        <x:v>Q3</x:v>
      </x:c>
      <x:c r="G557" s="23" t="n">
        <x:v>54</x:v>
      </x:c>
      <x:c r="H557" s="23" t="n">
        <x:v>50</x:v>
      </x:c>
      <x:c r="I557" s="23" t="n">
        <x:v>52</x:v>
      </x:c>
      <x:c r="J557" s="23" t="n">
        <x:f>G557-H557</x:f>
        <x:v>4</x:v>
      </x:c>
      <x:c r="K557" t="str">
        <x:v>OBSERVED</x:v>
      </x:c>
      <x:c r="L557" s="24" t="n">
        <x:v>17.3616</x:v>
      </x:c>
      <x:c r="M557" s="24" t="n">
        <x:v>78.4747</x:v>
      </x:c>
      <x:c r="N557" t="str">
        <x:f>IF(I557&gt;70,"70+ dB",IF(I557&gt;55,"56-70 dB","41-55 dB"))</x:f>
        <x:v>41-55 dB</x:v>
      </x:c>
      <x:c r="O557" t="str">
        <x:f>IF(I557&gt;70,"High",IF(I557&gt;55,"Moderate","Low"))</x:f>
        <x:v>Low</x:v>
      </x:c>
      <x:c r="P557" t="str">
        <x:f>IF(I557&gt;=70,"Yes","No")</x:f>
        <x:v>No</x:v>
      </x:c>
      <x:c r="Q557" t="str">
        <x:f>TEXT(B557,"yyyy-mm")</x:f>
        <x:v>2012-08</x:v>
      </x:c>
    </x:row>
    <x:row r="558">
      <x:c r="A558" t="str">
        <x:v>HYD04</x:v>
      </x:c>
      <x:c r="B558" s="22" t="n">
        <x:f>DATE(C558,D558,1)</x:f>
        <x:v>41153</x:v>
      </x:c>
      <x:c r="C558" t="n">
        <x:v>2012</x:v>
      </x:c>
      <x:c r="D558" t="n">
        <x:v>9</x:v>
      </x:c>
      <x:c r="E558" t="str">
        <x:f>TEXT(B558,"mmm")</x:f>
        <x:v>Sep</x:v>
      </x:c>
      <x:c r="F558" t="str">
        <x:f>"Q"&amp;ROUNDUP(D558/3,0)</x:f>
        <x:v>Q3</x:v>
      </x:c>
      <x:c r="G558" s="23" t="n">
        <x:v>59</x:v>
      </x:c>
      <x:c r="H558" s="23" t="n">
        <x:v>53</x:v>
      </x:c>
      <x:c r="I558" s="23" t="n">
        <x:v>56</x:v>
      </x:c>
      <x:c r="J558" s="23" t="n">
        <x:f>G558-H558</x:f>
        <x:v>6</x:v>
      </x:c>
      <x:c r="K558" t="str">
        <x:v>OBSERVED</x:v>
      </x:c>
      <x:c r="L558" s="24" t="n">
        <x:v>17.3616</x:v>
      </x:c>
      <x:c r="M558" s="24" t="n">
        <x:v>78.4747</x:v>
      </x:c>
      <x:c r="N558" t="str">
        <x:f>IF(I558&gt;70,"70+ dB",IF(I558&gt;55,"56-70 dB","41-55 dB"))</x:f>
        <x:v>56-70 dB</x:v>
      </x:c>
      <x:c r="O558" t="str">
        <x:f>IF(I558&gt;70,"High",IF(I558&gt;55,"Moderate","Low"))</x:f>
        <x:v>Moderate</x:v>
      </x:c>
      <x:c r="P558" t="str">
        <x:f>IF(I558&gt;=70,"Yes","No")</x:f>
        <x:v>No</x:v>
      </x:c>
      <x:c r="Q558" t="str">
        <x:f>TEXT(B558,"yyyy-mm")</x:f>
        <x:v>2012-09</x:v>
      </x:c>
    </x:row>
    <x:row r="559">
      <x:c r="A559" t="str">
        <x:v>HYD04</x:v>
      </x:c>
      <x:c r="B559" s="22" t="n">
        <x:f>DATE(C559,D559,1)</x:f>
        <x:v>41183</x:v>
      </x:c>
      <x:c r="C559" t="n">
        <x:v>2012</x:v>
      </x:c>
      <x:c r="D559" t="n">
        <x:v>10</x:v>
      </x:c>
      <x:c r="E559" t="str">
        <x:f>TEXT(B559,"mmm")</x:f>
        <x:v>Oct</x:v>
      </x:c>
      <x:c r="F559" t="str">
        <x:f>"Q"&amp;ROUNDUP(D559/3,0)</x:f>
        <x:v>Q4</x:v>
      </x:c>
      <x:c r="G559" s="23" t="n">
        <x:v>54</x:v>
      </x:c>
      <x:c r="H559" s="23" t="n">
        <x:v>48</x:v>
      </x:c>
      <x:c r="I559" s="23" t="n">
        <x:v>51</x:v>
      </x:c>
      <x:c r="J559" s="23" t="n">
        <x:f>G559-H559</x:f>
        <x:v>6</x:v>
      </x:c>
      <x:c r="K559" t="str">
        <x:v>OBSERVED</x:v>
      </x:c>
      <x:c r="L559" s="24" t="n">
        <x:v>17.3616</x:v>
      </x:c>
      <x:c r="M559" s="24" t="n">
        <x:v>78.4747</x:v>
      </x:c>
      <x:c r="N559" t="str">
        <x:f>IF(I559&gt;70,"70+ dB",IF(I559&gt;55,"56-70 dB","41-55 dB"))</x:f>
        <x:v>41-55 dB</x:v>
      </x:c>
      <x:c r="O559" t="str">
        <x:f>IF(I559&gt;70,"High",IF(I559&gt;55,"Moderate","Low"))</x:f>
        <x:v>Low</x:v>
      </x:c>
      <x:c r="P559" t="str">
        <x:f>IF(I559&gt;=70,"Yes","No")</x:f>
        <x:v>No</x:v>
      </x:c>
      <x:c r="Q559" t="str">
        <x:f>TEXT(B559,"yyyy-mm")</x:f>
        <x:v>2012-10</x:v>
      </x:c>
    </x:row>
    <x:row r="560">
      <x:c r="A560" t="str">
        <x:v>HYD04</x:v>
      </x:c>
      <x:c r="B560" s="22" t="n">
        <x:f>DATE(C560,D560,1)</x:f>
        <x:v>41214</x:v>
      </x:c>
      <x:c r="C560" t="n">
        <x:v>2012</x:v>
      </x:c>
      <x:c r="D560" t="n">
        <x:v>11</x:v>
      </x:c>
      <x:c r="E560" t="str">
        <x:f>TEXT(B560,"mmm")</x:f>
        <x:v>Nov</x:v>
      </x:c>
      <x:c r="F560" t="str">
        <x:f>"Q"&amp;ROUNDUP(D560/3,0)</x:f>
        <x:v>Q4</x:v>
      </x:c>
      <x:c r="G560" s="23" t="n">
        <x:v>54</x:v>
      </x:c>
      <x:c r="H560" s="23" t="n">
        <x:v>48</x:v>
      </x:c>
      <x:c r="I560" s="23" t="n">
        <x:v>51</x:v>
      </x:c>
      <x:c r="J560" s="23" t="n">
        <x:f>G560-H560</x:f>
        <x:v>6</x:v>
      </x:c>
      <x:c r="K560" t="str">
        <x:v>OBSERVED</x:v>
      </x:c>
      <x:c r="L560" s="24" t="n">
        <x:v>17.3616</x:v>
      </x:c>
      <x:c r="M560" s="24" t="n">
        <x:v>78.4747</x:v>
      </x:c>
      <x:c r="N560" t="str">
        <x:f>IF(I560&gt;70,"70+ dB",IF(I560&gt;55,"56-70 dB","41-55 dB"))</x:f>
        <x:v>41-55 dB</x:v>
      </x:c>
      <x:c r="O560" t="str">
        <x:f>IF(I560&gt;70,"High",IF(I560&gt;55,"Moderate","Low"))</x:f>
        <x:v>Low</x:v>
      </x:c>
      <x:c r="P560" t="str">
        <x:f>IF(I560&gt;=70,"Yes","No")</x:f>
        <x:v>No</x:v>
      </x:c>
      <x:c r="Q560" t="str">
        <x:f>TEXT(B560,"yyyy-mm")</x:f>
        <x:v>2012-11</x:v>
      </x:c>
    </x:row>
    <x:row r="561">
      <x:c r="A561" t="str">
        <x:v>HYD04</x:v>
      </x:c>
      <x:c r="B561" s="22" t="n">
        <x:f>DATE(C561,D561,1)</x:f>
        <x:v>41244</x:v>
      </x:c>
      <x:c r="C561" t="n">
        <x:v>2012</x:v>
      </x:c>
      <x:c r="D561" t="n">
        <x:v>12</x:v>
      </x:c>
      <x:c r="E561" t="str">
        <x:f>TEXT(B561,"mmm")</x:f>
        <x:v>Dec</x:v>
      </x:c>
      <x:c r="F561" t="str">
        <x:f>"Q"&amp;ROUNDUP(D561/3,0)</x:f>
        <x:v>Q4</x:v>
      </x:c>
      <x:c r="G561" s="23" t="n">
        <x:v>53</x:v>
      </x:c>
      <x:c r="H561" s="23" t="n">
        <x:v>47</x:v>
      </x:c>
      <x:c r="I561" s="23" t="n">
        <x:v>50</x:v>
      </x:c>
      <x:c r="J561" s="23" t="n">
        <x:f>G561-H561</x:f>
        <x:v>6</x:v>
      </x:c>
      <x:c r="K561" t="str">
        <x:v>OBSERVED</x:v>
      </x:c>
      <x:c r="L561" s="24" t="n">
        <x:v>17.3616</x:v>
      </x:c>
      <x:c r="M561" s="24" t="n">
        <x:v>78.4747</x:v>
      </x:c>
      <x:c r="N561" t="str">
        <x:f>IF(I561&gt;70,"70+ dB",IF(I561&gt;55,"56-70 dB","41-55 dB"))</x:f>
        <x:v>41-55 dB</x:v>
      </x:c>
      <x:c r="O561" t="str">
        <x:f>IF(I561&gt;70,"High",IF(I561&gt;55,"Moderate","Low"))</x:f>
        <x:v>Low</x:v>
      </x:c>
      <x:c r="P561" t="str">
        <x:f>IF(I561&gt;=70,"Yes","No")</x:f>
        <x:v>No</x:v>
      </x:c>
      <x:c r="Q561" t="str">
        <x:f>TEXT(B561,"yyyy-mm")</x:f>
        <x:v>2012-12</x:v>
      </x:c>
    </x:row>
    <x:row r="562">
      <x:c r="A562" t="str">
        <x:v>HYD04</x:v>
      </x:c>
      <x:c r="B562" s="22" t="n">
        <x:f>DATE(C562,D562,1)</x:f>
        <x:v>41275</x:v>
      </x:c>
      <x:c r="C562" t="n">
        <x:v>2013</x:v>
      </x:c>
      <x:c r="D562" t="n">
        <x:v>1</x:v>
      </x:c>
      <x:c r="E562" t="str">
        <x:f>TEXT(B562,"mmm")</x:f>
        <x:v>Jan</x:v>
      </x:c>
      <x:c r="F562" t="str">
        <x:f>"Q"&amp;ROUNDUP(D562/3,0)</x:f>
        <x:v>Q1</x:v>
      </x:c>
      <x:c r="G562" s="23" t="n">
        <x:v>53</x:v>
      </x:c>
      <x:c r="H562" s="23" t="n">
        <x:v>47</x:v>
      </x:c>
      <x:c r="I562" s="23" t="n">
        <x:v>50</x:v>
      </x:c>
      <x:c r="J562" s="23" t="n">
        <x:f>G562-H562</x:f>
        <x:v>6</x:v>
      </x:c>
      <x:c r="K562" t="str">
        <x:v>OBSERVED</x:v>
      </x:c>
      <x:c r="L562" s="24" t="n">
        <x:v>17.3616</x:v>
      </x:c>
      <x:c r="M562" s="24" t="n">
        <x:v>78.4747</x:v>
      </x:c>
      <x:c r="N562" t="str">
        <x:f>IF(I562&gt;70,"70+ dB",IF(I562&gt;55,"56-70 dB","41-55 dB"))</x:f>
        <x:v>41-55 dB</x:v>
      </x:c>
      <x:c r="O562" t="str">
        <x:f>IF(I562&gt;70,"High",IF(I562&gt;55,"Moderate","Low"))</x:f>
        <x:v>Low</x:v>
      </x:c>
      <x:c r="P562" t="str">
        <x:f>IF(I562&gt;=70,"Yes","No")</x:f>
        <x:v>No</x:v>
      </x:c>
      <x:c r="Q562" t="str">
        <x:f>TEXT(B562,"yyyy-mm")</x:f>
        <x:v>2013-01</x:v>
      </x:c>
    </x:row>
    <x:row r="563">
      <x:c r="A563" t="str">
        <x:v>HYD04</x:v>
      </x:c>
      <x:c r="B563" s="22" t="n">
        <x:f>DATE(C563,D563,1)</x:f>
        <x:v>41306</x:v>
      </x:c>
      <x:c r="C563" t="n">
        <x:v>2013</x:v>
      </x:c>
      <x:c r="D563" t="n">
        <x:v>2</x:v>
      </x:c>
      <x:c r="E563" t="str">
        <x:f>TEXT(B563,"mmm")</x:f>
        <x:v>Feb</x:v>
      </x:c>
      <x:c r="F563" t="str">
        <x:f>"Q"&amp;ROUNDUP(D563/3,0)</x:f>
        <x:v>Q1</x:v>
      </x:c>
      <x:c r="G563" s="23" t="n">
        <x:v>53</x:v>
      </x:c>
      <x:c r="H563" s="23" t="n">
        <x:v>48</x:v>
      </x:c>
      <x:c r="I563" s="23" t="n">
        <x:v>50.5</x:v>
      </x:c>
      <x:c r="J563" s="23" t="n">
        <x:f>G563-H563</x:f>
        <x:v>5</x:v>
      </x:c>
      <x:c r="K563" t="str">
        <x:v>OBSERVED</x:v>
      </x:c>
      <x:c r="L563" s="24" t="n">
        <x:v>17.3616</x:v>
      </x:c>
      <x:c r="M563" s="24" t="n">
        <x:v>78.4747</x:v>
      </x:c>
      <x:c r="N563" t="str">
        <x:f>IF(I563&gt;70,"70+ dB",IF(I563&gt;55,"56-70 dB","41-55 dB"))</x:f>
        <x:v>41-55 dB</x:v>
      </x:c>
      <x:c r="O563" t="str">
        <x:f>IF(I563&gt;70,"High",IF(I563&gt;55,"Moderate","Low"))</x:f>
        <x:v>Low</x:v>
      </x:c>
      <x:c r="P563" t="str">
        <x:f>IF(I563&gt;=70,"Yes","No")</x:f>
        <x:v>No</x:v>
      </x:c>
      <x:c r="Q563" t="str">
        <x:f>TEXT(B563,"yyyy-mm")</x:f>
        <x:v>2013-02</x:v>
      </x:c>
    </x:row>
    <x:row r="564">
      <x:c r="A564" t="str">
        <x:v>HYD04</x:v>
      </x:c>
      <x:c r="B564" s="22" t="n">
        <x:f>DATE(C564,D564,1)</x:f>
        <x:v>41334</x:v>
      </x:c>
      <x:c r="C564" t="n">
        <x:v>2013</x:v>
      </x:c>
      <x:c r="D564" t="n">
        <x:v>3</x:v>
      </x:c>
      <x:c r="E564" t="str">
        <x:f>TEXT(B564,"mmm")</x:f>
        <x:v>Mar</x:v>
      </x:c>
      <x:c r="F564" t="str">
        <x:f>"Q"&amp;ROUNDUP(D564/3,0)</x:f>
        <x:v>Q1</x:v>
      </x:c>
      <x:c r="G564" s="23" t="n">
        <x:v>53</x:v>
      </x:c>
      <x:c r="H564" s="23" t="n">
        <x:v>47</x:v>
      </x:c>
      <x:c r="I564" s="23" t="n">
        <x:v>50</x:v>
      </x:c>
      <x:c r="J564" s="23" t="n">
        <x:f>G564-H564</x:f>
        <x:v>6</x:v>
      </x:c>
      <x:c r="K564" t="str">
        <x:v>OBSERVED</x:v>
      </x:c>
      <x:c r="L564" s="24" t="n">
        <x:v>17.3616</x:v>
      </x:c>
      <x:c r="M564" s="24" t="n">
        <x:v>78.4747</x:v>
      </x:c>
      <x:c r="N564" t="str">
        <x:f>IF(I564&gt;70,"70+ dB",IF(I564&gt;55,"56-70 dB","41-55 dB"))</x:f>
        <x:v>41-55 dB</x:v>
      </x:c>
      <x:c r="O564" t="str">
        <x:f>IF(I564&gt;70,"High",IF(I564&gt;55,"Moderate","Low"))</x:f>
        <x:v>Low</x:v>
      </x:c>
      <x:c r="P564" t="str">
        <x:f>IF(I564&gt;=70,"Yes","No")</x:f>
        <x:v>No</x:v>
      </x:c>
      <x:c r="Q564" t="str">
        <x:f>TEXT(B564,"yyyy-mm")</x:f>
        <x:v>2013-03</x:v>
      </x:c>
    </x:row>
    <x:row r="565">
      <x:c r="A565" t="str">
        <x:v>HYD04</x:v>
      </x:c>
      <x:c r="B565" s="22" t="n">
        <x:f>DATE(C565,D565,1)</x:f>
        <x:v>41365</x:v>
      </x:c>
      <x:c r="C565" t="n">
        <x:v>2013</x:v>
      </x:c>
      <x:c r="D565" t="n">
        <x:v>4</x:v>
      </x:c>
      <x:c r="E565" t="str">
        <x:f>TEXT(B565,"mmm")</x:f>
        <x:v>Apr</x:v>
      </x:c>
      <x:c r="F565" t="str">
        <x:f>"Q"&amp;ROUNDUP(D565/3,0)</x:f>
        <x:v>Q2</x:v>
      </x:c>
      <x:c r="G565" s="23" t="n">
        <x:v>53</x:v>
      </x:c>
      <x:c r="H565" s="23" t="n">
        <x:v>48</x:v>
      </x:c>
      <x:c r="I565" s="23" t="n">
        <x:v>50.5</x:v>
      </x:c>
      <x:c r="J565" s="23" t="n">
        <x:f>G565-H565</x:f>
        <x:v>5</x:v>
      </x:c>
      <x:c r="K565" t="str">
        <x:v>OBSERVED</x:v>
      </x:c>
      <x:c r="L565" s="24" t="n">
        <x:v>17.3616</x:v>
      </x:c>
      <x:c r="M565" s="24" t="n">
        <x:v>78.4747</x:v>
      </x:c>
      <x:c r="N565" t="str">
        <x:f>IF(I565&gt;70,"70+ dB",IF(I565&gt;55,"56-70 dB","41-55 dB"))</x:f>
        <x:v>41-55 dB</x:v>
      </x:c>
      <x:c r="O565" t="str">
        <x:f>IF(I565&gt;70,"High",IF(I565&gt;55,"Moderate","Low"))</x:f>
        <x:v>Low</x:v>
      </x:c>
      <x:c r="P565" t="str">
        <x:f>IF(I565&gt;=70,"Yes","No")</x:f>
        <x:v>No</x:v>
      </x:c>
      <x:c r="Q565" t="str">
        <x:f>TEXT(B565,"yyyy-mm")</x:f>
        <x:v>2013-04</x:v>
      </x:c>
    </x:row>
    <x:row r="566">
      <x:c r="A566" t="str">
        <x:v>HYD04</x:v>
      </x:c>
      <x:c r="B566" s="22" t="n">
        <x:f>DATE(C566,D566,1)</x:f>
        <x:v>41395</x:v>
      </x:c>
      <x:c r="C566" t="n">
        <x:v>2013</x:v>
      </x:c>
      <x:c r="D566" t="n">
        <x:v>5</x:v>
      </x:c>
      <x:c r="E566" t="str">
        <x:f>TEXT(B566,"mmm")</x:f>
        <x:v>May</x:v>
      </x:c>
      <x:c r="F566" t="str">
        <x:f>"Q"&amp;ROUNDUP(D566/3,0)</x:f>
        <x:v>Q2</x:v>
      </x:c>
      <x:c r="G566" s="23" t="n">
        <x:v>53</x:v>
      </x:c>
      <x:c r="H566" s="23" t="n">
        <x:v>48</x:v>
      </x:c>
      <x:c r="I566" s="23" t="n">
        <x:v>50.5</x:v>
      </x:c>
      <x:c r="J566" s="23" t="n">
        <x:f>G566-H566</x:f>
        <x:v>5</x:v>
      </x:c>
      <x:c r="K566" t="str">
        <x:v>OBSERVED</x:v>
      </x:c>
      <x:c r="L566" s="24" t="n">
        <x:v>17.3616</x:v>
      </x:c>
      <x:c r="M566" s="24" t="n">
        <x:v>78.4747</x:v>
      </x:c>
      <x:c r="N566" t="str">
        <x:f>IF(I566&gt;70,"70+ dB",IF(I566&gt;55,"56-70 dB","41-55 dB"))</x:f>
        <x:v>41-55 dB</x:v>
      </x:c>
      <x:c r="O566" t="str">
        <x:f>IF(I566&gt;70,"High",IF(I566&gt;55,"Moderate","Low"))</x:f>
        <x:v>Low</x:v>
      </x:c>
      <x:c r="P566" t="str">
        <x:f>IF(I566&gt;=70,"Yes","No")</x:f>
        <x:v>No</x:v>
      </x:c>
      <x:c r="Q566" t="str">
        <x:f>TEXT(B566,"yyyy-mm")</x:f>
        <x:v>2013-05</x:v>
      </x:c>
    </x:row>
    <x:row r="567">
      <x:c r="A567" t="str">
        <x:v>HYD04</x:v>
      </x:c>
      <x:c r="B567" s="22" t="n">
        <x:f>DATE(C567,D567,1)</x:f>
        <x:v>41426</x:v>
      </x:c>
      <x:c r="C567" t="n">
        <x:v>2013</x:v>
      </x:c>
      <x:c r="D567" t="n">
        <x:v>6</x:v>
      </x:c>
      <x:c r="E567" t="str">
        <x:f>TEXT(B567,"mmm")</x:f>
        <x:v>Jun</x:v>
      </x:c>
      <x:c r="F567" t="str">
        <x:f>"Q"&amp;ROUNDUP(D567/3,0)</x:f>
        <x:v>Q2</x:v>
      </x:c>
      <x:c r="G567" s="23" t="n">
        <x:v>54</x:v>
      </x:c>
      <x:c r="H567" s="23" t="n">
        <x:v>49</x:v>
      </x:c>
      <x:c r="I567" s="23" t="n">
        <x:v>51.5</x:v>
      </x:c>
      <x:c r="J567" s="23" t="n">
        <x:f>G567-H567</x:f>
        <x:v>5</x:v>
      </x:c>
      <x:c r="K567" t="str">
        <x:v>OBSERVED</x:v>
      </x:c>
      <x:c r="L567" s="24" t="n">
        <x:v>17.3616</x:v>
      </x:c>
      <x:c r="M567" s="24" t="n">
        <x:v>78.4747</x:v>
      </x:c>
      <x:c r="N567" t="str">
        <x:f>IF(I567&gt;70,"70+ dB",IF(I567&gt;55,"56-70 dB","41-55 dB"))</x:f>
        <x:v>41-55 dB</x:v>
      </x:c>
      <x:c r="O567" t="str">
        <x:f>IF(I567&gt;70,"High",IF(I567&gt;55,"Moderate","Low"))</x:f>
        <x:v>Low</x:v>
      </x:c>
      <x:c r="P567" t="str">
        <x:f>IF(I567&gt;=70,"Yes","No")</x:f>
        <x:v>No</x:v>
      </x:c>
      <x:c r="Q567" t="str">
        <x:f>TEXT(B567,"yyyy-mm")</x:f>
        <x:v>2013-06</x:v>
      </x:c>
    </x:row>
    <x:row r="568">
      <x:c r="A568" t="str">
        <x:v>HYD04</x:v>
      </x:c>
      <x:c r="B568" s="22" t="n">
        <x:f>DATE(C568,D568,1)</x:f>
        <x:v>41456</x:v>
      </x:c>
      <x:c r="C568" t="n">
        <x:v>2013</x:v>
      </x:c>
      <x:c r="D568" t="n">
        <x:v>7</x:v>
      </x:c>
      <x:c r="E568" t="str">
        <x:f>TEXT(B568,"mmm")</x:f>
        <x:v>Jul</x:v>
      </x:c>
      <x:c r="F568" t="str">
        <x:f>"Q"&amp;ROUNDUP(D568/3,0)</x:f>
        <x:v>Q3</x:v>
      </x:c>
      <x:c r="G568" s="23" t="n">
        <x:v>54</x:v>
      </x:c>
      <x:c r="H568" s="23" t="n">
        <x:v>50</x:v>
      </x:c>
      <x:c r="I568" s="23" t="n">
        <x:v>52</x:v>
      </x:c>
      <x:c r="J568" s="23" t="n">
        <x:f>G568-H568</x:f>
        <x:v>4</x:v>
      </x:c>
      <x:c r="K568" t="str">
        <x:v>OBSERVED</x:v>
      </x:c>
      <x:c r="L568" s="24" t="n">
        <x:v>17.3616</x:v>
      </x:c>
      <x:c r="M568" s="24" t="n">
        <x:v>78.4747</x:v>
      </x:c>
      <x:c r="N568" t="str">
        <x:f>IF(I568&gt;70,"70+ dB",IF(I568&gt;55,"56-70 dB","41-55 dB"))</x:f>
        <x:v>41-55 dB</x:v>
      </x:c>
      <x:c r="O568" t="str">
        <x:f>IF(I568&gt;70,"High",IF(I568&gt;55,"Moderate","Low"))</x:f>
        <x:v>Low</x:v>
      </x:c>
      <x:c r="P568" t="str">
        <x:f>IF(I568&gt;=70,"Yes","No")</x:f>
        <x:v>No</x:v>
      </x:c>
      <x:c r="Q568" t="str">
        <x:f>TEXT(B568,"yyyy-mm")</x:f>
        <x:v>2013-07</x:v>
      </x:c>
    </x:row>
    <x:row r="569">
      <x:c r="A569" t="str">
        <x:v>HYD04</x:v>
      </x:c>
      <x:c r="B569" s="22" t="n">
        <x:f>DATE(C569,D569,1)</x:f>
        <x:v>41487</x:v>
      </x:c>
      <x:c r="C569" t="n">
        <x:v>2013</x:v>
      </x:c>
      <x:c r="D569" t="n">
        <x:v>8</x:v>
      </x:c>
      <x:c r="E569" t="str">
        <x:f>TEXT(B569,"mmm")</x:f>
        <x:v>Aug</x:v>
      </x:c>
      <x:c r="F569" t="str">
        <x:f>"Q"&amp;ROUNDUP(D569/3,0)</x:f>
        <x:v>Q3</x:v>
      </x:c>
      <x:c r="G569" s="23" t="n">
        <x:v>54</x:v>
      </x:c>
      <x:c r="H569" s="23" t="n">
        <x:v>50</x:v>
      </x:c>
      <x:c r="I569" s="23" t="n">
        <x:v>52</x:v>
      </x:c>
      <x:c r="J569" s="23" t="n">
        <x:f>G569-H569</x:f>
        <x:v>4</x:v>
      </x:c>
      <x:c r="K569" t="str">
        <x:v>OBSERVED</x:v>
      </x:c>
      <x:c r="L569" s="24" t="n">
        <x:v>17.3616</x:v>
      </x:c>
      <x:c r="M569" s="24" t="n">
        <x:v>78.4747</x:v>
      </x:c>
      <x:c r="N569" t="str">
        <x:f>IF(I569&gt;70,"70+ dB",IF(I569&gt;55,"56-70 dB","41-55 dB"))</x:f>
        <x:v>41-55 dB</x:v>
      </x:c>
      <x:c r="O569" t="str">
        <x:f>IF(I569&gt;70,"High",IF(I569&gt;55,"Moderate","Low"))</x:f>
        <x:v>Low</x:v>
      </x:c>
      <x:c r="P569" t="str">
        <x:f>IF(I569&gt;=70,"Yes","No")</x:f>
        <x:v>No</x:v>
      </x:c>
      <x:c r="Q569" t="str">
        <x:f>TEXT(B569,"yyyy-mm")</x:f>
        <x:v>2013-08</x:v>
      </x:c>
    </x:row>
    <x:row r="570">
      <x:c r="A570" t="str">
        <x:v>HYD04</x:v>
      </x:c>
      <x:c r="B570" s="22" t="n">
        <x:f>DATE(C570,D570,1)</x:f>
        <x:v>41518</x:v>
      </x:c>
      <x:c r="C570" t="n">
        <x:v>2013</x:v>
      </x:c>
      <x:c r="D570" t="n">
        <x:v>9</x:v>
      </x:c>
      <x:c r="E570" t="str">
        <x:f>TEXT(B570,"mmm")</x:f>
        <x:v>Sep</x:v>
      </x:c>
      <x:c r="F570" t="str">
        <x:f>"Q"&amp;ROUNDUP(D570/3,0)</x:f>
        <x:v>Q3</x:v>
      </x:c>
      <x:c r="G570" s="23" t="n">
        <x:v>54</x:v>
      </x:c>
      <x:c r="H570" s="23" t="n">
        <x:v>48</x:v>
      </x:c>
      <x:c r="I570" s="23" t="n">
        <x:v>51</x:v>
      </x:c>
      <x:c r="J570" s="23" t="n">
        <x:f>G570-H570</x:f>
        <x:v>6</x:v>
      </x:c>
      <x:c r="K570" t="str">
        <x:v>OBSERVED</x:v>
      </x:c>
      <x:c r="L570" s="24" t="n">
        <x:v>17.3616</x:v>
      </x:c>
      <x:c r="M570" s="24" t="n">
        <x:v>78.4747</x:v>
      </x:c>
      <x:c r="N570" t="str">
        <x:f>IF(I570&gt;70,"70+ dB",IF(I570&gt;55,"56-70 dB","41-55 dB"))</x:f>
        <x:v>41-55 dB</x:v>
      </x:c>
      <x:c r="O570" t="str">
        <x:f>IF(I570&gt;70,"High",IF(I570&gt;55,"Moderate","Low"))</x:f>
        <x:v>Low</x:v>
      </x:c>
      <x:c r="P570" t="str">
        <x:f>IF(I570&gt;=70,"Yes","No")</x:f>
        <x:v>No</x:v>
      </x:c>
      <x:c r="Q570" t="str">
        <x:f>TEXT(B570,"yyyy-mm")</x:f>
        <x:v>2013-09</x:v>
      </x:c>
    </x:row>
    <x:row r="571">
      <x:c r="A571" t="str">
        <x:v>HYD04</x:v>
      </x:c>
      <x:c r="B571" s="22" t="n">
        <x:f>DATE(C571,D571,1)</x:f>
        <x:v>41548</x:v>
      </x:c>
      <x:c r="C571" t="n">
        <x:v>2013</x:v>
      </x:c>
      <x:c r="D571" t="n">
        <x:v>10</x:v>
      </x:c>
      <x:c r="E571" t="str">
        <x:f>TEXT(B571,"mmm")</x:f>
        <x:v>Oct</x:v>
      </x:c>
      <x:c r="F571" t="str">
        <x:f>"Q"&amp;ROUNDUP(D571/3,0)</x:f>
        <x:v>Q4</x:v>
      </x:c>
      <x:c r="G571" s="23" t="n">
        <x:v>57</x:v>
      </x:c>
      <x:c r="H571" s="23" t="n">
        <x:v>49</x:v>
      </x:c>
      <x:c r="I571" s="23" t="n">
        <x:v>53</x:v>
      </x:c>
      <x:c r="J571" s="23" t="n">
        <x:f>G571-H571</x:f>
        <x:v>8</x:v>
      </x:c>
      <x:c r="K571" t="str">
        <x:v>OBSERVED</x:v>
      </x:c>
      <x:c r="L571" s="24" t="n">
        <x:v>17.3616</x:v>
      </x:c>
      <x:c r="M571" s="24" t="n">
        <x:v>78.4747</x:v>
      </x:c>
      <x:c r="N571" t="str">
        <x:f>IF(I571&gt;70,"70+ dB",IF(I571&gt;55,"56-70 dB","41-55 dB"))</x:f>
        <x:v>41-55 dB</x:v>
      </x:c>
      <x:c r="O571" t="str">
        <x:f>IF(I571&gt;70,"High",IF(I571&gt;55,"Moderate","Low"))</x:f>
        <x:v>Low</x:v>
      </x:c>
      <x:c r="P571" t="str">
        <x:f>IF(I571&gt;=70,"Yes","No")</x:f>
        <x:v>No</x:v>
      </x:c>
      <x:c r="Q571" t="str">
        <x:f>TEXT(B571,"yyyy-mm")</x:f>
        <x:v>2013-10</x:v>
      </x:c>
    </x:row>
    <x:row r="572">
      <x:c r="A572" t="str">
        <x:v>HYD04</x:v>
      </x:c>
      <x:c r="B572" s="22" t="n">
        <x:f>DATE(C572,D572,1)</x:f>
        <x:v>41579</x:v>
      </x:c>
      <x:c r="C572" t="n">
        <x:v>2013</x:v>
      </x:c>
      <x:c r="D572" t="n">
        <x:v>11</x:v>
      </x:c>
      <x:c r="E572" t="str">
        <x:f>TEXT(B572,"mmm")</x:f>
        <x:v>Nov</x:v>
      </x:c>
      <x:c r="F572" t="str">
        <x:f>"Q"&amp;ROUNDUP(D572/3,0)</x:f>
        <x:v>Q4</x:v>
      </x:c>
      <x:c r="G572" s="23" t="n">
        <x:v>56</x:v>
      </x:c>
      <x:c r="H572" s="23" t="n">
        <x:v>49</x:v>
      </x:c>
      <x:c r="I572" s="23" t="n">
        <x:v>52.5</x:v>
      </x:c>
      <x:c r="J572" s="23" t="n">
        <x:f>G572-H572</x:f>
        <x:v>7</x:v>
      </x:c>
      <x:c r="K572" t="str">
        <x:v>OBSERVED</x:v>
      </x:c>
      <x:c r="L572" s="24" t="n">
        <x:v>17.3616</x:v>
      </x:c>
      <x:c r="M572" s="24" t="n">
        <x:v>78.4747</x:v>
      </x:c>
      <x:c r="N572" t="str">
        <x:f>IF(I572&gt;70,"70+ dB",IF(I572&gt;55,"56-70 dB","41-55 dB"))</x:f>
        <x:v>41-55 dB</x:v>
      </x:c>
      <x:c r="O572" t="str">
        <x:f>IF(I572&gt;70,"High",IF(I572&gt;55,"Moderate","Low"))</x:f>
        <x:v>Low</x:v>
      </x:c>
      <x:c r="P572" t="str">
        <x:f>IF(I572&gt;=70,"Yes","No")</x:f>
        <x:v>No</x:v>
      </x:c>
      <x:c r="Q572" t="str">
        <x:f>TEXT(B572,"yyyy-mm")</x:f>
        <x:v>2013-11</x:v>
      </x:c>
    </x:row>
    <x:row r="573">
      <x:c r="A573" t="str">
        <x:v>HYD04</x:v>
      </x:c>
      <x:c r="B573" s="22" t="n">
        <x:f>DATE(C573,D573,1)</x:f>
        <x:v>41609</x:v>
      </x:c>
      <x:c r="C573" t="n">
        <x:v>2013</x:v>
      </x:c>
      <x:c r="D573" t="n">
        <x:v>12</x:v>
      </x:c>
      <x:c r="E573" t="str">
        <x:f>TEXT(B573,"mmm")</x:f>
        <x:v>Dec</x:v>
      </x:c>
      <x:c r="F573" t="str">
        <x:f>"Q"&amp;ROUNDUP(D573/3,0)</x:f>
        <x:v>Q4</x:v>
      </x:c>
      <x:c r="G573" s="23" t="n">
        <x:v>56</x:v>
      </x:c>
      <x:c r="H573" s="23" t="n">
        <x:v>50</x:v>
      </x:c>
      <x:c r="I573" s="23" t="n">
        <x:v>53</x:v>
      </x:c>
      <x:c r="J573" s="23" t="n">
        <x:f>G573-H573</x:f>
        <x:v>6</x:v>
      </x:c>
      <x:c r="K573" t="str">
        <x:v>OBSERVED</x:v>
      </x:c>
      <x:c r="L573" s="24" t="n">
        <x:v>17.3616</x:v>
      </x:c>
      <x:c r="M573" s="24" t="n">
        <x:v>78.4747</x:v>
      </x:c>
      <x:c r="N573" t="str">
        <x:f>IF(I573&gt;70,"70+ dB",IF(I573&gt;55,"56-70 dB","41-55 dB"))</x:f>
        <x:v>41-55 dB</x:v>
      </x:c>
      <x:c r="O573" t="str">
        <x:f>IF(I573&gt;70,"High",IF(I573&gt;55,"Moderate","Low"))</x:f>
        <x:v>Low</x:v>
      </x:c>
      <x:c r="P573" t="str">
        <x:f>IF(I573&gt;=70,"Yes","No")</x:f>
        <x:v>No</x:v>
      </x:c>
      <x:c r="Q573" t="str">
        <x:f>TEXT(B573,"yyyy-mm")</x:f>
        <x:v>2013-12</x:v>
      </x:c>
    </x:row>
    <x:row r="574">
      <x:c r="A574" t="str">
        <x:v>HYD04</x:v>
      </x:c>
      <x:c r="B574" s="22" t="n">
        <x:f>DATE(C574,D574,1)</x:f>
        <x:v>41640</x:v>
      </x:c>
      <x:c r="C574" t="n">
        <x:v>2014</x:v>
      </x:c>
      <x:c r="D574" t="n">
        <x:v>1</x:v>
      </x:c>
      <x:c r="E574" t="str">
        <x:f>TEXT(B574,"mmm")</x:f>
        <x:v>Jan</x:v>
      </x:c>
      <x:c r="F574" t="str">
        <x:f>"Q"&amp;ROUNDUP(D574/3,0)</x:f>
        <x:v>Q1</x:v>
      </x:c>
      <x:c r="G574" s="23" t="n">
        <x:v>56</x:v>
      </x:c>
      <x:c r="H574" s="23" t="n">
        <x:v>50</x:v>
      </x:c>
      <x:c r="I574" s="23" t="n">
        <x:v>53</x:v>
      </x:c>
      <x:c r="J574" s="23" t="n">
        <x:f>G574-H574</x:f>
        <x:v>6</x:v>
      </x:c>
      <x:c r="K574" t="str">
        <x:v>OBSERVED</x:v>
      </x:c>
      <x:c r="L574" s="24" t="n">
        <x:v>17.3616</x:v>
      </x:c>
      <x:c r="M574" s="24" t="n">
        <x:v>78.4747</x:v>
      </x:c>
      <x:c r="N574" t="str">
        <x:f>IF(I574&gt;70,"70+ dB",IF(I574&gt;55,"56-70 dB","41-55 dB"))</x:f>
        <x:v>41-55 dB</x:v>
      </x:c>
      <x:c r="O574" t="str">
        <x:f>IF(I574&gt;70,"High",IF(I574&gt;55,"Moderate","Low"))</x:f>
        <x:v>Low</x:v>
      </x:c>
      <x:c r="P574" t="str">
        <x:f>IF(I574&gt;=70,"Yes","No")</x:f>
        <x:v>No</x:v>
      </x:c>
      <x:c r="Q574" t="str">
        <x:f>TEXT(B574,"yyyy-mm")</x:f>
        <x:v>2014-01</x:v>
      </x:c>
    </x:row>
    <x:row r="575">
      <x:c r="A575" t="str">
        <x:v>HYD04</x:v>
      </x:c>
      <x:c r="B575" s="22" t="n">
        <x:f>DATE(C575,D575,1)</x:f>
        <x:v>41671</x:v>
      </x:c>
      <x:c r="C575" t="n">
        <x:v>2014</x:v>
      </x:c>
      <x:c r="D575" t="n">
        <x:v>2</x:v>
      </x:c>
      <x:c r="E575" t="str">
        <x:f>TEXT(B575,"mmm")</x:f>
        <x:v>Feb</x:v>
      </x:c>
      <x:c r="F575" t="str">
        <x:f>"Q"&amp;ROUNDUP(D575/3,0)</x:f>
        <x:v>Q1</x:v>
      </x:c>
      <x:c r="G575" s="23" t="n">
        <x:v>56</x:v>
      </x:c>
      <x:c r="H575" s="23" t="n">
        <x:v>50</x:v>
      </x:c>
      <x:c r="I575" s="23" t="n">
        <x:v>53</x:v>
      </x:c>
      <x:c r="J575" s="23" t="n">
        <x:f>G575-H575</x:f>
        <x:v>6</x:v>
      </x:c>
      <x:c r="K575" t="str">
        <x:v>OBSERVED</x:v>
      </x:c>
      <x:c r="L575" s="24" t="n">
        <x:v>17.3616</x:v>
      </x:c>
      <x:c r="M575" s="24" t="n">
        <x:v>78.4747</x:v>
      </x:c>
      <x:c r="N575" t="str">
        <x:f>IF(I575&gt;70,"70+ dB",IF(I575&gt;55,"56-70 dB","41-55 dB"))</x:f>
        <x:v>41-55 dB</x:v>
      </x:c>
      <x:c r="O575" t="str">
        <x:f>IF(I575&gt;70,"High",IF(I575&gt;55,"Moderate","Low"))</x:f>
        <x:v>Low</x:v>
      </x:c>
      <x:c r="P575" t="str">
        <x:f>IF(I575&gt;=70,"Yes","No")</x:f>
        <x:v>No</x:v>
      </x:c>
      <x:c r="Q575" t="str">
        <x:f>TEXT(B575,"yyyy-mm")</x:f>
        <x:v>2014-02</x:v>
      </x:c>
    </x:row>
    <x:row r="576">
      <x:c r="A576" t="str">
        <x:v>HYD04</x:v>
      </x:c>
      <x:c r="B576" s="22" t="n">
        <x:f>DATE(C576,D576,1)</x:f>
        <x:v>41699</x:v>
      </x:c>
      <x:c r="C576" t="n">
        <x:v>2014</x:v>
      </x:c>
      <x:c r="D576" t="n">
        <x:v>3</x:v>
      </x:c>
      <x:c r="E576" t="str">
        <x:f>TEXT(B576,"mmm")</x:f>
        <x:v>Mar</x:v>
      </x:c>
      <x:c r="F576" t="str">
        <x:f>"Q"&amp;ROUNDUP(D576/3,0)</x:f>
        <x:v>Q1</x:v>
      </x:c>
      <x:c r="G576" s="23" t="n">
        <x:v>55</x:v>
      </x:c>
      <x:c r="H576" s="23" t="n">
        <x:v>49</x:v>
      </x:c>
      <x:c r="I576" s="23" t="n">
        <x:v>52</x:v>
      </x:c>
      <x:c r="J576" s="23" t="n">
        <x:f>G576-H576</x:f>
        <x:v>6</x:v>
      </x:c>
      <x:c r="K576" t="str">
        <x:v>OBSERVED</x:v>
      </x:c>
      <x:c r="L576" s="24" t="n">
        <x:v>17.3616</x:v>
      </x:c>
      <x:c r="M576" s="24" t="n">
        <x:v>78.4747</x:v>
      </x:c>
      <x:c r="N576" t="str">
        <x:f>IF(I576&gt;70,"70+ dB",IF(I576&gt;55,"56-70 dB","41-55 dB"))</x:f>
        <x:v>41-55 dB</x:v>
      </x:c>
      <x:c r="O576" t="str">
        <x:f>IF(I576&gt;70,"High",IF(I576&gt;55,"Moderate","Low"))</x:f>
        <x:v>Low</x:v>
      </x:c>
      <x:c r="P576" t="str">
        <x:f>IF(I576&gt;=70,"Yes","No")</x:f>
        <x:v>No</x:v>
      </x:c>
      <x:c r="Q576" t="str">
        <x:f>TEXT(B576,"yyyy-mm")</x:f>
        <x:v>2014-03</x:v>
      </x:c>
    </x:row>
    <x:row r="577">
      <x:c r="A577" t="str">
        <x:v>HYD04</x:v>
      </x:c>
      <x:c r="B577" s="22" t="n">
        <x:f>DATE(C577,D577,1)</x:f>
        <x:v>41730</x:v>
      </x:c>
      <x:c r="C577" t="n">
        <x:v>2014</x:v>
      </x:c>
      <x:c r="D577" t="n">
        <x:v>4</x:v>
      </x:c>
      <x:c r="E577" t="str">
        <x:f>TEXT(B577,"mmm")</x:f>
        <x:v>Apr</x:v>
      </x:c>
      <x:c r="F577" t="str">
        <x:f>"Q"&amp;ROUNDUP(D577/3,0)</x:f>
        <x:v>Q2</x:v>
      </x:c>
      <x:c r="G577" s="23" t="n">
        <x:v>55</x:v>
      </x:c>
      <x:c r="H577" s="23" t="n">
        <x:v>50</x:v>
      </x:c>
      <x:c r="I577" s="23" t="n">
        <x:v>52.5</x:v>
      </x:c>
      <x:c r="J577" s="23" t="n">
        <x:f>G577-H577</x:f>
        <x:v>5</x:v>
      </x:c>
      <x:c r="K577" t="str">
        <x:v>OBSERVED</x:v>
      </x:c>
      <x:c r="L577" s="24" t="n">
        <x:v>17.3616</x:v>
      </x:c>
      <x:c r="M577" s="24" t="n">
        <x:v>78.4747</x:v>
      </x:c>
      <x:c r="N577" t="str">
        <x:f>IF(I577&gt;70,"70+ dB",IF(I577&gt;55,"56-70 dB","41-55 dB"))</x:f>
        <x:v>41-55 dB</x:v>
      </x:c>
      <x:c r="O577" t="str">
        <x:f>IF(I577&gt;70,"High",IF(I577&gt;55,"Moderate","Low"))</x:f>
        <x:v>Low</x:v>
      </x:c>
      <x:c r="P577" t="str">
        <x:f>IF(I577&gt;=70,"Yes","No")</x:f>
        <x:v>No</x:v>
      </x:c>
      <x:c r="Q577" t="str">
        <x:f>TEXT(B577,"yyyy-mm")</x:f>
        <x:v>2014-04</x:v>
      </x:c>
    </x:row>
    <x:row r="578">
      <x:c r="A578" t="str">
        <x:v>HYD04</x:v>
      </x:c>
      <x:c r="B578" s="22" t="n">
        <x:f>DATE(C578,D578,1)</x:f>
        <x:v>41760</x:v>
      </x:c>
      <x:c r="C578" t="n">
        <x:v>2014</x:v>
      </x:c>
      <x:c r="D578" t="n">
        <x:v>5</x:v>
      </x:c>
      <x:c r="E578" t="str">
        <x:f>TEXT(B578,"mmm")</x:f>
        <x:v>May</x:v>
      </x:c>
      <x:c r="F578" t="str">
        <x:f>"Q"&amp;ROUNDUP(D578/3,0)</x:f>
        <x:v>Q2</x:v>
      </x:c>
      <x:c r="G578" s="23" t="n">
        <x:v>56</x:v>
      </x:c>
      <x:c r="H578" s="23" t="n">
        <x:v>51</x:v>
      </x:c>
      <x:c r="I578" s="23" t="n">
        <x:v>53.5</x:v>
      </x:c>
      <x:c r="J578" s="23" t="n">
        <x:f>G578-H578</x:f>
        <x:v>5</x:v>
      </x:c>
      <x:c r="K578" t="str">
        <x:v>OBSERVED</x:v>
      </x:c>
      <x:c r="L578" s="24" t="n">
        <x:v>17.3616</x:v>
      </x:c>
      <x:c r="M578" s="24" t="n">
        <x:v>78.4747</x:v>
      </x:c>
      <x:c r="N578" t="str">
        <x:f>IF(I578&gt;70,"70+ dB",IF(I578&gt;55,"56-70 dB","41-55 dB"))</x:f>
        <x:v>41-55 dB</x:v>
      </x:c>
      <x:c r="O578" t="str">
        <x:f>IF(I578&gt;70,"High",IF(I578&gt;55,"Moderate","Low"))</x:f>
        <x:v>Low</x:v>
      </x:c>
      <x:c r="P578" t="str">
        <x:f>IF(I578&gt;=70,"Yes","No")</x:f>
        <x:v>No</x:v>
      </x:c>
      <x:c r="Q578" t="str">
        <x:f>TEXT(B578,"yyyy-mm")</x:f>
        <x:v>2014-05</x:v>
      </x:c>
    </x:row>
    <x:row r="579">
      <x:c r="A579" t="str">
        <x:v>HYD04</x:v>
      </x:c>
      <x:c r="B579" s="22" t="n">
        <x:f>DATE(C579,D579,1)</x:f>
        <x:v>41791</x:v>
      </x:c>
      <x:c r="C579" t="n">
        <x:v>2014</x:v>
      </x:c>
      <x:c r="D579" t="n">
        <x:v>6</x:v>
      </x:c>
      <x:c r="E579" t="str">
        <x:f>TEXT(B579,"mmm")</x:f>
        <x:v>Jun</x:v>
      </x:c>
      <x:c r="F579" t="str">
        <x:f>"Q"&amp;ROUNDUP(D579/3,0)</x:f>
        <x:v>Q2</x:v>
      </x:c>
      <x:c r="G579" s="23" t="n">
        <x:v>59</x:v>
      </x:c>
      <x:c r="H579" s="23" t="n">
        <x:v>56</x:v>
      </x:c>
      <x:c r="I579" s="23" t="n">
        <x:v>57.5</x:v>
      </x:c>
      <x:c r="J579" s="23" t="n">
        <x:f>G579-H579</x:f>
        <x:v>3</x:v>
      </x:c>
      <x:c r="K579" t="str">
        <x:v>OBSERVED</x:v>
      </x:c>
      <x:c r="L579" s="24" t="n">
        <x:v>17.3616</x:v>
      </x:c>
      <x:c r="M579" s="24" t="n">
        <x:v>78.4747</x:v>
      </x:c>
      <x:c r="N579" t="str">
        <x:f>IF(I579&gt;70,"70+ dB",IF(I579&gt;55,"56-70 dB","41-55 dB"))</x:f>
        <x:v>56-70 dB</x:v>
      </x:c>
      <x:c r="O579" t="str">
        <x:f>IF(I579&gt;70,"High",IF(I579&gt;55,"Moderate","Low"))</x:f>
        <x:v>Moderate</x:v>
      </x:c>
      <x:c r="P579" t="str">
        <x:f>IF(I579&gt;=70,"Yes","No")</x:f>
        <x:v>No</x:v>
      </x:c>
      <x:c r="Q579" t="str">
        <x:f>TEXT(B579,"yyyy-mm")</x:f>
        <x:v>2014-06</x:v>
      </x:c>
    </x:row>
    <x:row r="580">
      <x:c r="A580" t="str">
        <x:v>HYD04</x:v>
      </x:c>
      <x:c r="B580" s="22" t="n">
        <x:f>DATE(C580,D580,1)</x:f>
        <x:v>41821</x:v>
      </x:c>
      <x:c r="C580" t="n">
        <x:v>2014</x:v>
      </x:c>
      <x:c r="D580" t="n">
        <x:v>7</x:v>
      </x:c>
      <x:c r="E580" t="str">
        <x:f>TEXT(B580,"mmm")</x:f>
        <x:v>Jul</x:v>
      </x:c>
      <x:c r="F580" t="str">
        <x:f>"Q"&amp;ROUNDUP(D580/3,0)</x:f>
        <x:v>Q3</x:v>
      </x:c>
      <x:c r="G580" s="23" t="n">
        <x:v>57</x:v>
      </x:c>
      <x:c r="H580" s="23" t="n">
        <x:v>53</x:v>
      </x:c>
      <x:c r="I580" s="23" t="n">
        <x:v>55</x:v>
      </x:c>
      <x:c r="J580" s="23" t="n">
        <x:f>G580-H580</x:f>
        <x:v>4</x:v>
      </x:c>
      <x:c r="K580" t="str">
        <x:v>OBSERVED</x:v>
      </x:c>
      <x:c r="L580" s="24" t="n">
        <x:v>17.3616</x:v>
      </x:c>
      <x:c r="M580" s="24" t="n">
        <x:v>78.4747</x:v>
      </x:c>
      <x:c r="N580" t="str">
        <x:f>IF(I580&gt;70,"70+ dB",IF(I580&gt;55,"56-70 dB","41-55 dB"))</x:f>
        <x:v>41-55 dB</x:v>
      </x:c>
      <x:c r="O580" t="str">
        <x:f>IF(I580&gt;70,"High",IF(I580&gt;55,"Moderate","Low"))</x:f>
        <x:v>Low</x:v>
      </x:c>
      <x:c r="P580" t="str">
        <x:f>IF(I580&gt;=70,"Yes","No")</x:f>
        <x:v>No</x:v>
      </x:c>
      <x:c r="Q580" t="str">
        <x:f>TEXT(B580,"yyyy-mm")</x:f>
        <x:v>2014-07</x:v>
      </x:c>
    </x:row>
    <x:row r="581">
      <x:c r="A581" t="str">
        <x:v>HYD04</x:v>
      </x:c>
      <x:c r="B581" s="22" t="n">
        <x:f>DATE(C581,D581,1)</x:f>
        <x:v>41852</x:v>
      </x:c>
      <x:c r="C581" t="n">
        <x:v>2014</x:v>
      </x:c>
      <x:c r="D581" t="n">
        <x:v>8</x:v>
      </x:c>
      <x:c r="E581" t="str">
        <x:f>TEXT(B581,"mmm")</x:f>
        <x:v>Aug</x:v>
      </x:c>
      <x:c r="F581" t="str">
        <x:f>"Q"&amp;ROUNDUP(D581/3,0)</x:f>
        <x:v>Q3</x:v>
      </x:c>
      <x:c r="G581" s="23" t="n">
        <x:v>56</x:v>
      </x:c>
      <x:c r="H581" s="23" t="n">
        <x:v>50</x:v>
      </x:c>
      <x:c r="I581" s="23" t="n">
        <x:v>53</x:v>
      </x:c>
      <x:c r="J581" s="23" t="n">
        <x:f>G581-H581</x:f>
        <x:v>6</x:v>
      </x:c>
      <x:c r="K581" t="str">
        <x:v>OBSERVED</x:v>
      </x:c>
      <x:c r="L581" s="24" t="n">
        <x:v>17.3616</x:v>
      </x:c>
      <x:c r="M581" s="24" t="n">
        <x:v>78.4747</x:v>
      </x:c>
      <x:c r="N581" t="str">
        <x:f>IF(I581&gt;70,"70+ dB",IF(I581&gt;55,"56-70 dB","41-55 dB"))</x:f>
        <x:v>41-55 dB</x:v>
      </x:c>
      <x:c r="O581" t="str">
        <x:f>IF(I581&gt;70,"High",IF(I581&gt;55,"Moderate","Low"))</x:f>
        <x:v>Low</x:v>
      </x:c>
      <x:c r="P581" t="str">
        <x:f>IF(I581&gt;=70,"Yes","No")</x:f>
        <x:v>No</x:v>
      </x:c>
      <x:c r="Q581" t="str">
        <x:f>TEXT(B581,"yyyy-mm")</x:f>
        <x:v>2014-08</x:v>
      </x:c>
    </x:row>
    <x:row r="582">
      <x:c r="A582" t="str">
        <x:v>HYD04</x:v>
      </x:c>
      <x:c r="B582" s="22" t="n">
        <x:f>DATE(C582,D582,1)</x:f>
        <x:v>41883</x:v>
      </x:c>
      <x:c r="C582" t="n">
        <x:v>2014</x:v>
      </x:c>
      <x:c r="D582" t="n">
        <x:v>9</x:v>
      </x:c>
      <x:c r="E582" t="str">
        <x:f>TEXT(B582,"mmm")</x:f>
        <x:v>Sep</x:v>
      </x:c>
      <x:c r="F582" t="str">
        <x:f>"Q"&amp;ROUNDUP(D582/3,0)</x:f>
        <x:v>Q3</x:v>
      </x:c>
      <x:c r="G582" s="23" t="n">
        <x:v>56</x:v>
      </x:c>
      <x:c r="H582" s="23" t="n">
        <x:v>50</x:v>
      </x:c>
      <x:c r="I582" s="23" t="n">
        <x:v>53</x:v>
      </x:c>
      <x:c r="J582" s="23" t="n">
        <x:f>G582-H582</x:f>
        <x:v>6</x:v>
      </x:c>
      <x:c r="K582" t="str">
        <x:v>OBSERVED</x:v>
      </x:c>
      <x:c r="L582" s="24" t="n">
        <x:v>17.3616</x:v>
      </x:c>
      <x:c r="M582" s="24" t="n">
        <x:v>78.4747</x:v>
      </x:c>
      <x:c r="N582" t="str">
        <x:f>IF(I582&gt;70,"70+ dB",IF(I582&gt;55,"56-70 dB","41-55 dB"))</x:f>
        <x:v>41-55 dB</x:v>
      </x:c>
      <x:c r="O582" t="str">
        <x:f>IF(I582&gt;70,"High",IF(I582&gt;55,"Moderate","Low"))</x:f>
        <x:v>Low</x:v>
      </x:c>
      <x:c r="P582" t="str">
        <x:f>IF(I582&gt;=70,"Yes","No")</x:f>
        <x:v>No</x:v>
      </x:c>
      <x:c r="Q582" t="str">
        <x:f>TEXT(B582,"yyyy-mm")</x:f>
        <x:v>2014-09</x:v>
      </x:c>
    </x:row>
    <x:row r="583">
      <x:c r="A583" t="str">
        <x:v>HYD04</x:v>
      </x:c>
      <x:c r="B583" s="22" t="n">
        <x:f>DATE(C583,D583,1)</x:f>
        <x:v>41913</x:v>
      </x:c>
      <x:c r="C583" t="n">
        <x:v>2014</x:v>
      </x:c>
      <x:c r="D583" t="n">
        <x:v>10</x:v>
      </x:c>
      <x:c r="E583" t="str">
        <x:f>TEXT(B583,"mmm")</x:f>
        <x:v>Oct</x:v>
      </x:c>
      <x:c r="F583" t="str">
        <x:f>"Q"&amp;ROUNDUP(D583/3,0)</x:f>
        <x:v>Q4</x:v>
      </x:c>
      <x:c r="G583" s="23" t="n">
        <x:v>55</x:v>
      </x:c>
      <x:c r="H583" s="23" t="n">
        <x:v>49</x:v>
      </x:c>
      <x:c r="I583" s="23" t="n">
        <x:v>52</x:v>
      </x:c>
      <x:c r="J583" s="23" t="n">
        <x:f>G583-H583</x:f>
        <x:v>6</x:v>
      </x:c>
      <x:c r="K583" t="str">
        <x:v>OBSERVED</x:v>
      </x:c>
      <x:c r="L583" s="24" t="n">
        <x:v>17.3616</x:v>
      </x:c>
      <x:c r="M583" s="24" t="n">
        <x:v>78.4747</x:v>
      </x:c>
      <x:c r="N583" t="str">
        <x:f>IF(I583&gt;70,"70+ dB",IF(I583&gt;55,"56-70 dB","41-55 dB"))</x:f>
        <x:v>41-55 dB</x:v>
      </x:c>
      <x:c r="O583" t="str">
        <x:f>IF(I583&gt;70,"High",IF(I583&gt;55,"Moderate","Low"))</x:f>
        <x:v>Low</x:v>
      </x:c>
      <x:c r="P583" t="str">
        <x:f>IF(I583&gt;=70,"Yes","No")</x:f>
        <x:v>No</x:v>
      </x:c>
      <x:c r="Q583" t="str">
        <x:f>TEXT(B583,"yyyy-mm")</x:f>
        <x:v>2014-10</x:v>
      </x:c>
    </x:row>
    <x:row r="584">
      <x:c r="A584" t="str">
        <x:v>HYD04</x:v>
      </x:c>
      <x:c r="B584" s="22" t="n">
        <x:f>DATE(C584,D584,1)</x:f>
        <x:v>41944</x:v>
      </x:c>
      <x:c r="C584" t="n">
        <x:v>2014</x:v>
      </x:c>
      <x:c r="D584" t="n">
        <x:v>11</x:v>
      </x:c>
      <x:c r="E584" t="str">
        <x:f>TEXT(B584,"mmm")</x:f>
        <x:v>Nov</x:v>
      </x:c>
      <x:c r="F584" t="str">
        <x:f>"Q"&amp;ROUNDUP(D584/3,0)</x:f>
        <x:v>Q4</x:v>
      </x:c>
      <x:c r="G584" s="23" t="n">
        <x:v>55</x:v>
      </x:c>
      <x:c r="H584" s="23" t="n">
        <x:v>48</x:v>
      </x:c>
      <x:c r="I584" s="23" t="n">
        <x:v>51.5</x:v>
      </x:c>
      <x:c r="J584" s="23" t="n">
        <x:f>G584-H584</x:f>
        <x:v>7</x:v>
      </x:c>
      <x:c r="K584" t="str">
        <x:v>OBSERVED</x:v>
      </x:c>
      <x:c r="L584" s="24" t="n">
        <x:v>17.3616</x:v>
      </x:c>
      <x:c r="M584" s="24" t="n">
        <x:v>78.4747</x:v>
      </x:c>
      <x:c r="N584" t="str">
        <x:f>IF(I584&gt;70,"70+ dB",IF(I584&gt;55,"56-70 dB","41-55 dB"))</x:f>
        <x:v>41-55 dB</x:v>
      </x:c>
      <x:c r="O584" t="str">
        <x:f>IF(I584&gt;70,"High",IF(I584&gt;55,"Moderate","Low"))</x:f>
        <x:v>Low</x:v>
      </x:c>
      <x:c r="P584" t="str">
        <x:f>IF(I584&gt;=70,"Yes","No")</x:f>
        <x:v>No</x:v>
      </x:c>
      <x:c r="Q584" t="str">
        <x:f>TEXT(B584,"yyyy-mm")</x:f>
        <x:v>2014-11</x:v>
      </x:c>
    </x:row>
    <x:row r="585">
      <x:c r="A585" t="str">
        <x:v>HYD04</x:v>
      </x:c>
      <x:c r="B585" s="22" t="n">
        <x:f>DATE(C585,D585,1)</x:f>
        <x:v>41974</x:v>
      </x:c>
      <x:c r="C585" t="n">
        <x:v>2014</x:v>
      </x:c>
      <x:c r="D585" t="n">
        <x:v>12</x:v>
      </x:c>
      <x:c r="E585" t="str">
        <x:f>TEXT(B585,"mmm")</x:f>
        <x:v>Dec</x:v>
      </x:c>
      <x:c r="F585" t="str">
        <x:f>"Q"&amp;ROUNDUP(D585/3,0)</x:f>
        <x:v>Q4</x:v>
      </x:c>
      <x:c r="G585" s="23" t="n">
        <x:v>55</x:v>
      </x:c>
      <x:c r="H585" s="23" t="n">
        <x:v>49</x:v>
      </x:c>
      <x:c r="I585" s="23" t="n">
        <x:v>52</x:v>
      </x:c>
      <x:c r="J585" s="23" t="n">
        <x:f>G585-H585</x:f>
        <x:v>6</x:v>
      </x:c>
      <x:c r="K585" t="str">
        <x:v>OBSERVED</x:v>
      </x:c>
      <x:c r="L585" s="24" t="n">
        <x:v>17.3616</x:v>
      </x:c>
      <x:c r="M585" s="24" t="n">
        <x:v>78.4747</x:v>
      </x:c>
      <x:c r="N585" t="str">
        <x:f>IF(I585&gt;70,"70+ dB",IF(I585&gt;55,"56-70 dB","41-55 dB"))</x:f>
        <x:v>41-55 dB</x:v>
      </x:c>
      <x:c r="O585" t="str">
        <x:f>IF(I585&gt;70,"High",IF(I585&gt;55,"Moderate","Low"))</x:f>
        <x:v>Low</x:v>
      </x:c>
      <x:c r="P585" t="str">
        <x:f>IF(I585&gt;=70,"Yes","No")</x:f>
        <x:v>No</x:v>
      </x:c>
      <x:c r="Q585" t="str">
        <x:f>TEXT(B585,"yyyy-mm")</x:f>
        <x:v>2014-12</x:v>
      </x:c>
    </x:row>
    <x:row r="586">
      <x:c r="A586" t="str">
        <x:v>HYD04</x:v>
      </x:c>
      <x:c r="B586" s="22" t="n">
        <x:f>DATE(C586,D586,1)</x:f>
        <x:v>42005</x:v>
      </x:c>
      <x:c r="C586" t="n">
        <x:v>2015</x:v>
      </x:c>
      <x:c r="D586" t="n">
        <x:v>1</x:v>
      </x:c>
      <x:c r="E586" t="str">
        <x:f>TEXT(B586,"mmm")</x:f>
        <x:v>Jan</x:v>
      </x:c>
      <x:c r="F586" t="str">
        <x:f>"Q"&amp;ROUNDUP(D586/3,0)</x:f>
        <x:v>Q1</x:v>
      </x:c>
      <x:c r="G586" s="23" t="n">
        <x:v>56</x:v>
      </x:c>
      <x:c r="H586" s="23" t="n">
        <x:v>50</x:v>
      </x:c>
      <x:c r="I586" s="23" t="n">
        <x:v>53</x:v>
      </x:c>
      <x:c r="J586" s="23" t="n">
        <x:f>G586-H586</x:f>
        <x:v>6</x:v>
      </x:c>
      <x:c r="K586" t="str">
        <x:v>OBSERVED</x:v>
      </x:c>
      <x:c r="L586" s="24" t="n">
        <x:v>17.3616</x:v>
      </x:c>
      <x:c r="M586" s="24" t="n">
        <x:v>78.4747</x:v>
      </x:c>
      <x:c r="N586" t="str">
        <x:f>IF(I586&gt;70,"70+ dB",IF(I586&gt;55,"56-70 dB","41-55 dB"))</x:f>
        <x:v>41-55 dB</x:v>
      </x:c>
      <x:c r="O586" t="str">
        <x:f>IF(I586&gt;70,"High",IF(I586&gt;55,"Moderate","Low"))</x:f>
        <x:v>Low</x:v>
      </x:c>
      <x:c r="P586" t="str">
        <x:f>IF(I586&gt;=70,"Yes","No")</x:f>
        <x:v>No</x:v>
      </x:c>
      <x:c r="Q586" t="str">
        <x:f>TEXT(B586,"yyyy-mm")</x:f>
        <x:v>2015-01</x:v>
      </x:c>
    </x:row>
    <x:row r="587">
      <x:c r="A587" t="str">
        <x:v>HYD04</x:v>
      </x:c>
      <x:c r="B587" s="22" t="n">
        <x:f>DATE(C587,D587,1)</x:f>
        <x:v>42036</x:v>
      </x:c>
      <x:c r="C587" t="n">
        <x:v>2015</x:v>
      </x:c>
      <x:c r="D587" t="n">
        <x:v>2</x:v>
      </x:c>
      <x:c r="E587" t="str">
        <x:f>TEXT(B587,"mmm")</x:f>
        <x:v>Feb</x:v>
      </x:c>
      <x:c r="F587" t="str">
        <x:f>"Q"&amp;ROUNDUP(D587/3,0)</x:f>
        <x:v>Q1</x:v>
      </x:c>
      <x:c r="G587" s="23" t="n">
        <x:v>56</x:v>
      </x:c>
      <x:c r="H587" s="23" t="n">
        <x:v>50</x:v>
      </x:c>
      <x:c r="I587" s="23" t="n">
        <x:v>53</x:v>
      </x:c>
      <x:c r="J587" s="23" t="n">
        <x:f>G587-H587</x:f>
        <x:v>6</x:v>
      </x:c>
      <x:c r="K587" t="str">
        <x:v>OBSERVED</x:v>
      </x:c>
      <x:c r="L587" s="24" t="n">
        <x:v>17.3616</x:v>
      </x:c>
      <x:c r="M587" s="24" t="n">
        <x:v>78.4747</x:v>
      </x:c>
      <x:c r="N587" t="str">
        <x:f>IF(I587&gt;70,"70+ dB",IF(I587&gt;55,"56-70 dB","41-55 dB"))</x:f>
        <x:v>41-55 dB</x:v>
      </x:c>
      <x:c r="O587" t="str">
        <x:f>IF(I587&gt;70,"High",IF(I587&gt;55,"Moderate","Low"))</x:f>
        <x:v>Low</x:v>
      </x:c>
      <x:c r="P587" t="str">
        <x:f>IF(I587&gt;=70,"Yes","No")</x:f>
        <x:v>No</x:v>
      </x:c>
      <x:c r="Q587" t="str">
        <x:f>TEXT(B587,"yyyy-mm")</x:f>
        <x:v>2015-02</x:v>
      </x:c>
    </x:row>
    <x:row r="588">
      <x:c r="A588" t="str">
        <x:v>HYD04</x:v>
      </x:c>
      <x:c r="B588" s="22" t="n">
        <x:f>DATE(C588,D588,1)</x:f>
        <x:v>42064</x:v>
      </x:c>
      <x:c r="C588" t="n">
        <x:v>2015</x:v>
      </x:c>
      <x:c r="D588" t="n">
        <x:v>3</x:v>
      </x:c>
      <x:c r="E588" t="str">
        <x:f>TEXT(B588,"mmm")</x:f>
        <x:v>Mar</x:v>
      </x:c>
      <x:c r="F588" t="str">
        <x:f>"Q"&amp;ROUNDUP(D588/3,0)</x:f>
        <x:v>Q1</x:v>
      </x:c>
      <x:c r="G588" s="23" t="n">
        <x:v>56</x:v>
      </x:c>
      <x:c r="H588" s="23" t="n">
        <x:v>50</x:v>
      </x:c>
      <x:c r="I588" s="23" t="n">
        <x:v>53</x:v>
      </x:c>
      <x:c r="J588" s="23" t="n">
        <x:f>G588-H588</x:f>
        <x:v>6</x:v>
      </x:c>
      <x:c r="K588" t="str">
        <x:v>OBSERVED</x:v>
      </x:c>
      <x:c r="L588" s="24" t="n">
        <x:v>17.3616</x:v>
      </x:c>
      <x:c r="M588" s="24" t="n">
        <x:v>78.4747</x:v>
      </x:c>
      <x:c r="N588" t="str">
        <x:f>IF(I588&gt;70,"70+ dB",IF(I588&gt;55,"56-70 dB","41-55 dB"))</x:f>
        <x:v>41-55 dB</x:v>
      </x:c>
      <x:c r="O588" t="str">
        <x:f>IF(I588&gt;70,"High",IF(I588&gt;55,"Moderate","Low"))</x:f>
        <x:v>Low</x:v>
      </x:c>
      <x:c r="P588" t="str">
        <x:f>IF(I588&gt;=70,"Yes","No")</x:f>
        <x:v>No</x:v>
      </x:c>
      <x:c r="Q588" t="str">
        <x:f>TEXT(B588,"yyyy-mm")</x:f>
        <x:v>2015-03</x:v>
      </x:c>
    </x:row>
    <x:row r="589">
      <x:c r="A589" t="str">
        <x:v>HYD04</x:v>
      </x:c>
      <x:c r="B589" s="22" t="n">
        <x:f>DATE(C589,D589,1)</x:f>
        <x:v>42095</x:v>
      </x:c>
      <x:c r="C589" t="n">
        <x:v>2015</x:v>
      </x:c>
      <x:c r="D589" t="n">
        <x:v>4</x:v>
      </x:c>
      <x:c r="E589" t="str">
        <x:f>TEXT(B589,"mmm")</x:f>
        <x:v>Apr</x:v>
      </x:c>
      <x:c r="F589" t="str">
        <x:f>"Q"&amp;ROUNDUP(D589/3,0)</x:f>
        <x:v>Q2</x:v>
      </x:c>
      <x:c r="G589" s="23" t="n">
        <x:v>57</x:v>
      </x:c>
      <x:c r="H589" s="23" t="n">
        <x:v>53</x:v>
      </x:c>
      <x:c r="I589" s="23" t="n">
        <x:v>55</x:v>
      </x:c>
      <x:c r="J589" s="23" t="n">
        <x:f>G589-H589</x:f>
        <x:v>4</x:v>
      </x:c>
      <x:c r="K589" t="str">
        <x:v>OBSERVED</x:v>
      </x:c>
      <x:c r="L589" s="24" t="n">
        <x:v>17.3616</x:v>
      </x:c>
      <x:c r="M589" s="24" t="n">
        <x:v>78.4747</x:v>
      </x:c>
      <x:c r="N589" t="str">
        <x:f>IF(I589&gt;70,"70+ dB",IF(I589&gt;55,"56-70 dB","41-55 dB"))</x:f>
        <x:v>41-55 dB</x:v>
      </x:c>
      <x:c r="O589" t="str">
        <x:f>IF(I589&gt;70,"High",IF(I589&gt;55,"Moderate","Low"))</x:f>
        <x:v>Low</x:v>
      </x:c>
      <x:c r="P589" t="str">
        <x:f>IF(I589&gt;=70,"Yes","No")</x:f>
        <x:v>No</x:v>
      </x:c>
      <x:c r="Q589" t="str">
        <x:f>TEXT(B589,"yyyy-mm")</x:f>
        <x:v>2015-04</x:v>
      </x:c>
    </x:row>
    <x:row r="590">
      <x:c r="A590" t="str">
        <x:v>HYD04</x:v>
      </x:c>
      <x:c r="B590" s="22" t="n">
        <x:f>DATE(C590,D590,1)</x:f>
        <x:v>42125</x:v>
      </x:c>
      <x:c r="C590" t="n">
        <x:v>2015</x:v>
      </x:c>
      <x:c r="D590" t="n">
        <x:v>5</x:v>
      </x:c>
      <x:c r="E590" t="str">
        <x:f>TEXT(B590,"mmm")</x:f>
        <x:v>May</x:v>
      </x:c>
      <x:c r="F590" t="str">
        <x:f>"Q"&amp;ROUNDUP(D590/3,0)</x:f>
        <x:v>Q2</x:v>
      </x:c>
      <x:c r="G590" s="23" t="n">
        <x:v>57</x:v>
      </x:c>
      <x:c r="H590" s="23" t="n">
        <x:v>52</x:v>
      </x:c>
      <x:c r="I590" s="23" t="n">
        <x:v>54.5</x:v>
      </x:c>
      <x:c r="J590" s="23" t="n">
        <x:f>G590-H590</x:f>
        <x:v>5</x:v>
      </x:c>
      <x:c r="K590" t="str">
        <x:v>OBSERVED</x:v>
      </x:c>
      <x:c r="L590" s="24" t="n">
        <x:v>17.3616</x:v>
      </x:c>
      <x:c r="M590" s="24" t="n">
        <x:v>78.4747</x:v>
      </x:c>
      <x:c r="N590" t="str">
        <x:f>IF(I590&gt;70,"70+ dB",IF(I590&gt;55,"56-70 dB","41-55 dB"))</x:f>
        <x:v>41-55 dB</x:v>
      </x:c>
      <x:c r="O590" t="str">
        <x:f>IF(I590&gt;70,"High",IF(I590&gt;55,"Moderate","Low"))</x:f>
        <x:v>Low</x:v>
      </x:c>
      <x:c r="P590" t="str">
        <x:f>IF(I590&gt;=70,"Yes","No")</x:f>
        <x:v>No</x:v>
      </x:c>
      <x:c r="Q590" t="str">
        <x:f>TEXT(B590,"yyyy-mm")</x:f>
        <x:v>2015-05</x:v>
      </x:c>
    </x:row>
    <x:row r="591">
      <x:c r="A591" t="str">
        <x:v>HYD04</x:v>
      </x:c>
      <x:c r="B591" s="22" t="n">
        <x:f>DATE(C591,D591,1)</x:f>
        <x:v>42156</x:v>
      </x:c>
      <x:c r="C591" t="n">
        <x:v>2015</x:v>
      </x:c>
      <x:c r="D591" t="n">
        <x:v>6</x:v>
      </x:c>
      <x:c r="E591" t="str">
        <x:f>TEXT(B591,"mmm")</x:f>
        <x:v>Jun</x:v>
      </x:c>
      <x:c r="F591" t="str">
        <x:f>"Q"&amp;ROUNDUP(D591/3,0)</x:f>
        <x:v>Q2</x:v>
      </x:c>
      <x:c r="G591" s="23" t="n">
        <x:v>58</x:v>
      </x:c>
      <x:c r="H591" s="23" t="n">
        <x:v>54</x:v>
      </x:c>
      <x:c r="I591" s="23" t="n">
        <x:v>56</x:v>
      </x:c>
      <x:c r="J591" s="23" t="n">
        <x:f>G591-H591</x:f>
        <x:v>4</x:v>
      </x:c>
      <x:c r="K591" t="str">
        <x:v>OBSERVED</x:v>
      </x:c>
      <x:c r="L591" s="24" t="n">
        <x:v>17.3616</x:v>
      </x:c>
      <x:c r="M591" s="24" t="n">
        <x:v>78.4747</x:v>
      </x:c>
      <x:c r="N591" t="str">
        <x:f>IF(I591&gt;70,"70+ dB",IF(I591&gt;55,"56-70 dB","41-55 dB"))</x:f>
        <x:v>56-70 dB</x:v>
      </x:c>
      <x:c r="O591" t="str">
        <x:f>IF(I591&gt;70,"High",IF(I591&gt;55,"Moderate","Low"))</x:f>
        <x:v>Moderate</x:v>
      </x:c>
      <x:c r="P591" t="str">
        <x:f>IF(I591&gt;=70,"Yes","No")</x:f>
        <x:v>No</x:v>
      </x:c>
      <x:c r="Q591" t="str">
        <x:f>TEXT(B591,"yyyy-mm")</x:f>
        <x:v>2015-06</x:v>
      </x:c>
    </x:row>
    <x:row r="592">
      <x:c r="A592" t="str">
        <x:v>HYD04</x:v>
      </x:c>
      <x:c r="B592" s="22" t="n">
        <x:f>DATE(C592,D592,1)</x:f>
        <x:v>42186</x:v>
      </x:c>
      <x:c r="C592" t="n">
        <x:v>2015</x:v>
      </x:c>
      <x:c r="D592" t="n">
        <x:v>7</x:v>
      </x:c>
      <x:c r="E592" t="str">
        <x:f>TEXT(B592,"mmm")</x:f>
        <x:v>Jul</x:v>
      </x:c>
      <x:c r="F592" t="str">
        <x:f>"Q"&amp;ROUNDUP(D592/3,0)</x:f>
        <x:v>Q3</x:v>
      </x:c>
      <x:c r="G592" s="23" t="n">
        <x:v>57</x:v>
      </x:c>
      <x:c r="H592" s="23" t="n">
        <x:v>53</x:v>
      </x:c>
      <x:c r="I592" s="23" t="n">
        <x:v>55</x:v>
      </x:c>
      <x:c r="J592" s="23" t="n">
        <x:f>G592-H592</x:f>
        <x:v>4</x:v>
      </x:c>
      <x:c r="K592" t="str">
        <x:v>OBSERVED</x:v>
      </x:c>
      <x:c r="L592" s="24" t="n">
        <x:v>17.3616</x:v>
      </x:c>
      <x:c r="M592" s="24" t="n">
        <x:v>78.4747</x:v>
      </x:c>
      <x:c r="N592" t="str">
        <x:f>IF(I592&gt;70,"70+ dB",IF(I592&gt;55,"56-70 dB","41-55 dB"))</x:f>
        <x:v>41-55 dB</x:v>
      </x:c>
      <x:c r="O592" t="str">
        <x:f>IF(I592&gt;70,"High",IF(I592&gt;55,"Moderate","Low"))</x:f>
        <x:v>Low</x:v>
      </x:c>
      <x:c r="P592" t="str">
        <x:f>IF(I592&gt;=70,"Yes","No")</x:f>
        <x:v>No</x:v>
      </x:c>
      <x:c r="Q592" t="str">
        <x:f>TEXT(B592,"yyyy-mm")</x:f>
        <x:v>2015-07</x:v>
      </x:c>
    </x:row>
    <x:row r="593">
      <x:c r="A593" t="str">
        <x:v>HYD04</x:v>
      </x:c>
      <x:c r="B593" s="22" t="n">
        <x:f>DATE(C593,D593,1)</x:f>
        <x:v>42217</x:v>
      </x:c>
      <x:c r="C593" t="n">
        <x:v>2015</x:v>
      </x:c>
      <x:c r="D593" t="n">
        <x:v>8</x:v>
      </x:c>
      <x:c r="E593" t="str">
        <x:f>TEXT(B593,"mmm")</x:f>
        <x:v>Aug</x:v>
      </x:c>
      <x:c r="F593" t="str">
        <x:f>"Q"&amp;ROUNDUP(D593/3,0)</x:f>
        <x:v>Q3</x:v>
      </x:c>
      <x:c r="G593" s="23" t="n">
        <x:v>56</x:v>
      </x:c>
      <x:c r="H593" s="23" t="n">
        <x:v>52</x:v>
      </x:c>
      <x:c r="I593" s="23" t="n">
        <x:v>54</x:v>
      </x:c>
      <x:c r="J593" s="23" t="n">
        <x:f>G593-H593</x:f>
        <x:v>4</x:v>
      </x:c>
      <x:c r="K593" t="str">
        <x:v>OBSERVED</x:v>
      </x:c>
      <x:c r="L593" s="24" t="n">
        <x:v>17.3616</x:v>
      </x:c>
      <x:c r="M593" s="24" t="n">
        <x:v>78.4747</x:v>
      </x:c>
      <x:c r="N593" t="str">
        <x:f>IF(I593&gt;70,"70+ dB",IF(I593&gt;55,"56-70 dB","41-55 dB"))</x:f>
        <x:v>41-55 dB</x:v>
      </x:c>
      <x:c r="O593" t="str">
        <x:f>IF(I593&gt;70,"High",IF(I593&gt;55,"Moderate","Low"))</x:f>
        <x:v>Low</x:v>
      </x:c>
      <x:c r="P593" t="str">
        <x:f>IF(I593&gt;=70,"Yes","No")</x:f>
        <x:v>No</x:v>
      </x:c>
      <x:c r="Q593" t="str">
        <x:f>TEXT(B593,"yyyy-mm")</x:f>
        <x:v>2015-08</x:v>
      </x:c>
    </x:row>
    <x:row r="594">
      <x:c r="A594" t="str">
        <x:v>HYD04</x:v>
      </x:c>
      <x:c r="B594" s="22" t="n">
        <x:f>DATE(C594,D594,1)</x:f>
        <x:v>42248</x:v>
      </x:c>
      <x:c r="C594" t="n">
        <x:v>2015</x:v>
      </x:c>
      <x:c r="D594" t="n">
        <x:v>9</x:v>
      </x:c>
      <x:c r="E594" t="str">
        <x:f>TEXT(B594,"mmm")</x:f>
        <x:v>Sep</x:v>
      </x:c>
      <x:c r="F594" t="str">
        <x:f>"Q"&amp;ROUNDUP(D594/3,0)</x:f>
        <x:v>Q3</x:v>
      </x:c>
      <x:c r="G594" s="23" t="n">
        <x:v>56</x:v>
      </x:c>
      <x:c r="H594" s="23" t="n">
        <x:v>50</x:v>
      </x:c>
      <x:c r="I594" s="23" t="n">
        <x:v>53</x:v>
      </x:c>
      <x:c r="J594" s="23" t="n">
        <x:f>G594-H594</x:f>
        <x:v>6</x:v>
      </x:c>
      <x:c r="K594" t="str">
        <x:v>OBSERVED</x:v>
      </x:c>
      <x:c r="L594" s="24" t="n">
        <x:v>17.3616</x:v>
      </x:c>
      <x:c r="M594" s="24" t="n">
        <x:v>78.4747</x:v>
      </x:c>
      <x:c r="N594" t="str">
        <x:f>IF(I594&gt;70,"70+ dB",IF(I594&gt;55,"56-70 dB","41-55 dB"))</x:f>
        <x:v>41-55 dB</x:v>
      </x:c>
      <x:c r="O594" t="str">
        <x:f>IF(I594&gt;70,"High",IF(I594&gt;55,"Moderate","Low"))</x:f>
        <x:v>Low</x:v>
      </x:c>
      <x:c r="P594" t="str">
        <x:f>IF(I594&gt;=70,"Yes","No")</x:f>
        <x:v>No</x:v>
      </x:c>
      <x:c r="Q594" t="str">
        <x:f>TEXT(B594,"yyyy-mm")</x:f>
        <x:v>2015-09</x:v>
      </x:c>
    </x:row>
    <x:row r="595">
      <x:c r="A595" t="str">
        <x:v>HYD04</x:v>
      </x:c>
      <x:c r="B595" s="22" t="n">
        <x:f>DATE(C595,D595,1)</x:f>
        <x:v>42278</x:v>
      </x:c>
      <x:c r="C595" t="n">
        <x:v>2015</x:v>
      </x:c>
      <x:c r="D595" t="n">
        <x:v>10</x:v>
      </x:c>
      <x:c r="E595" t="str">
        <x:f>TEXT(B595,"mmm")</x:f>
        <x:v>Oct</x:v>
      </x:c>
      <x:c r="F595" t="str">
        <x:f>"Q"&amp;ROUNDUP(D595/3,0)</x:f>
        <x:v>Q4</x:v>
      </x:c>
      <x:c r="G595" s="23" t="n">
        <x:v>56</x:v>
      </x:c>
      <x:c r="H595" s="23" t="n">
        <x:v>50</x:v>
      </x:c>
      <x:c r="I595" s="23" t="n">
        <x:v>53</x:v>
      </x:c>
      <x:c r="J595" s="23" t="n">
        <x:f>G595-H595</x:f>
        <x:v>6</x:v>
      </x:c>
      <x:c r="K595" t="str">
        <x:v>OBSERVED</x:v>
      </x:c>
      <x:c r="L595" s="24" t="n">
        <x:v>17.3616</x:v>
      </x:c>
      <x:c r="M595" s="24" t="n">
        <x:v>78.4747</x:v>
      </x:c>
      <x:c r="N595" t="str">
        <x:f>IF(I595&gt;70,"70+ dB",IF(I595&gt;55,"56-70 dB","41-55 dB"))</x:f>
        <x:v>41-55 dB</x:v>
      </x:c>
      <x:c r="O595" t="str">
        <x:f>IF(I595&gt;70,"High",IF(I595&gt;55,"Moderate","Low"))</x:f>
        <x:v>Low</x:v>
      </x:c>
      <x:c r="P595" t="str">
        <x:f>IF(I595&gt;=70,"Yes","No")</x:f>
        <x:v>No</x:v>
      </x:c>
      <x:c r="Q595" t="str">
        <x:f>TEXT(B595,"yyyy-mm")</x:f>
        <x:v>2015-10</x:v>
      </x:c>
    </x:row>
    <x:row r="596">
      <x:c r="A596" t="str">
        <x:v>HYD04</x:v>
      </x:c>
      <x:c r="B596" s="22" t="n">
        <x:f>DATE(C596,D596,1)</x:f>
        <x:v>42309</x:v>
      </x:c>
      <x:c r="C596" t="n">
        <x:v>2015</x:v>
      </x:c>
      <x:c r="D596" t="n">
        <x:v>11</x:v>
      </x:c>
      <x:c r="E596" t="str">
        <x:f>TEXT(B596,"mmm")</x:f>
        <x:v>Nov</x:v>
      </x:c>
      <x:c r="F596" t="str">
        <x:f>"Q"&amp;ROUNDUP(D596/3,0)</x:f>
        <x:v>Q4</x:v>
      </x:c>
      <x:c r="G596" s="23" t="n">
        <x:v>56</x:v>
      </x:c>
      <x:c r="H596" s="23" t="n">
        <x:v>51</x:v>
      </x:c>
      <x:c r="I596" s="23" t="n">
        <x:v>53.5</x:v>
      </x:c>
      <x:c r="J596" s="23" t="n">
        <x:f>G596-H596</x:f>
        <x:v>5</x:v>
      </x:c>
      <x:c r="K596" t="str">
        <x:v>OBSERVED</x:v>
      </x:c>
      <x:c r="L596" s="24" t="n">
        <x:v>17.3616</x:v>
      </x:c>
      <x:c r="M596" s="24" t="n">
        <x:v>78.4747</x:v>
      </x:c>
      <x:c r="N596" t="str">
        <x:f>IF(I596&gt;70,"70+ dB",IF(I596&gt;55,"56-70 dB","41-55 dB"))</x:f>
        <x:v>41-55 dB</x:v>
      </x:c>
      <x:c r="O596" t="str">
        <x:f>IF(I596&gt;70,"High",IF(I596&gt;55,"Moderate","Low"))</x:f>
        <x:v>Low</x:v>
      </x:c>
      <x:c r="P596" t="str">
        <x:f>IF(I596&gt;=70,"Yes","No")</x:f>
        <x:v>No</x:v>
      </x:c>
      <x:c r="Q596" t="str">
        <x:f>TEXT(B596,"yyyy-mm")</x:f>
        <x:v>2015-11</x:v>
      </x:c>
    </x:row>
    <x:row r="597">
      <x:c r="A597" t="str">
        <x:v>HYD04</x:v>
      </x:c>
      <x:c r="B597" s="22" t="n">
        <x:f>DATE(C597,D597,1)</x:f>
        <x:v>42339</x:v>
      </x:c>
      <x:c r="C597" t="n">
        <x:v>2015</x:v>
      </x:c>
      <x:c r="D597" t="n">
        <x:v>12</x:v>
      </x:c>
      <x:c r="E597" t="str">
        <x:f>TEXT(B597,"mmm")</x:f>
        <x:v>Dec</x:v>
      </x:c>
      <x:c r="F597" t="str">
        <x:f>"Q"&amp;ROUNDUP(D597/3,0)</x:f>
        <x:v>Q4</x:v>
      </x:c>
      <x:c r="G597" s="23" t="n">
        <x:v>56</x:v>
      </x:c>
      <x:c r="H597" s="23" t="n">
        <x:v>50</x:v>
      </x:c>
      <x:c r="I597" s="23" t="n">
        <x:v>53</x:v>
      </x:c>
      <x:c r="J597" s="23" t="n">
        <x:f>G597-H597</x:f>
        <x:v>6</x:v>
      </x:c>
      <x:c r="K597" t="str">
        <x:v>OBSERVED</x:v>
      </x:c>
      <x:c r="L597" s="24" t="n">
        <x:v>17.3616</x:v>
      </x:c>
      <x:c r="M597" s="24" t="n">
        <x:v>78.4747</x:v>
      </x:c>
      <x:c r="N597" t="str">
        <x:f>IF(I597&gt;70,"70+ dB",IF(I597&gt;55,"56-70 dB","41-55 dB"))</x:f>
        <x:v>41-55 dB</x:v>
      </x:c>
      <x:c r="O597" t="str">
        <x:f>IF(I597&gt;70,"High",IF(I597&gt;55,"Moderate","Low"))</x:f>
        <x:v>Low</x:v>
      </x:c>
      <x:c r="P597" t="str">
        <x:f>IF(I597&gt;=70,"Yes","No")</x:f>
        <x:v>No</x:v>
      </x:c>
      <x:c r="Q597" t="str">
        <x:f>TEXT(B597,"yyyy-mm")</x:f>
        <x:v>2015-12</x:v>
      </x:c>
    </x:row>
    <x:row r="598">
      <x:c r="A598" t="str">
        <x:v>HYD04</x:v>
      </x:c>
      <x:c r="B598" s="22" t="n">
        <x:f>DATE(C598,D598,1)</x:f>
        <x:v>42370</x:v>
      </x:c>
      <x:c r="C598" t="n">
        <x:v>2016</x:v>
      </x:c>
      <x:c r="D598" t="n">
        <x:v>1</x:v>
      </x:c>
      <x:c r="E598" t="str">
        <x:f>TEXT(B598,"mmm")</x:f>
        <x:v>Jan</x:v>
      </x:c>
      <x:c r="F598" t="str">
        <x:f>"Q"&amp;ROUNDUP(D598/3,0)</x:f>
        <x:v>Q1</x:v>
      </x:c>
      <x:c r="G598" s="23" t="n">
        <x:v>56</x:v>
      </x:c>
      <x:c r="H598" s="23" t="n">
        <x:v>50</x:v>
      </x:c>
      <x:c r="I598" s="23" t="n">
        <x:v>53</x:v>
      </x:c>
      <x:c r="J598" s="23" t="n">
        <x:f>G598-H598</x:f>
        <x:v>6</x:v>
      </x:c>
      <x:c r="K598" t="str">
        <x:v>OBSERVED</x:v>
      </x:c>
      <x:c r="L598" s="24" t="n">
        <x:v>17.3616</x:v>
      </x:c>
      <x:c r="M598" s="24" t="n">
        <x:v>78.4747</x:v>
      </x:c>
      <x:c r="N598" t="str">
        <x:f>IF(I598&gt;70,"70+ dB",IF(I598&gt;55,"56-70 dB","41-55 dB"))</x:f>
        <x:v>41-55 dB</x:v>
      </x:c>
      <x:c r="O598" t="str">
        <x:f>IF(I598&gt;70,"High",IF(I598&gt;55,"Moderate","Low"))</x:f>
        <x:v>Low</x:v>
      </x:c>
      <x:c r="P598" t="str">
        <x:f>IF(I598&gt;=70,"Yes","No")</x:f>
        <x:v>No</x:v>
      </x:c>
      <x:c r="Q598" t="str">
        <x:f>TEXT(B598,"yyyy-mm")</x:f>
        <x:v>2016-01</x:v>
      </x:c>
    </x:row>
    <x:row r="599">
      <x:c r="A599" t="str">
        <x:v>HYD04</x:v>
      </x:c>
      <x:c r="B599" s="22" t="n">
        <x:f>DATE(C599,D599,1)</x:f>
        <x:v>42401</x:v>
      </x:c>
      <x:c r="C599" t="n">
        <x:v>2016</x:v>
      </x:c>
      <x:c r="D599" t="n">
        <x:v>2</x:v>
      </x:c>
      <x:c r="E599" t="str">
        <x:f>TEXT(B599,"mmm")</x:f>
        <x:v>Feb</x:v>
      </x:c>
      <x:c r="F599" t="str">
        <x:f>"Q"&amp;ROUNDUP(D599/3,0)</x:f>
        <x:v>Q1</x:v>
      </x:c>
      <x:c r="G599" s="23" t="n">
        <x:v>60</x:v>
      </x:c>
      <x:c r="H599" s="23" t="n">
        <x:v>50</x:v>
      </x:c>
      <x:c r="I599" s="23" t="n">
        <x:v>55</x:v>
      </x:c>
      <x:c r="J599" s="23" t="n">
        <x:f>G599-H599</x:f>
        <x:v>10</x:v>
      </x:c>
      <x:c r="K599" t="str">
        <x:v>OBSERVED</x:v>
      </x:c>
      <x:c r="L599" s="24" t="n">
        <x:v>17.3616</x:v>
      </x:c>
      <x:c r="M599" s="24" t="n">
        <x:v>78.4747</x:v>
      </x:c>
      <x:c r="N599" t="str">
        <x:f>IF(I599&gt;70,"70+ dB",IF(I599&gt;55,"56-70 dB","41-55 dB"))</x:f>
        <x:v>41-55 dB</x:v>
      </x:c>
      <x:c r="O599" t="str">
        <x:f>IF(I599&gt;70,"High",IF(I599&gt;55,"Moderate","Low"))</x:f>
        <x:v>Low</x:v>
      </x:c>
      <x:c r="P599" t="str">
        <x:f>IF(I599&gt;=70,"Yes","No")</x:f>
        <x:v>No</x:v>
      </x:c>
      <x:c r="Q599" t="str">
        <x:f>TEXT(B599,"yyyy-mm")</x:f>
        <x:v>2016-02</x:v>
      </x:c>
    </x:row>
    <x:row r="600">
      <x:c r="A600" t="str">
        <x:v>HYD04</x:v>
      </x:c>
      <x:c r="B600" s="22" t="n">
        <x:f>DATE(C600,D600,1)</x:f>
        <x:v>42430</x:v>
      </x:c>
      <x:c r="C600" t="n">
        <x:v>2016</x:v>
      </x:c>
      <x:c r="D600" t="n">
        <x:v>3</x:v>
      </x:c>
      <x:c r="E600" t="str">
        <x:f>TEXT(B600,"mmm")</x:f>
        <x:v>Mar</x:v>
      </x:c>
      <x:c r="F600" t="str">
        <x:f>"Q"&amp;ROUNDUP(D600/3,0)</x:f>
        <x:v>Q1</x:v>
      </x:c>
      <x:c r="G600" s="23" t="n">
        <x:v>56</x:v>
      </x:c>
      <x:c r="H600" s="23" t="n">
        <x:v>50</x:v>
      </x:c>
      <x:c r="I600" s="23" t="n">
        <x:v>53</x:v>
      </x:c>
      <x:c r="J600" s="23" t="n">
        <x:f>G600-H600</x:f>
        <x:v>6</x:v>
      </x:c>
      <x:c r="K600" t="str">
        <x:v>OBSERVED</x:v>
      </x:c>
      <x:c r="L600" s="24" t="n">
        <x:v>17.3616</x:v>
      </x:c>
      <x:c r="M600" s="24" t="n">
        <x:v>78.4747</x:v>
      </x:c>
      <x:c r="N600" t="str">
        <x:f>IF(I600&gt;70,"70+ dB",IF(I600&gt;55,"56-70 dB","41-55 dB"))</x:f>
        <x:v>41-55 dB</x:v>
      </x:c>
      <x:c r="O600" t="str">
        <x:f>IF(I600&gt;70,"High",IF(I600&gt;55,"Moderate","Low"))</x:f>
        <x:v>Low</x:v>
      </x:c>
      <x:c r="P600" t="str">
        <x:f>IF(I600&gt;=70,"Yes","No")</x:f>
        <x:v>No</x:v>
      </x:c>
      <x:c r="Q600" t="str">
        <x:f>TEXT(B600,"yyyy-mm")</x:f>
        <x:v>2016-03</x:v>
      </x:c>
    </x:row>
    <x:row r="601">
      <x:c r="A601" t="str">
        <x:v>HYD04</x:v>
      </x:c>
      <x:c r="B601" s="22" t="n">
        <x:f>DATE(C601,D601,1)</x:f>
        <x:v>42461</x:v>
      </x:c>
      <x:c r="C601" t="n">
        <x:v>2016</x:v>
      </x:c>
      <x:c r="D601" t="n">
        <x:v>4</x:v>
      </x:c>
      <x:c r="E601" t="str">
        <x:f>TEXT(B601,"mmm")</x:f>
        <x:v>Apr</x:v>
      </x:c>
      <x:c r="F601" t="str">
        <x:f>"Q"&amp;ROUNDUP(D601/3,0)</x:f>
        <x:v>Q2</x:v>
      </x:c>
      <x:c r="G601" s="23" t="n">
        <x:v>56</x:v>
      </x:c>
      <x:c r="H601" s="23" t="n">
        <x:v>51</x:v>
      </x:c>
      <x:c r="I601" s="23" t="n">
        <x:v>53.5</x:v>
      </x:c>
      <x:c r="J601" s="23" t="n">
        <x:f>G601-H601</x:f>
        <x:v>5</x:v>
      </x:c>
      <x:c r="K601" t="str">
        <x:v>OBSERVED</x:v>
      </x:c>
      <x:c r="L601" s="24" t="n">
        <x:v>17.3616</x:v>
      </x:c>
      <x:c r="M601" s="24" t="n">
        <x:v>78.4747</x:v>
      </x:c>
      <x:c r="N601" t="str">
        <x:f>IF(I601&gt;70,"70+ dB",IF(I601&gt;55,"56-70 dB","41-55 dB"))</x:f>
        <x:v>41-55 dB</x:v>
      </x:c>
      <x:c r="O601" t="str">
        <x:f>IF(I601&gt;70,"High",IF(I601&gt;55,"Moderate","Low"))</x:f>
        <x:v>Low</x:v>
      </x:c>
      <x:c r="P601" t="str">
        <x:f>IF(I601&gt;=70,"Yes","No")</x:f>
        <x:v>No</x:v>
      </x:c>
      <x:c r="Q601" t="str">
        <x:f>TEXT(B601,"yyyy-mm")</x:f>
        <x:v>2016-04</x:v>
      </x:c>
    </x:row>
    <x:row r="602">
      <x:c r="A602" t="str">
        <x:v>HYD04</x:v>
      </x:c>
      <x:c r="B602" s="22" t="n">
        <x:f>DATE(C602,D602,1)</x:f>
        <x:v>42491</x:v>
      </x:c>
      <x:c r="C602" t="n">
        <x:v>2016</x:v>
      </x:c>
      <x:c r="D602" t="n">
        <x:v>5</x:v>
      </x:c>
      <x:c r="E602" t="str">
        <x:f>TEXT(B602,"mmm")</x:f>
        <x:v>May</x:v>
      </x:c>
      <x:c r="F602" t="str">
        <x:f>"Q"&amp;ROUNDUP(D602/3,0)</x:f>
        <x:v>Q2</x:v>
      </x:c>
      <x:c r="G602" s="23" t="n">
        <x:v>60</x:v>
      </x:c>
      <x:c r="H602" s="23" t="n">
        <x:v>54</x:v>
      </x:c>
      <x:c r="I602" s="23" t="n">
        <x:v>57</x:v>
      </x:c>
      <x:c r="J602" s="23" t="n">
        <x:f>G602-H602</x:f>
        <x:v>6</x:v>
      </x:c>
      <x:c r="K602" t="str">
        <x:v>OBSERVED</x:v>
      </x:c>
      <x:c r="L602" s="24" t="n">
        <x:v>17.3616</x:v>
      </x:c>
      <x:c r="M602" s="24" t="n">
        <x:v>78.4747</x:v>
      </x:c>
      <x:c r="N602" t="str">
        <x:f>IF(I602&gt;70,"70+ dB",IF(I602&gt;55,"56-70 dB","41-55 dB"))</x:f>
        <x:v>56-70 dB</x:v>
      </x:c>
      <x:c r="O602" t="str">
        <x:f>IF(I602&gt;70,"High",IF(I602&gt;55,"Moderate","Low"))</x:f>
        <x:v>Moderate</x:v>
      </x:c>
      <x:c r="P602" t="str">
        <x:f>IF(I602&gt;=70,"Yes","No")</x:f>
        <x:v>No</x:v>
      </x:c>
      <x:c r="Q602" t="str">
        <x:f>TEXT(B602,"yyyy-mm")</x:f>
        <x:v>2016-05</x:v>
      </x:c>
    </x:row>
    <x:row r="603">
      <x:c r="A603" t="str">
        <x:v>HYD04</x:v>
      </x:c>
      <x:c r="B603" s="22" t="n">
        <x:f>DATE(C603,D603,1)</x:f>
        <x:v>42522</x:v>
      </x:c>
      <x:c r="C603" t="n">
        <x:v>2016</x:v>
      </x:c>
      <x:c r="D603" t="n">
        <x:v>6</x:v>
      </x:c>
      <x:c r="E603" t="str">
        <x:f>TEXT(B603,"mmm")</x:f>
        <x:v>Jun</x:v>
      </x:c>
      <x:c r="F603" t="str">
        <x:f>"Q"&amp;ROUNDUP(D603/3,0)</x:f>
        <x:v>Q2</x:v>
      </x:c>
      <x:c r="G603" s="23" t="n">
        <x:v>57</x:v>
      </x:c>
      <x:c r="H603" s="23" t="n">
        <x:v>52</x:v>
      </x:c>
      <x:c r="I603" s="23" t="n">
        <x:v>54.5</x:v>
      </x:c>
      <x:c r="J603" s="23" t="n">
        <x:f>G603-H603</x:f>
        <x:v>5</x:v>
      </x:c>
      <x:c r="K603" t="str">
        <x:v>OBSERVED</x:v>
      </x:c>
      <x:c r="L603" s="24" t="n">
        <x:v>17.3616</x:v>
      </x:c>
      <x:c r="M603" s="24" t="n">
        <x:v>78.4747</x:v>
      </x:c>
      <x:c r="N603" t="str">
        <x:f>IF(I603&gt;70,"70+ dB",IF(I603&gt;55,"56-70 dB","41-55 dB"))</x:f>
        <x:v>41-55 dB</x:v>
      </x:c>
      <x:c r="O603" t="str">
        <x:f>IF(I603&gt;70,"High",IF(I603&gt;55,"Moderate","Low"))</x:f>
        <x:v>Low</x:v>
      </x:c>
      <x:c r="P603" t="str">
        <x:f>IF(I603&gt;=70,"Yes","No")</x:f>
        <x:v>No</x:v>
      </x:c>
      <x:c r="Q603" t="str">
        <x:f>TEXT(B603,"yyyy-mm")</x:f>
        <x:v>2016-06</x:v>
      </x:c>
    </x:row>
    <x:row r="604">
      <x:c r="A604" t="str">
        <x:v>HYD04</x:v>
      </x:c>
      <x:c r="B604" s="22" t="n">
        <x:f>DATE(C604,D604,1)</x:f>
        <x:v>42552</x:v>
      </x:c>
      <x:c r="C604" t="n">
        <x:v>2016</x:v>
      </x:c>
      <x:c r="D604" t="n">
        <x:v>7</x:v>
      </x:c>
      <x:c r="E604" t="str">
        <x:f>TEXT(B604,"mmm")</x:f>
        <x:v>Jul</x:v>
      </x:c>
      <x:c r="F604" t="str">
        <x:f>"Q"&amp;ROUNDUP(D604/3,0)</x:f>
        <x:v>Q3</x:v>
      </x:c>
      <x:c r="G604" s="23" t="n">
        <x:v>56</x:v>
      </x:c>
      <x:c r="H604" s="23" t="n">
        <x:v>52</x:v>
      </x:c>
      <x:c r="I604" s="23" t="n">
        <x:v>54</x:v>
      </x:c>
      <x:c r="J604" s="23" t="n">
        <x:f>G604-H604</x:f>
        <x:v>4</x:v>
      </x:c>
      <x:c r="K604" t="str">
        <x:v>OBSERVED</x:v>
      </x:c>
      <x:c r="L604" s="24" t="n">
        <x:v>17.3616</x:v>
      </x:c>
      <x:c r="M604" s="24" t="n">
        <x:v>78.4747</x:v>
      </x:c>
      <x:c r="N604" t="str">
        <x:f>IF(I604&gt;70,"70+ dB",IF(I604&gt;55,"56-70 dB","41-55 dB"))</x:f>
        <x:v>41-55 dB</x:v>
      </x:c>
      <x:c r="O604" t="str">
        <x:f>IF(I604&gt;70,"High",IF(I604&gt;55,"Moderate","Low"))</x:f>
        <x:v>Low</x:v>
      </x:c>
      <x:c r="P604" t="str">
        <x:f>IF(I604&gt;=70,"Yes","No")</x:f>
        <x:v>No</x:v>
      </x:c>
      <x:c r="Q604" t="str">
        <x:f>TEXT(B604,"yyyy-mm")</x:f>
        <x:v>2016-07</x:v>
      </x:c>
    </x:row>
    <x:row r="605">
      <x:c r="A605" t="str">
        <x:v>HYD04</x:v>
      </x:c>
      <x:c r="B605" s="22" t="n">
        <x:f>DATE(C605,D605,1)</x:f>
        <x:v>42583</x:v>
      </x:c>
      <x:c r="C605" t="n">
        <x:v>2016</x:v>
      </x:c>
      <x:c r="D605" t="n">
        <x:v>8</x:v>
      </x:c>
      <x:c r="E605" t="str">
        <x:f>TEXT(B605,"mmm")</x:f>
        <x:v>Aug</x:v>
      </x:c>
      <x:c r="F605" t="str">
        <x:f>"Q"&amp;ROUNDUP(D605/3,0)</x:f>
        <x:v>Q3</x:v>
      </x:c>
      <x:c r="G605" s="23" t="n">
        <x:v>57</x:v>
      </x:c>
      <x:c r="H605" s="23" t="n">
        <x:v>54</x:v>
      </x:c>
      <x:c r="I605" s="23" t="n">
        <x:v>55.5</x:v>
      </x:c>
      <x:c r="J605" s="23" t="n">
        <x:f>G605-H605</x:f>
        <x:v>3</x:v>
      </x:c>
      <x:c r="K605" t="str">
        <x:v>OBSERVED</x:v>
      </x:c>
      <x:c r="L605" s="24" t="n">
        <x:v>17.3616</x:v>
      </x:c>
      <x:c r="M605" s="24" t="n">
        <x:v>78.4747</x:v>
      </x:c>
      <x:c r="N605" t="str">
        <x:f>IF(I605&gt;70,"70+ dB",IF(I605&gt;55,"56-70 dB","41-55 dB"))</x:f>
        <x:v>56-70 dB</x:v>
      </x:c>
      <x:c r="O605" t="str">
        <x:f>IF(I605&gt;70,"High",IF(I605&gt;55,"Moderate","Low"))</x:f>
        <x:v>Moderate</x:v>
      </x:c>
      <x:c r="P605" t="str">
        <x:f>IF(I605&gt;=70,"Yes","No")</x:f>
        <x:v>No</x:v>
      </x:c>
      <x:c r="Q605" t="str">
        <x:f>TEXT(B605,"yyyy-mm")</x:f>
        <x:v>2016-08</x:v>
      </x:c>
    </x:row>
    <x:row r="606">
      <x:c r="A606" t="str">
        <x:v>HYD04</x:v>
      </x:c>
      <x:c r="B606" s="22" t="n">
        <x:f>DATE(C606,D606,1)</x:f>
        <x:v>42614</x:v>
      </x:c>
      <x:c r="C606" t="n">
        <x:v>2016</x:v>
      </x:c>
      <x:c r="D606" t="n">
        <x:v>9</x:v>
      </x:c>
      <x:c r="E606" t="str">
        <x:f>TEXT(B606,"mmm")</x:f>
        <x:v>Sep</x:v>
      </x:c>
      <x:c r="F606" t="str">
        <x:f>"Q"&amp;ROUNDUP(D606/3,0)</x:f>
        <x:v>Q3</x:v>
      </x:c>
      <x:c r="G606" s="23" t="n">
        <x:v>57</x:v>
      </x:c>
      <x:c r="H606" s="23" t="n">
        <x:v>53</x:v>
      </x:c>
      <x:c r="I606" s="23" t="n">
        <x:v>55</x:v>
      </x:c>
      <x:c r="J606" s="23" t="n">
        <x:f>G606-H606</x:f>
        <x:v>4</x:v>
      </x:c>
      <x:c r="K606" t="str">
        <x:v>OBSERVED</x:v>
      </x:c>
      <x:c r="L606" s="24" t="n">
        <x:v>17.3616</x:v>
      </x:c>
      <x:c r="M606" s="24" t="n">
        <x:v>78.4747</x:v>
      </x:c>
      <x:c r="N606" t="str">
        <x:f>IF(I606&gt;70,"70+ dB",IF(I606&gt;55,"56-70 dB","41-55 dB"))</x:f>
        <x:v>41-55 dB</x:v>
      </x:c>
      <x:c r="O606" t="str">
        <x:f>IF(I606&gt;70,"High",IF(I606&gt;55,"Moderate","Low"))</x:f>
        <x:v>Low</x:v>
      </x:c>
      <x:c r="P606" t="str">
        <x:f>IF(I606&gt;=70,"Yes","No")</x:f>
        <x:v>No</x:v>
      </x:c>
      <x:c r="Q606" t="str">
        <x:f>TEXT(B606,"yyyy-mm")</x:f>
        <x:v>2016-09</x:v>
      </x:c>
    </x:row>
    <x:row r="607">
      <x:c r="A607" t="str">
        <x:v>HYD04</x:v>
      </x:c>
      <x:c r="B607" s="22" t="n">
        <x:f>DATE(C607,D607,1)</x:f>
        <x:v>42644</x:v>
      </x:c>
      <x:c r="C607" t="n">
        <x:v>2016</x:v>
      </x:c>
      <x:c r="D607" t="n">
        <x:v>10</x:v>
      </x:c>
      <x:c r="E607" t="str">
        <x:f>TEXT(B607,"mmm")</x:f>
        <x:v>Oct</x:v>
      </x:c>
      <x:c r="F607" t="str">
        <x:f>"Q"&amp;ROUNDUP(D607/3,0)</x:f>
        <x:v>Q4</x:v>
      </x:c>
      <x:c r="G607" s="23" t="n">
        <x:v>57</x:v>
      </x:c>
      <x:c r="H607" s="23" t="n">
        <x:v>50</x:v>
      </x:c>
      <x:c r="I607" s="23" t="n">
        <x:v>53.5</x:v>
      </x:c>
      <x:c r="J607" s="23" t="n">
        <x:f>G607-H607</x:f>
        <x:v>7</x:v>
      </x:c>
      <x:c r="K607" t="str">
        <x:v>OBSERVED</x:v>
      </x:c>
      <x:c r="L607" s="24" t="n">
        <x:v>17.3616</x:v>
      </x:c>
      <x:c r="M607" s="24" t="n">
        <x:v>78.4747</x:v>
      </x:c>
      <x:c r="N607" t="str">
        <x:f>IF(I607&gt;70,"70+ dB",IF(I607&gt;55,"56-70 dB","41-55 dB"))</x:f>
        <x:v>41-55 dB</x:v>
      </x:c>
      <x:c r="O607" t="str">
        <x:f>IF(I607&gt;70,"High",IF(I607&gt;55,"Moderate","Low"))</x:f>
        <x:v>Low</x:v>
      </x:c>
      <x:c r="P607" t="str">
        <x:f>IF(I607&gt;=70,"Yes","No")</x:f>
        <x:v>No</x:v>
      </x:c>
      <x:c r="Q607" t="str">
        <x:f>TEXT(B607,"yyyy-mm")</x:f>
        <x:v>2016-10</x:v>
      </x:c>
    </x:row>
    <x:row r="608">
      <x:c r="A608" t="str">
        <x:v>HYD04</x:v>
      </x:c>
      <x:c r="B608" s="22" t="n">
        <x:f>DATE(C608,D608,1)</x:f>
        <x:v>42675</x:v>
      </x:c>
      <x:c r="C608" t="n">
        <x:v>2016</x:v>
      </x:c>
      <x:c r="D608" t="n">
        <x:v>11</x:v>
      </x:c>
      <x:c r="E608" t="str">
        <x:f>TEXT(B608,"mmm")</x:f>
        <x:v>Nov</x:v>
      </x:c>
      <x:c r="F608" t="str">
        <x:f>"Q"&amp;ROUNDUP(D608/3,0)</x:f>
        <x:v>Q4</x:v>
      </x:c>
      <x:c r="G608" s="23" t="n">
        <x:v>53</x:v>
      </x:c>
      <x:c r="H608" s="23" t="n">
        <x:v>49</x:v>
      </x:c>
      <x:c r="I608" s="23" t="n">
        <x:v>51</x:v>
      </x:c>
      <x:c r="J608" s="23" t="n">
        <x:f>G608-H608</x:f>
        <x:v>4</x:v>
      </x:c>
      <x:c r="K608" t="str">
        <x:v>OBSERVED</x:v>
      </x:c>
      <x:c r="L608" s="24" t="n">
        <x:v>17.3616</x:v>
      </x:c>
      <x:c r="M608" s="24" t="n">
        <x:v>78.4747</x:v>
      </x:c>
      <x:c r="N608" t="str">
        <x:f>IF(I608&gt;70,"70+ dB",IF(I608&gt;55,"56-70 dB","41-55 dB"))</x:f>
        <x:v>41-55 dB</x:v>
      </x:c>
      <x:c r="O608" t="str">
        <x:f>IF(I608&gt;70,"High",IF(I608&gt;55,"Moderate","Low"))</x:f>
        <x:v>Low</x:v>
      </x:c>
      <x:c r="P608" t="str">
        <x:f>IF(I608&gt;=70,"Yes","No")</x:f>
        <x:v>No</x:v>
      </x:c>
      <x:c r="Q608" t="str">
        <x:f>TEXT(B608,"yyyy-mm")</x:f>
        <x:v>2016-11</x:v>
      </x:c>
    </x:row>
    <x:row r="609">
      <x:c r="A609" t="str">
        <x:v>HYD04</x:v>
      </x:c>
      <x:c r="B609" s="22" t="n">
        <x:f>DATE(C609,D609,1)</x:f>
        <x:v>42705</x:v>
      </x:c>
      <x:c r="C609" t="n">
        <x:v>2016</x:v>
      </x:c>
      <x:c r="D609" t="n">
        <x:v>12</x:v>
      </x:c>
      <x:c r="E609" t="str">
        <x:f>TEXT(B609,"mmm")</x:f>
        <x:v>Dec</x:v>
      </x:c>
      <x:c r="F609" t="str">
        <x:f>"Q"&amp;ROUNDUP(D609/3,0)</x:f>
        <x:v>Q4</x:v>
      </x:c>
      <x:c r="G609" s="23" t="n">
        <x:v>54</x:v>
      </x:c>
      <x:c r="H609" s="23" t="n">
        <x:v>50</x:v>
      </x:c>
      <x:c r="I609" s="23" t="n">
        <x:v>52</x:v>
      </x:c>
      <x:c r="J609" s="23" t="n">
        <x:f>G609-H609</x:f>
        <x:v>4</x:v>
      </x:c>
      <x:c r="K609" t="str">
        <x:v>OBSERVED</x:v>
      </x:c>
      <x:c r="L609" s="24" t="n">
        <x:v>17.3616</x:v>
      </x:c>
      <x:c r="M609" s="24" t="n">
        <x:v>78.4747</x:v>
      </x:c>
      <x:c r="N609" t="str">
        <x:f>IF(I609&gt;70,"70+ dB",IF(I609&gt;55,"56-70 dB","41-55 dB"))</x:f>
        <x:v>41-55 dB</x:v>
      </x:c>
      <x:c r="O609" t="str">
        <x:f>IF(I609&gt;70,"High",IF(I609&gt;55,"Moderate","Low"))</x:f>
        <x:v>Low</x:v>
      </x:c>
      <x:c r="P609" t="str">
        <x:f>IF(I609&gt;=70,"Yes","No")</x:f>
        <x:v>No</x:v>
      </x:c>
      <x:c r="Q609" t="str">
        <x:f>TEXT(B609,"yyyy-mm")</x:f>
        <x:v>2016-12</x:v>
      </x:c>
    </x:row>
    <x:row r="610">
      <x:c r="A610" t="str">
        <x:v>HYD04</x:v>
      </x:c>
      <x:c r="B610" s="22" t="n">
        <x:f>DATE(C610,D610,1)</x:f>
        <x:v>42736</x:v>
      </x:c>
      <x:c r="C610" t="n">
        <x:v>2017</x:v>
      </x:c>
      <x:c r="D610" t="n">
        <x:v>1</x:v>
      </x:c>
      <x:c r="E610" t="str">
        <x:f>TEXT(B610,"mmm")</x:f>
        <x:v>Jan</x:v>
      </x:c>
      <x:c r="F610" t="str">
        <x:f>"Q"&amp;ROUNDUP(D610/3,0)</x:f>
        <x:v>Q1</x:v>
      </x:c>
      <x:c r="G610" s="23" t="n">
        <x:v>54</x:v>
      </x:c>
      <x:c r="H610" s="23" t="n">
        <x:v>48</x:v>
      </x:c>
      <x:c r="I610" s="23" t="n">
        <x:v>51</x:v>
      </x:c>
      <x:c r="J610" s="23" t="n">
        <x:f>G610-H610</x:f>
        <x:v>6</x:v>
      </x:c>
      <x:c r="K610" t="str">
        <x:v>OBSERVED</x:v>
      </x:c>
      <x:c r="L610" s="24" t="n">
        <x:v>17.3616</x:v>
      </x:c>
      <x:c r="M610" s="24" t="n">
        <x:v>78.4747</x:v>
      </x:c>
      <x:c r="N610" t="str">
        <x:f>IF(I610&gt;70,"70+ dB",IF(I610&gt;55,"56-70 dB","41-55 dB"))</x:f>
        <x:v>41-55 dB</x:v>
      </x:c>
      <x:c r="O610" t="str">
        <x:f>IF(I610&gt;70,"High",IF(I610&gt;55,"Moderate","Low"))</x:f>
        <x:v>Low</x:v>
      </x:c>
      <x:c r="P610" t="str">
        <x:f>IF(I610&gt;=70,"Yes","No")</x:f>
        <x:v>No</x:v>
      </x:c>
      <x:c r="Q610" t="str">
        <x:f>TEXT(B610,"yyyy-mm")</x:f>
        <x:v>2017-01</x:v>
      </x:c>
    </x:row>
    <x:row r="611">
      <x:c r="A611" t="str">
        <x:v>HYD04</x:v>
      </x:c>
      <x:c r="B611" s="22" t="n">
        <x:f>DATE(C611,D611,1)</x:f>
        <x:v>42767</x:v>
      </x:c>
      <x:c r="C611" t="n">
        <x:v>2017</x:v>
      </x:c>
      <x:c r="D611" t="n">
        <x:v>2</x:v>
      </x:c>
      <x:c r="E611" t="str">
        <x:f>TEXT(B611,"mmm")</x:f>
        <x:v>Feb</x:v>
      </x:c>
      <x:c r="F611" t="str">
        <x:f>"Q"&amp;ROUNDUP(D611/3,0)</x:f>
        <x:v>Q1</x:v>
      </x:c>
      <x:c r="G611" s="23" t="n">
        <x:v>55</x:v>
      </x:c>
      <x:c r="H611" s="23" t="n">
        <x:v>49</x:v>
      </x:c>
      <x:c r="I611" s="23" t="n">
        <x:v>52</x:v>
      </x:c>
      <x:c r="J611" s="23" t="n">
        <x:f>G611-H611</x:f>
        <x:v>6</x:v>
      </x:c>
      <x:c r="K611" t="str">
        <x:v>OBSERVED</x:v>
      </x:c>
      <x:c r="L611" s="24" t="n">
        <x:v>17.3616</x:v>
      </x:c>
      <x:c r="M611" s="24" t="n">
        <x:v>78.4747</x:v>
      </x:c>
      <x:c r="N611" t="str">
        <x:f>IF(I611&gt;70,"70+ dB",IF(I611&gt;55,"56-70 dB","41-55 dB"))</x:f>
        <x:v>41-55 dB</x:v>
      </x:c>
      <x:c r="O611" t="str">
        <x:f>IF(I611&gt;70,"High",IF(I611&gt;55,"Moderate","Low"))</x:f>
        <x:v>Low</x:v>
      </x:c>
      <x:c r="P611" t="str">
        <x:f>IF(I611&gt;=70,"Yes","No")</x:f>
        <x:v>No</x:v>
      </x:c>
      <x:c r="Q611" t="str">
        <x:f>TEXT(B611,"yyyy-mm")</x:f>
        <x:v>2017-02</x:v>
      </x:c>
    </x:row>
    <x:row r="612">
      <x:c r="A612" t="str">
        <x:v>HYD04</x:v>
      </x:c>
      <x:c r="B612" s="22" t="n">
        <x:f>DATE(C612,D612,1)</x:f>
        <x:v>42795</x:v>
      </x:c>
      <x:c r="C612" t="n">
        <x:v>2017</x:v>
      </x:c>
      <x:c r="D612" t="n">
        <x:v>3</x:v>
      </x:c>
      <x:c r="E612" t="str">
        <x:f>TEXT(B612,"mmm")</x:f>
        <x:v>Mar</x:v>
      </x:c>
      <x:c r="F612" t="str">
        <x:f>"Q"&amp;ROUNDUP(D612/3,0)</x:f>
        <x:v>Q1</x:v>
      </x:c>
      <x:c r="G612" s="23" t="n">
        <x:v>56</x:v>
      </x:c>
      <x:c r="H612" s="23" t="n">
        <x:v>49</x:v>
      </x:c>
      <x:c r="I612" s="23" t="n">
        <x:v>52.5</x:v>
      </x:c>
      <x:c r="J612" s="23" t="n">
        <x:f>G612-H612</x:f>
        <x:v>7</x:v>
      </x:c>
      <x:c r="K612" t="str">
        <x:v>OBSERVED</x:v>
      </x:c>
      <x:c r="L612" s="24" t="n">
        <x:v>17.3616</x:v>
      </x:c>
      <x:c r="M612" s="24" t="n">
        <x:v>78.4747</x:v>
      </x:c>
      <x:c r="N612" t="str">
        <x:f>IF(I612&gt;70,"70+ dB",IF(I612&gt;55,"56-70 dB","41-55 dB"))</x:f>
        <x:v>41-55 dB</x:v>
      </x:c>
      <x:c r="O612" t="str">
        <x:f>IF(I612&gt;70,"High",IF(I612&gt;55,"Moderate","Low"))</x:f>
        <x:v>Low</x:v>
      </x:c>
      <x:c r="P612" t="str">
        <x:f>IF(I612&gt;=70,"Yes","No")</x:f>
        <x:v>No</x:v>
      </x:c>
      <x:c r="Q612" t="str">
        <x:f>TEXT(B612,"yyyy-mm")</x:f>
        <x:v>2017-03</x:v>
      </x:c>
    </x:row>
    <x:row r="613">
      <x:c r="A613" t="str">
        <x:v>HYD04</x:v>
      </x:c>
      <x:c r="B613" s="22" t="n">
        <x:f>DATE(C613,D613,1)</x:f>
        <x:v>42826</x:v>
      </x:c>
      <x:c r="C613" t="n">
        <x:v>2017</x:v>
      </x:c>
      <x:c r="D613" t="n">
        <x:v>4</x:v>
      </x:c>
      <x:c r="E613" t="str">
        <x:f>TEXT(B613,"mmm")</x:f>
        <x:v>Apr</x:v>
      </x:c>
      <x:c r="F613" t="str">
        <x:f>"Q"&amp;ROUNDUP(D613/3,0)</x:f>
        <x:v>Q2</x:v>
      </x:c>
      <x:c r="G613" s="23" t="n">
        <x:v>56</x:v>
      </x:c>
      <x:c r="H613" s="23" t="n">
        <x:v>51</x:v>
      </x:c>
      <x:c r="I613" s="23" t="n">
        <x:v>53.5</x:v>
      </x:c>
      <x:c r="J613" s="23" t="n">
        <x:f>G613-H613</x:f>
        <x:v>5</x:v>
      </x:c>
      <x:c r="K613" t="str">
        <x:v>OBSERVED</x:v>
      </x:c>
      <x:c r="L613" s="24" t="n">
        <x:v>17.3616</x:v>
      </x:c>
      <x:c r="M613" s="24" t="n">
        <x:v>78.4747</x:v>
      </x:c>
      <x:c r="N613" t="str">
        <x:f>IF(I613&gt;70,"70+ dB",IF(I613&gt;55,"56-70 dB","41-55 dB"))</x:f>
        <x:v>41-55 dB</x:v>
      </x:c>
      <x:c r="O613" t="str">
        <x:f>IF(I613&gt;70,"High",IF(I613&gt;55,"Moderate","Low"))</x:f>
        <x:v>Low</x:v>
      </x:c>
      <x:c r="P613" t="str">
        <x:f>IF(I613&gt;=70,"Yes","No")</x:f>
        <x:v>No</x:v>
      </x:c>
      <x:c r="Q613" t="str">
        <x:f>TEXT(B613,"yyyy-mm")</x:f>
        <x:v>2017-04</x:v>
      </x:c>
    </x:row>
    <x:row r="614">
      <x:c r="A614" t="str">
        <x:v>HYD04</x:v>
      </x:c>
      <x:c r="B614" s="22" t="n">
        <x:f>DATE(C614,D614,1)</x:f>
        <x:v>42856</x:v>
      </x:c>
      <x:c r="C614" t="n">
        <x:v>2017</x:v>
      </x:c>
      <x:c r="D614" t="n">
        <x:v>5</x:v>
      </x:c>
      <x:c r="E614" t="str">
        <x:f>TEXT(B614,"mmm")</x:f>
        <x:v>May</x:v>
      </x:c>
      <x:c r="F614" t="str">
        <x:f>"Q"&amp;ROUNDUP(D614/3,0)</x:f>
        <x:v>Q2</x:v>
      </x:c>
      <x:c r="G614" s="23" t="n">
        <x:v>57</x:v>
      </x:c>
      <x:c r="H614" s="23" t="n">
        <x:v>52</x:v>
      </x:c>
      <x:c r="I614" s="23" t="n">
        <x:v>54.5</x:v>
      </x:c>
      <x:c r="J614" s="23" t="n">
        <x:f>G614-H614</x:f>
        <x:v>5</x:v>
      </x:c>
      <x:c r="K614" t="str">
        <x:v>OBSERVED</x:v>
      </x:c>
      <x:c r="L614" s="24" t="n">
        <x:v>17.3616</x:v>
      </x:c>
      <x:c r="M614" s="24" t="n">
        <x:v>78.4747</x:v>
      </x:c>
      <x:c r="N614" t="str">
        <x:f>IF(I614&gt;70,"70+ dB",IF(I614&gt;55,"56-70 dB","41-55 dB"))</x:f>
        <x:v>41-55 dB</x:v>
      </x:c>
      <x:c r="O614" t="str">
        <x:f>IF(I614&gt;70,"High",IF(I614&gt;55,"Moderate","Low"))</x:f>
        <x:v>Low</x:v>
      </x:c>
      <x:c r="P614" t="str">
        <x:f>IF(I614&gt;=70,"Yes","No")</x:f>
        <x:v>No</x:v>
      </x:c>
      <x:c r="Q614" t="str">
        <x:f>TEXT(B614,"yyyy-mm")</x:f>
        <x:v>2017-05</x:v>
      </x:c>
    </x:row>
    <x:row r="615">
      <x:c r="A615" t="str">
        <x:v>HYD04</x:v>
      </x:c>
      <x:c r="B615" s="22" t="n">
        <x:f>DATE(C615,D615,1)</x:f>
        <x:v>42887</x:v>
      </x:c>
      <x:c r="C615" t="n">
        <x:v>2017</x:v>
      </x:c>
      <x:c r="D615" t="n">
        <x:v>6</x:v>
      </x:c>
      <x:c r="E615" t="str">
        <x:f>TEXT(B615,"mmm")</x:f>
        <x:v>Jun</x:v>
      </x:c>
      <x:c r="F615" t="str">
        <x:f>"Q"&amp;ROUNDUP(D615/3,0)</x:f>
        <x:v>Q2</x:v>
      </x:c>
      <x:c r="G615" s="23" t="n">
        <x:v>57</x:v>
      </x:c>
      <x:c r="H615" s="23" t="n">
        <x:v>52</x:v>
      </x:c>
      <x:c r="I615" s="23" t="n">
        <x:v>54.5</x:v>
      </x:c>
      <x:c r="J615" s="23" t="n">
        <x:f>G615-H615</x:f>
        <x:v>5</x:v>
      </x:c>
      <x:c r="K615" t="str">
        <x:v>OBSERVED</x:v>
      </x:c>
      <x:c r="L615" s="24" t="n">
        <x:v>17.3616</x:v>
      </x:c>
      <x:c r="M615" s="24" t="n">
        <x:v>78.4747</x:v>
      </x:c>
      <x:c r="N615" t="str">
        <x:f>IF(I615&gt;70,"70+ dB",IF(I615&gt;55,"56-70 dB","41-55 dB"))</x:f>
        <x:v>41-55 dB</x:v>
      </x:c>
      <x:c r="O615" t="str">
        <x:f>IF(I615&gt;70,"High",IF(I615&gt;55,"Moderate","Low"))</x:f>
        <x:v>Low</x:v>
      </x:c>
      <x:c r="P615" t="str">
        <x:f>IF(I615&gt;=70,"Yes","No")</x:f>
        <x:v>No</x:v>
      </x:c>
      <x:c r="Q615" t="str">
        <x:f>TEXT(B615,"yyyy-mm")</x:f>
        <x:v>2017-06</x:v>
      </x:c>
    </x:row>
    <x:row r="616">
      <x:c r="A616" t="str">
        <x:v>HYD04</x:v>
      </x:c>
      <x:c r="B616" s="22" t="n">
        <x:f>DATE(C616,D616,1)</x:f>
        <x:v>42917</x:v>
      </x:c>
      <x:c r="C616" t="n">
        <x:v>2017</x:v>
      </x:c>
      <x:c r="D616" t="n">
        <x:v>7</x:v>
      </x:c>
      <x:c r="E616" t="str">
        <x:f>TEXT(B616,"mmm")</x:f>
        <x:v>Jul</x:v>
      </x:c>
      <x:c r="F616" t="str">
        <x:f>"Q"&amp;ROUNDUP(D616/3,0)</x:f>
        <x:v>Q3</x:v>
      </x:c>
      <x:c r="G616" s="23" t="n">
        <x:v>55</x:v>
      </x:c>
      <x:c r="H616" s="23" t="n">
        <x:v>50</x:v>
      </x:c>
      <x:c r="I616" s="23" t="n">
        <x:v>52.5</x:v>
      </x:c>
      <x:c r="J616" s="23" t="n">
        <x:f>G616-H616</x:f>
        <x:v>5</x:v>
      </x:c>
      <x:c r="K616" t="str">
        <x:v>OBSERVED</x:v>
      </x:c>
      <x:c r="L616" s="24" t="n">
        <x:v>17.3616</x:v>
      </x:c>
      <x:c r="M616" s="24" t="n">
        <x:v>78.4747</x:v>
      </x:c>
      <x:c r="N616" t="str">
        <x:f>IF(I616&gt;70,"70+ dB",IF(I616&gt;55,"56-70 dB","41-55 dB"))</x:f>
        <x:v>41-55 dB</x:v>
      </x:c>
      <x:c r="O616" t="str">
        <x:f>IF(I616&gt;70,"High",IF(I616&gt;55,"Moderate","Low"))</x:f>
        <x:v>Low</x:v>
      </x:c>
      <x:c r="P616" t="str">
        <x:f>IF(I616&gt;=70,"Yes","No")</x:f>
        <x:v>No</x:v>
      </x:c>
      <x:c r="Q616" t="str">
        <x:f>TEXT(B616,"yyyy-mm")</x:f>
        <x:v>2017-07</x:v>
      </x:c>
    </x:row>
    <x:row r="617">
      <x:c r="A617" t="str">
        <x:v>HYD04</x:v>
      </x:c>
      <x:c r="B617" s="22" t="n">
        <x:f>DATE(C617,D617,1)</x:f>
        <x:v>42948</x:v>
      </x:c>
      <x:c r="C617" t="n">
        <x:v>2017</x:v>
      </x:c>
      <x:c r="D617" t="n">
        <x:v>8</x:v>
      </x:c>
      <x:c r="E617" t="str">
        <x:f>TEXT(B617,"mmm")</x:f>
        <x:v>Aug</x:v>
      </x:c>
      <x:c r="F617" t="str">
        <x:f>"Q"&amp;ROUNDUP(D617/3,0)</x:f>
        <x:v>Q3</x:v>
      </x:c>
      <x:c r="G617" s="23" t="n">
        <x:v>61</x:v>
      </x:c>
      <x:c r="H617" s="23" t="n">
        <x:v>53</x:v>
      </x:c>
      <x:c r="I617" s="23" t="n">
        <x:v>57</x:v>
      </x:c>
      <x:c r="J617" s="23" t="n">
        <x:f>G617-H617</x:f>
        <x:v>8</x:v>
      </x:c>
      <x:c r="K617" t="str">
        <x:v>OBSERVED</x:v>
      </x:c>
      <x:c r="L617" s="24" t="n">
        <x:v>17.3616</x:v>
      </x:c>
      <x:c r="M617" s="24" t="n">
        <x:v>78.4747</x:v>
      </x:c>
      <x:c r="N617" t="str">
        <x:f>IF(I617&gt;70,"70+ dB",IF(I617&gt;55,"56-70 dB","41-55 dB"))</x:f>
        <x:v>56-70 dB</x:v>
      </x:c>
      <x:c r="O617" t="str">
        <x:f>IF(I617&gt;70,"High",IF(I617&gt;55,"Moderate","Low"))</x:f>
        <x:v>Moderate</x:v>
      </x:c>
      <x:c r="P617" t="str">
        <x:f>IF(I617&gt;=70,"Yes","No")</x:f>
        <x:v>No</x:v>
      </x:c>
      <x:c r="Q617" t="str">
        <x:f>TEXT(B617,"yyyy-mm")</x:f>
        <x:v>2017-08</x:v>
      </x:c>
    </x:row>
    <x:row r="618">
      <x:c r="A618" t="str">
        <x:v>HYD04</x:v>
      </x:c>
      <x:c r="B618" s="22" t="n">
        <x:f>DATE(C618,D618,1)</x:f>
        <x:v>42979</x:v>
      </x:c>
      <x:c r="C618" t="n">
        <x:v>2017</x:v>
      </x:c>
      <x:c r="D618" t="n">
        <x:v>9</x:v>
      </x:c>
      <x:c r="E618" t="str">
        <x:f>TEXT(B618,"mmm")</x:f>
        <x:v>Sep</x:v>
      </x:c>
      <x:c r="F618" t="str">
        <x:f>"Q"&amp;ROUNDUP(D618/3,0)</x:f>
        <x:v>Q3</x:v>
      </x:c>
      <x:c r="G618" s="23" t="n">
        <x:v>58</x:v>
      </x:c>
      <x:c r="H618" s="23" t="n">
        <x:v>50</x:v>
      </x:c>
      <x:c r="I618" s="23" t="n">
        <x:v>54</x:v>
      </x:c>
      <x:c r="J618" s="23" t="n">
        <x:f>G618-H618</x:f>
        <x:v>8</x:v>
      </x:c>
      <x:c r="K618" t="str">
        <x:v>OBSERVED</x:v>
      </x:c>
      <x:c r="L618" s="24" t="n">
        <x:v>17.3616</x:v>
      </x:c>
      <x:c r="M618" s="24" t="n">
        <x:v>78.4747</x:v>
      </x:c>
      <x:c r="N618" t="str">
        <x:f>IF(I618&gt;70,"70+ dB",IF(I618&gt;55,"56-70 dB","41-55 dB"))</x:f>
        <x:v>41-55 dB</x:v>
      </x:c>
      <x:c r="O618" t="str">
        <x:f>IF(I618&gt;70,"High",IF(I618&gt;55,"Moderate","Low"))</x:f>
        <x:v>Low</x:v>
      </x:c>
      <x:c r="P618" t="str">
        <x:f>IF(I618&gt;=70,"Yes","No")</x:f>
        <x:v>No</x:v>
      </x:c>
      <x:c r="Q618" t="str">
        <x:f>TEXT(B618,"yyyy-mm")</x:f>
        <x:v>2017-09</x:v>
      </x:c>
    </x:row>
    <x:row r="619">
      <x:c r="A619" t="str">
        <x:v>HYD04</x:v>
      </x:c>
      <x:c r="B619" s="22" t="n">
        <x:f>DATE(C619,D619,1)</x:f>
        <x:v>43009</x:v>
      </x:c>
      <x:c r="C619" t="n">
        <x:v>2017</x:v>
      </x:c>
      <x:c r="D619" t="n">
        <x:v>10</x:v>
      </x:c>
      <x:c r="E619" t="str">
        <x:f>TEXT(B619,"mmm")</x:f>
        <x:v>Oct</x:v>
      </x:c>
      <x:c r="F619" t="str">
        <x:f>"Q"&amp;ROUNDUP(D619/3,0)</x:f>
        <x:v>Q4</x:v>
      </x:c>
      <x:c r="G619" s="23" t="n">
        <x:v>55</x:v>
      </x:c>
      <x:c r="H619" s="23" t="n">
        <x:v>50</x:v>
      </x:c>
      <x:c r="I619" s="23" t="n">
        <x:v>52.5</x:v>
      </x:c>
      <x:c r="J619" s="23" t="n">
        <x:f>G619-H619</x:f>
        <x:v>5</x:v>
      </x:c>
      <x:c r="K619" t="str">
        <x:v>OBSERVED</x:v>
      </x:c>
      <x:c r="L619" s="24" t="n">
        <x:v>17.3616</x:v>
      </x:c>
      <x:c r="M619" s="24" t="n">
        <x:v>78.4747</x:v>
      </x:c>
      <x:c r="N619" t="str">
        <x:f>IF(I619&gt;70,"70+ dB",IF(I619&gt;55,"56-70 dB","41-55 dB"))</x:f>
        <x:v>41-55 dB</x:v>
      </x:c>
      <x:c r="O619" t="str">
        <x:f>IF(I619&gt;70,"High",IF(I619&gt;55,"Moderate","Low"))</x:f>
        <x:v>Low</x:v>
      </x:c>
      <x:c r="P619" t="str">
        <x:f>IF(I619&gt;=70,"Yes","No")</x:f>
        <x:v>No</x:v>
      </x:c>
      <x:c r="Q619" t="str">
        <x:f>TEXT(B619,"yyyy-mm")</x:f>
        <x:v>2017-10</x:v>
      </x:c>
    </x:row>
    <x:row r="620">
      <x:c r="A620" t="str">
        <x:v>HYD04</x:v>
      </x:c>
      <x:c r="B620" s="22" t="n">
        <x:f>DATE(C620,D620,1)</x:f>
        <x:v>43040</x:v>
      </x:c>
      <x:c r="C620" t="n">
        <x:v>2017</x:v>
      </x:c>
      <x:c r="D620" t="n">
        <x:v>11</x:v>
      </x:c>
      <x:c r="E620" t="str">
        <x:f>TEXT(B620,"mmm")</x:f>
        <x:v>Nov</x:v>
      </x:c>
      <x:c r="F620" t="str">
        <x:f>"Q"&amp;ROUNDUP(D620/3,0)</x:f>
        <x:v>Q4</x:v>
      </x:c>
      <x:c r="G620" s="23" t="n">
        <x:v>55</x:v>
      </x:c>
      <x:c r="H620" s="23" t="n">
        <x:v>49</x:v>
      </x:c>
      <x:c r="I620" s="23" t="n">
        <x:v>52</x:v>
      </x:c>
      <x:c r="J620" s="23" t="n">
        <x:f>G620-H620</x:f>
        <x:v>6</x:v>
      </x:c>
      <x:c r="K620" t="str">
        <x:v>OBSERVED</x:v>
      </x:c>
      <x:c r="L620" s="24" t="n">
        <x:v>17.3616</x:v>
      </x:c>
      <x:c r="M620" s="24" t="n">
        <x:v>78.4747</x:v>
      </x:c>
      <x:c r="N620" t="str">
        <x:f>IF(I620&gt;70,"70+ dB",IF(I620&gt;55,"56-70 dB","41-55 dB"))</x:f>
        <x:v>41-55 dB</x:v>
      </x:c>
      <x:c r="O620" t="str">
        <x:f>IF(I620&gt;70,"High",IF(I620&gt;55,"Moderate","Low"))</x:f>
        <x:v>Low</x:v>
      </x:c>
      <x:c r="P620" t="str">
        <x:f>IF(I620&gt;=70,"Yes","No")</x:f>
        <x:v>No</x:v>
      </x:c>
      <x:c r="Q620" t="str">
        <x:f>TEXT(B620,"yyyy-mm")</x:f>
        <x:v>2017-11</x:v>
      </x:c>
    </x:row>
    <x:row r="621">
      <x:c r="A621" t="str">
        <x:v>HYD04</x:v>
      </x:c>
      <x:c r="B621" s="22" t="n">
        <x:f>DATE(C621,D621,1)</x:f>
        <x:v>43070</x:v>
      </x:c>
      <x:c r="C621" t="n">
        <x:v>2017</x:v>
      </x:c>
      <x:c r="D621" t="n">
        <x:v>12</x:v>
      </x:c>
      <x:c r="E621" t="str">
        <x:f>TEXT(B621,"mmm")</x:f>
        <x:v>Dec</x:v>
      </x:c>
      <x:c r="F621" t="str">
        <x:f>"Q"&amp;ROUNDUP(D621/3,0)</x:f>
        <x:v>Q4</x:v>
      </x:c>
      <x:c r="G621" s="23" t="n">
        <x:v>55</x:v>
      </x:c>
      <x:c r="H621" s="23" t="n">
        <x:v>50</x:v>
      </x:c>
      <x:c r="I621" s="23" t="n">
        <x:v>52.5</x:v>
      </x:c>
      <x:c r="J621" s="23" t="n">
        <x:f>G621-H621</x:f>
        <x:v>5</x:v>
      </x:c>
      <x:c r="K621" t="str">
        <x:v>OBSERVED</x:v>
      </x:c>
      <x:c r="L621" s="24" t="n">
        <x:v>17.3616</x:v>
      </x:c>
      <x:c r="M621" s="24" t="n">
        <x:v>78.4747</x:v>
      </x:c>
      <x:c r="N621" t="str">
        <x:f>IF(I621&gt;70,"70+ dB",IF(I621&gt;55,"56-70 dB","41-55 dB"))</x:f>
        <x:v>41-55 dB</x:v>
      </x:c>
      <x:c r="O621" t="str">
        <x:f>IF(I621&gt;70,"High",IF(I621&gt;55,"Moderate","Low"))</x:f>
        <x:v>Low</x:v>
      </x:c>
      <x:c r="P621" t="str">
        <x:f>IF(I621&gt;=70,"Yes","No")</x:f>
        <x:v>No</x:v>
      </x:c>
      <x:c r="Q621" t="str">
        <x:f>TEXT(B621,"yyyy-mm")</x:f>
        <x:v>2017-12</x:v>
      </x:c>
    </x:row>
    <x:row r="622">
      <x:c r="A622" t="str">
        <x:v>HYD04</x:v>
      </x:c>
      <x:c r="B622" s="22" t="n">
        <x:f>DATE(C622,D622,1)</x:f>
        <x:v>43101</x:v>
      </x:c>
      <x:c r="C622" t="n">
        <x:v>2018</x:v>
      </x:c>
      <x:c r="D622" t="n">
        <x:v>1</x:v>
      </x:c>
      <x:c r="E622" t="str">
        <x:f>TEXT(B622,"mmm")</x:f>
        <x:v>Jan</x:v>
      </x:c>
      <x:c r="F622" t="str">
        <x:f>"Q"&amp;ROUNDUP(D622/3,0)</x:f>
        <x:v>Q1</x:v>
      </x:c>
      <x:c r="G622" s="23" t="n">
        <x:v>54</x:v>
      </x:c>
      <x:c r="H622" s="23" t="n">
        <x:v>49</x:v>
      </x:c>
      <x:c r="I622" s="23" t="n">
        <x:v>51.5</x:v>
      </x:c>
      <x:c r="J622" s="23" t="n">
        <x:f>G622-H622</x:f>
        <x:v>5</x:v>
      </x:c>
      <x:c r="K622" t="str">
        <x:v>OBSERVED</x:v>
      </x:c>
      <x:c r="L622" s="24" t="n">
        <x:v>17.3616</x:v>
      </x:c>
      <x:c r="M622" s="24" t="n">
        <x:v>78.4747</x:v>
      </x:c>
      <x:c r="N622" t="str">
        <x:f>IF(I622&gt;70,"70+ dB",IF(I622&gt;55,"56-70 dB","41-55 dB"))</x:f>
        <x:v>41-55 dB</x:v>
      </x:c>
      <x:c r="O622" t="str">
        <x:f>IF(I622&gt;70,"High",IF(I622&gt;55,"Moderate","Low"))</x:f>
        <x:v>Low</x:v>
      </x:c>
      <x:c r="P622" t="str">
        <x:f>IF(I622&gt;=70,"Yes","No")</x:f>
        <x:v>No</x:v>
      </x:c>
      <x:c r="Q622" t="str">
        <x:f>TEXT(B622,"yyyy-mm")</x:f>
        <x:v>2018-01</x:v>
      </x:c>
    </x:row>
    <x:row r="623">
      <x:c r="A623" t="str">
        <x:v>HYD04</x:v>
      </x:c>
      <x:c r="B623" s="22" t="n">
        <x:f>DATE(C623,D623,1)</x:f>
        <x:v>43132</x:v>
      </x:c>
      <x:c r="C623" t="n">
        <x:v>2018</x:v>
      </x:c>
      <x:c r="D623" t="n">
        <x:v>2</x:v>
      </x:c>
      <x:c r="E623" t="str">
        <x:f>TEXT(B623,"mmm")</x:f>
        <x:v>Feb</x:v>
      </x:c>
      <x:c r="F623" t="str">
        <x:f>"Q"&amp;ROUNDUP(D623/3,0)</x:f>
        <x:v>Q1</x:v>
      </x:c>
      <x:c r="G623" s="23" t="n">
        <x:v>55</x:v>
      </x:c>
      <x:c r="H623" s="23" t="n">
        <x:v>49</x:v>
      </x:c>
      <x:c r="I623" s="23" t="n">
        <x:v>52</x:v>
      </x:c>
      <x:c r="J623" s="23" t="n">
        <x:f>G623-H623</x:f>
        <x:v>6</x:v>
      </x:c>
      <x:c r="K623" t="str">
        <x:v>OBSERVED</x:v>
      </x:c>
      <x:c r="L623" s="24" t="n">
        <x:v>17.3616</x:v>
      </x:c>
      <x:c r="M623" s="24" t="n">
        <x:v>78.4747</x:v>
      </x:c>
      <x:c r="N623" t="str">
        <x:f>IF(I623&gt;70,"70+ dB",IF(I623&gt;55,"56-70 dB","41-55 dB"))</x:f>
        <x:v>41-55 dB</x:v>
      </x:c>
      <x:c r="O623" t="str">
        <x:f>IF(I623&gt;70,"High",IF(I623&gt;55,"Moderate","Low"))</x:f>
        <x:v>Low</x:v>
      </x:c>
      <x:c r="P623" t="str">
        <x:f>IF(I623&gt;=70,"Yes","No")</x:f>
        <x:v>No</x:v>
      </x:c>
      <x:c r="Q623" t="str">
        <x:f>TEXT(B623,"yyyy-mm")</x:f>
        <x:v>2018-02</x:v>
      </x:c>
    </x:row>
    <x:row r="624">
      <x:c r="A624" t="str">
        <x:v>HYD04</x:v>
      </x:c>
      <x:c r="B624" s="22" t="n">
        <x:f>DATE(C624,D624,1)</x:f>
        <x:v>43160</x:v>
      </x:c>
      <x:c r="C624" t="n">
        <x:v>2018</x:v>
      </x:c>
      <x:c r="D624" t="n">
        <x:v>3</x:v>
      </x:c>
      <x:c r="E624" t="str">
        <x:f>TEXT(B624,"mmm")</x:f>
        <x:v>Mar</x:v>
      </x:c>
      <x:c r="F624" t="str">
        <x:f>"Q"&amp;ROUNDUP(D624/3,0)</x:f>
        <x:v>Q1</x:v>
      </x:c>
      <x:c r="G624" s="23" t="n">
        <x:v>55</x:v>
      </x:c>
      <x:c r="H624" s="23" t="n">
        <x:v>49</x:v>
      </x:c>
      <x:c r="I624" s="23" t="n">
        <x:v>52</x:v>
      </x:c>
      <x:c r="J624" s="23" t="n">
        <x:f>G624-H624</x:f>
        <x:v>6</x:v>
      </x:c>
      <x:c r="K624" t="str">
        <x:v>OBSERVED</x:v>
      </x:c>
      <x:c r="L624" s="24" t="n">
        <x:v>17.3616</x:v>
      </x:c>
      <x:c r="M624" s="24" t="n">
        <x:v>78.4747</x:v>
      </x:c>
      <x:c r="N624" t="str">
        <x:f>IF(I624&gt;70,"70+ dB",IF(I624&gt;55,"56-70 dB","41-55 dB"))</x:f>
        <x:v>41-55 dB</x:v>
      </x:c>
      <x:c r="O624" t="str">
        <x:f>IF(I624&gt;70,"High",IF(I624&gt;55,"Moderate","Low"))</x:f>
        <x:v>Low</x:v>
      </x:c>
      <x:c r="P624" t="str">
        <x:f>IF(I624&gt;=70,"Yes","No")</x:f>
        <x:v>No</x:v>
      </x:c>
      <x:c r="Q624" t="str">
        <x:f>TEXT(B624,"yyyy-mm")</x:f>
        <x:v>2018-03</x:v>
      </x:c>
    </x:row>
    <x:row r="625">
      <x:c r="A625" t="str">
        <x:v>HYD04</x:v>
      </x:c>
      <x:c r="B625" s="22" t="n">
        <x:f>DATE(C625,D625,1)</x:f>
        <x:v>43191</x:v>
      </x:c>
      <x:c r="C625" t="n">
        <x:v>2018</x:v>
      </x:c>
      <x:c r="D625" t="n">
        <x:v>4</x:v>
      </x:c>
      <x:c r="E625" t="str">
        <x:f>TEXT(B625,"mmm")</x:f>
        <x:v>Apr</x:v>
      </x:c>
      <x:c r="F625" t="str">
        <x:f>"Q"&amp;ROUNDUP(D625/3,0)</x:f>
        <x:v>Q2</x:v>
      </x:c>
      <x:c r="G625" s="23" t="n">
        <x:v>55</x:v>
      </x:c>
      <x:c r="H625" s="23" t="n">
        <x:v>51</x:v>
      </x:c>
      <x:c r="I625" s="23" t="n">
        <x:v>53</x:v>
      </x:c>
      <x:c r="J625" s="23" t="n">
        <x:f>G625-H625</x:f>
        <x:v>4</x:v>
      </x:c>
      <x:c r="K625" t="str">
        <x:v>OBSERVED</x:v>
      </x:c>
      <x:c r="L625" s="24" t="n">
        <x:v>17.3616</x:v>
      </x:c>
      <x:c r="M625" s="24" t="n">
        <x:v>78.4747</x:v>
      </x:c>
      <x:c r="N625" t="str">
        <x:f>IF(I625&gt;70,"70+ dB",IF(I625&gt;55,"56-70 dB","41-55 dB"))</x:f>
        <x:v>41-55 dB</x:v>
      </x:c>
      <x:c r="O625" t="str">
        <x:f>IF(I625&gt;70,"High",IF(I625&gt;55,"Moderate","Low"))</x:f>
        <x:v>Low</x:v>
      </x:c>
      <x:c r="P625" t="str">
        <x:f>IF(I625&gt;=70,"Yes","No")</x:f>
        <x:v>No</x:v>
      </x:c>
      <x:c r="Q625" t="str">
        <x:f>TEXT(B625,"yyyy-mm")</x:f>
        <x:v>2018-04</x:v>
      </x:c>
    </x:row>
    <x:row r="626">
      <x:c r="A626" t="str">
        <x:v>HYD04</x:v>
      </x:c>
      <x:c r="B626" s="22" t="n">
        <x:f>DATE(C626,D626,1)</x:f>
        <x:v>43221</x:v>
      </x:c>
      <x:c r="C626" t="n">
        <x:v>2018</x:v>
      </x:c>
      <x:c r="D626" t="n">
        <x:v>5</x:v>
      </x:c>
      <x:c r="E626" t="str">
        <x:f>TEXT(B626,"mmm")</x:f>
        <x:v>May</x:v>
      </x:c>
      <x:c r="F626" t="str">
        <x:f>"Q"&amp;ROUNDUP(D626/3,0)</x:f>
        <x:v>Q2</x:v>
      </x:c>
      <x:c r="G626" s="23" t="n">
        <x:v>56</x:v>
      </x:c>
      <x:c r="H626" s="23" t="n">
        <x:v>51</x:v>
      </x:c>
      <x:c r="I626" s="23" t="n">
        <x:v>53.5</x:v>
      </x:c>
      <x:c r="J626" s="23" t="n">
        <x:f>G626-H626</x:f>
        <x:v>5</x:v>
      </x:c>
      <x:c r="K626" t="str">
        <x:v>OBSERVED</x:v>
      </x:c>
      <x:c r="L626" s="24" t="n">
        <x:v>17.3616</x:v>
      </x:c>
      <x:c r="M626" s="24" t="n">
        <x:v>78.4747</x:v>
      </x:c>
      <x:c r="N626" t="str">
        <x:f>IF(I626&gt;70,"70+ dB",IF(I626&gt;55,"56-70 dB","41-55 dB"))</x:f>
        <x:v>41-55 dB</x:v>
      </x:c>
      <x:c r="O626" t="str">
        <x:f>IF(I626&gt;70,"High",IF(I626&gt;55,"Moderate","Low"))</x:f>
        <x:v>Low</x:v>
      </x:c>
      <x:c r="P626" t="str">
        <x:f>IF(I626&gt;=70,"Yes","No")</x:f>
        <x:v>No</x:v>
      </x:c>
      <x:c r="Q626" t="str">
        <x:f>TEXT(B626,"yyyy-mm")</x:f>
        <x:v>2018-05</x:v>
      </x:c>
    </x:row>
    <x:row r="627">
      <x:c r="A627" t="str">
        <x:v>HYD04</x:v>
      </x:c>
      <x:c r="B627" s="22" t="n">
        <x:f>DATE(C627,D627,1)</x:f>
        <x:v>43252</x:v>
      </x:c>
      <x:c r="C627" t="n">
        <x:v>2018</x:v>
      </x:c>
      <x:c r="D627" t="n">
        <x:v>6</x:v>
      </x:c>
      <x:c r="E627" t="str">
        <x:f>TEXT(B627,"mmm")</x:f>
        <x:v>Jun</x:v>
      </x:c>
      <x:c r="F627" t="str">
        <x:f>"Q"&amp;ROUNDUP(D627/3,0)</x:f>
        <x:v>Q2</x:v>
      </x:c>
      <x:c r="G627" s="23" t="n">
        <x:v>56</x:v>
      </x:c>
      <x:c r="H627" s="23" t="n">
        <x:v>51</x:v>
      </x:c>
      <x:c r="I627" s="23" t="n">
        <x:v>53.5</x:v>
      </x:c>
      <x:c r="J627" s="23" t="n">
        <x:f>G627-H627</x:f>
        <x:v>5</x:v>
      </x:c>
      <x:c r="K627" t="str">
        <x:v>OBSERVED</x:v>
      </x:c>
      <x:c r="L627" s="24" t="n">
        <x:v>17.3616</x:v>
      </x:c>
      <x:c r="M627" s="24" t="n">
        <x:v>78.4747</x:v>
      </x:c>
      <x:c r="N627" t="str">
        <x:f>IF(I627&gt;70,"70+ dB",IF(I627&gt;55,"56-70 dB","41-55 dB"))</x:f>
        <x:v>41-55 dB</x:v>
      </x:c>
      <x:c r="O627" t="str">
        <x:f>IF(I627&gt;70,"High",IF(I627&gt;55,"Moderate","Low"))</x:f>
        <x:v>Low</x:v>
      </x:c>
      <x:c r="P627" t="str">
        <x:f>IF(I627&gt;=70,"Yes","No")</x:f>
        <x:v>No</x:v>
      </x:c>
      <x:c r="Q627" t="str">
        <x:f>TEXT(B627,"yyyy-mm")</x:f>
        <x:v>2018-06</x:v>
      </x:c>
    </x:row>
    <x:row r="628">
      <x:c r="A628" t="str">
        <x:v>HYD04</x:v>
      </x:c>
      <x:c r="B628" s="22" t="n">
        <x:f>DATE(C628,D628,1)</x:f>
        <x:v>43282</x:v>
      </x:c>
      <x:c r="C628" t="n">
        <x:v>2018</x:v>
      </x:c>
      <x:c r="D628" t="n">
        <x:v>7</x:v>
      </x:c>
      <x:c r="E628" t="str">
        <x:f>TEXT(B628,"mmm")</x:f>
        <x:v>Jul</x:v>
      </x:c>
      <x:c r="F628" t="str">
        <x:f>"Q"&amp;ROUNDUP(D628/3,0)</x:f>
        <x:v>Q3</x:v>
      </x:c>
      <x:c r="G628" s="23" t="n">
        <x:v>55</x:v>
      </x:c>
      <x:c r="H628" s="23" t="n">
        <x:v>50</x:v>
      </x:c>
      <x:c r="I628" s="23" t="n">
        <x:v>52.5</x:v>
      </x:c>
      <x:c r="J628" s="23" t="n">
        <x:f>G628-H628</x:f>
        <x:v>5</x:v>
      </x:c>
      <x:c r="K628" t="str">
        <x:v>OBSERVED</x:v>
      </x:c>
      <x:c r="L628" s="24" t="n">
        <x:v>17.3616</x:v>
      </x:c>
      <x:c r="M628" s="24" t="n">
        <x:v>78.4747</x:v>
      </x:c>
      <x:c r="N628" t="str">
        <x:f>IF(I628&gt;70,"70+ dB",IF(I628&gt;55,"56-70 dB","41-55 dB"))</x:f>
        <x:v>41-55 dB</x:v>
      </x:c>
      <x:c r="O628" t="str">
        <x:f>IF(I628&gt;70,"High",IF(I628&gt;55,"Moderate","Low"))</x:f>
        <x:v>Low</x:v>
      </x:c>
      <x:c r="P628" t="str">
        <x:f>IF(I628&gt;=70,"Yes","No")</x:f>
        <x:v>No</x:v>
      </x:c>
      <x:c r="Q628" t="str">
        <x:f>TEXT(B628,"yyyy-mm")</x:f>
        <x:v>2018-07</x:v>
      </x:c>
    </x:row>
    <x:row r="629">
      <x:c r="A629" t="str">
        <x:v>HYD04</x:v>
      </x:c>
      <x:c r="B629" s="22" t="n">
        <x:f>DATE(C629,D629,1)</x:f>
        <x:v>43313</x:v>
      </x:c>
      <x:c r="C629" t="n">
        <x:v>2018</x:v>
      </x:c>
      <x:c r="D629" t="n">
        <x:v>8</x:v>
      </x:c>
      <x:c r="E629" t="str">
        <x:f>TEXT(B629,"mmm")</x:f>
        <x:v>Aug</x:v>
      </x:c>
      <x:c r="F629" t="str">
        <x:f>"Q"&amp;ROUNDUP(D629/3,0)</x:f>
        <x:v>Q3</x:v>
      </x:c>
      <x:c r="G629" s="23" t="n">
        <x:v>55</x:v>
      </x:c>
      <x:c r="H629" s="23" t="n">
        <x:v>50</x:v>
      </x:c>
      <x:c r="I629" s="23" t="n">
        <x:v>52.5</x:v>
      </x:c>
      <x:c r="J629" s="23" t="n">
        <x:f>G629-H629</x:f>
        <x:v>5</x:v>
      </x:c>
      <x:c r="K629" t="str">
        <x:v>OBSERVED</x:v>
      </x:c>
      <x:c r="L629" s="24" t="n">
        <x:v>17.3616</x:v>
      </x:c>
      <x:c r="M629" s="24" t="n">
        <x:v>78.4747</x:v>
      </x:c>
      <x:c r="N629" t="str">
        <x:f>IF(I629&gt;70,"70+ dB",IF(I629&gt;55,"56-70 dB","41-55 dB"))</x:f>
        <x:v>41-55 dB</x:v>
      </x:c>
      <x:c r="O629" t="str">
        <x:f>IF(I629&gt;70,"High",IF(I629&gt;55,"Moderate","Low"))</x:f>
        <x:v>Low</x:v>
      </x:c>
      <x:c r="P629" t="str">
        <x:f>IF(I629&gt;=70,"Yes","No")</x:f>
        <x:v>No</x:v>
      </x:c>
      <x:c r="Q629" t="str">
        <x:f>TEXT(B629,"yyyy-mm")</x:f>
        <x:v>2018-08</x:v>
      </x:c>
    </x:row>
    <x:row r="630">
      <x:c r="A630" t="str">
        <x:v>HYD04</x:v>
      </x:c>
      <x:c r="B630" s="22" t="n">
        <x:f>DATE(C630,D630,1)</x:f>
        <x:v>43344</x:v>
      </x:c>
      <x:c r="C630" t="n">
        <x:v>2018</x:v>
      </x:c>
      <x:c r="D630" t="n">
        <x:v>9</x:v>
      </x:c>
      <x:c r="E630" t="str">
        <x:f>TEXT(B630,"mmm")</x:f>
        <x:v>Sep</x:v>
      </x:c>
      <x:c r="F630" t="str">
        <x:f>"Q"&amp;ROUNDUP(D630/3,0)</x:f>
        <x:v>Q3</x:v>
      </x:c>
      <x:c r="G630" s="23" t="n">
        <x:v>54</x:v>
      </x:c>
      <x:c r="H630" s="23" t="n">
        <x:v>50</x:v>
      </x:c>
      <x:c r="I630" s="23" t="n">
        <x:v>52</x:v>
      </x:c>
      <x:c r="J630" s="23" t="n">
        <x:f>G630-H630</x:f>
        <x:v>4</x:v>
      </x:c>
      <x:c r="K630" t="str">
        <x:v>OBSERVED</x:v>
      </x:c>
      <x:c r="L630" s="24" t="n">
        <x:v>17.3616</x:v>
      </x:c>
      <x:c r="M630" s="24" t="n">
        <x:v>78.4747</x:v>
      </x:c>
      <x:c r="N630" t="str">
        <x:f>IF(I630&gt;70,"70+ dB",IF(I630&gt;55,"56-70 dB","41-55 dB"))</x:f>
        <x:v>41-55 dB</x:v>
      </x:c>
      <x:c r="O630" t="str">
        <x:f>IF(I630&gt;70,"High",IF(I630&gt;55,"Moderate","Low"))</x:f>
        <x:v>Low</x:v>
      </x:c>
      <x:c r="P630" t="str">
        <x:f>IF(I630&gt;=70,"Yes","No")</x:f>
        <x:v>No</x:v>
      </x:c>
      <x:c r="Q630" t="str">
        <x:f>TEXT(B630,"yyyy-mm")</x:f>
        <x:v>2018-09</x:v>
      </x:c>
    </x:row>
    <x:row r="631">
      <x:c r="A631" t="str">
        <x:v>HYD04</x:v>
      </x:c>
      <x:c r="B631" s="22" t="n">
        <x:f>DATE(C631,D631,1)</x:f>
        <x:v>43374</x:v>
      </x:c>
      <x:c r="C631" t="n">
        <x:v>2018</x:v>
      </x:c>
      <x:c r="D631" t="n">
        <x:v>10</x:v>
      </x:c>
      <x:c r="E631" t="str">
        <x:f>TEXT(B631,"mmm")</x:f>
        <x:v>Oct</x:v>
      </x:c>
      <x:c r="F631" t="str">
        <x:f>"Q"&amp;ROUNDUP(D631/3,0)</x:f>
        <x:v>Q4</x:v>
      </x:c>
      <x:c r="G631" s="23" t="n">
        <x:v>55</x:v>
      </x:c>
      <x:c r="H631" s="23" t="n">
        <x:v>49</x:v>
      </x:c>
      <x:c r="I631" s="23" t="n">
        <x:v>52</x:v>
      </x:c>
      <x:c r="J631" s="23" t="n">
        <x:f>G631-H631</x:f>
        <x:v>6</x:v>
      </x:c>
      <x:c r="K631" t="str">
        <x:v>OBSERVED</x:v>
      </x:c>
      <x:c r="L631" s="24" t="n">
        <x:v>17.3616</x:v>
      </x:c>
      <x:c r="M631" s="24" t="n">
        <x:v>78.4747</x:v>
      </x:c>
      <x:c r="N631" t="str">
        <x:f>IF(I631&gt;70,"70+ dB",IF(I631&gt;55,"56-70 dB","41-55 dB"))</x:f>
        <x:v>41-55 dB</x:v>
      </x:c>
      <x:c r="O631" t="str">
        <x:f>IF(I631&gt;70,"High",IF(I631&gt;55,"Moderate","Low"))</x:f>
        <x:v>Low</x:v>
      </x:c>
      <x:c r="P631" t="str">
        <x:f>IF(I631&gt;=70,"Yes","No")</x:f>
        <x:v>No</x:v>
      </x:c>
      <x:c r="Q631" t="str">
        <x:f>TEXT(B631,"yyyy-mm")</x:f>
        <x:v>2018-10</x:v>
      </x:c>
    </x:row>
    <x:row r="632">
      <x:c r="A632" t="str">
        <x:v>HYD04</x:v>
      </x:c>
      <x:c r="B632" s="22" t="n">
        <x:f>DATE(C632,D632,1)</x:f>
        <x:v>43405</x:v>
      </x:c>
      <x:c r="C632" t="n">
        <x:v>2018</x:v>
      </x:c>
      <x:c r="D632" t="n">
        <x:v>11</x:v>
      </x:c>
      <x:c r="E632" t="str">
        <x:f>TEXT(B632,"mmm")</x:f>
        <x:v>Nov</x:v>
      </x:c>
      <x:c r="F632" t="str">
        <x:f>"Q"&amp;ROUNDUP(D632/3,0)</x:f>
        <x:v>Q4</x:v>
      </x:c>
      <x:c r="G632" s="23" t="n">
        <x:v>55</x:v>
      </x:c>
      <x:c r="H632" s="23" t="n">
        <x:v>50</x:v>
      </x:c>
      <x:c r="I632" s="23" t="n">
        <x:v>52.5</x:v>
      </x:c>
      <x:c r="J632" s="23" t="n">
        <x:f>G632-H632</x:f>
        <x:v>5</x:v>
      </x:c>
      <x:c r="K632" t="str">
        <x:v>OBSERVED</x:v>
      </x:c>
      <x:c r="L632" s="24" t="n">
        <x:v>17.3616</x:v>
      </x:c>
      <x:c r="M632" s="24" t="n">
        <x:v>78.4747</x:v>
      </x:c>
      <x:c r="N632" t="str">
        <x:f>IF(I632&gt;70,"70+ dB",IF(I632&gt;55,"56-70 dB","41-55 dB"))</x:f>
        <x:v>41-55 dB</x:v>
      </x:c>
      <x:c r="O632" t="str">
        <x:f>IF(I632&gt;70,"High",IF(I632&gt;55,"Moderate","Low"))</x:f>
        <x:v>Low</x:v>
      </x:c>
      <x:c r="P632" t="str">
        <x:f>IF(I632&gt;=70,"Yes","No")</x:f>
        <x:v>No</x:v>
      </x:c>
      <x:c r="Q632" t="str">
        <x:f>TEXT(B632,"yyyy-mm")</x:f>
        <x:v>2018-11</x:v>
      </x:c>
    </x:row>
    <x:row r="633">
      <x:c r="A633" t="str">
        <x:v>HYD04</x:v>
      </x:c>
      <x:c r="B633" s="22" t="n">
        <x:f>DATE(C633,D633,1)</x:f>
        <x:v>43435</x:v>
      </x:c>
      <x:c r="C633" t="n">
        <x:v>2018</x:v>
      </x:c>
      <x:c r="D633" t="n">
        <x:v>12</x:v>
      </x:c>
      <x:c r="E633" t="str">
        <x:f>TEXT(B633,"mmm")</x:f>
        <x:v>Dec</x:v>
      </x:c>
      <x:c r="F633" t="str">
        <x:f>"Q"&amp;ROUNDUP(D633/3,0)</x:f>
        <x:v>Q4</x:v>
      </x:c>
      <x:c r="G633" s="23" t="n">
        <x:v>54</x:v>
      </x:c>
      <x:c r="H633" s="23" t="n">
        <x:v>49</x:v>
      </x:c>
      <x:c r="I633" s="23" t="n">
        <x:v>51.5</x:v>
      </x:c>
      <x:c r="J633" s="23" t="n">
        <x:f>G633-H633</x:f>
        <x:v>5</x:v>
      </x:c>
      <x:c r="K633" t="str">
        <x:v>OBSERVED</x:v>
      </x:c>
      <x:c r="L633" s="24" t="n">
        <x:v>17.3616</x:v>
      </x:c>
      <x:c r="M633" s="24" t="n">
        <x:v>78.4747</x:v>
      </x:c>
      <x:c r="N633" t="str">
        <x:f>IF(I633&gt;70,"70+ dB",IF(I633&gt;55,"56-70 dB","41-55 dB"))</x:f>
        <x:v>41-55 dB</x:v>
      </x:c>
      <x:c r="O633" t="str">
        <x:f>IF(I633&gt;70,"High",IF(I633&gt;55,"Moderate","Low"))</x:f>
        <x:v>Low</x:v>
      </x:c>
      <x:c r="P633" t="str">
        <x:f>IF(I633&gt;=70,"Yes","No")</x:f>
        <x:v>No</x:v>
      </x:c>
      <x:c r="Q633" t="str">
        <x:f>TEXT(B633,"yyyy-mm")</x:f>
        <x:v>2018-12</x:v>
      </x:c>
    </x:row>
    <x:row r="634">
      <x:c r="A634" t="str">
        <x:v>HYD04</x:v>
      </x:c>
      <x:c r="B634" s="22" t="n">
        <x:f>DATE(C634,D634,1)</x:f>
        <x:v>43466</x:v>
      </x:c>
      <x:c r="C634" t="n">
        <x:v>2019</x:v>
      </x:c>
      <x:c r="D634" t="n">
        <x:v>1</x:v>
      </x:c>
      <x:c r="E634" t="str">
        <x:f>TEXT(B634,"mmm")</x:f>
        <x:v>Jan</x:v>
      </x:c>
      <x:c r="F634" t="str">
        <x:f>"Q"&amp;ROUNDUP(D634/3,0)</x:f>
        <x:v>Q1</x:v>
      </x:c>
      <x:c r="G634" s="23" t="n">
        <x:v>53.86</x:v>
      </x:c>
      <x:c r="H634" s="23" t="n">
        <x:v>48.44</x:v>
      </x:c>
      <x:c r="I634" s="23" t="n">
        <x:v>51.2</x:v>
      </x:c>
      <x:c r="J634" s="23" t="n">
        <x:f>G634-H634</x:f>
        <x:v>5.420000000000002</x:v>
      </x:c>
      <x:c r="K634" t="str">
        <x:v>HINDCAST</x:v>
      </x:c>
      <x:c r="L634" s="24" t="n">
        <x:v>17.3616</x:v>
      </x:c>
      <x:c r="M634" s="24" t="n">
        <x:v>78.4747</x:v>
      </x:c>
      <x:c r="N634" t="str">
        <x:f>IF(I634&gt;70,"70+ dB",IF(I634&gt;55,"56-70 dB","41-55 dB"))</x:f>
        <x:v>41-55 dB</x:v>
      </x:c>
      <x:c r="O634" t="str">
        <x:f>IF(I634&gt;70,"High",IF(I634&gt;55,"Moderate","Low"))</x:f>
        <x:v>Low</x:v>
      </x:c>
      <x:c r="P634" t="str">
        <x:f>IF(I634&gt;=70,"Yes","No")</x:f>
        <x:v>No</x:v>
      </x:c>
      <x:c r="Q634" t="str">
        <x:f>TEXT(B634,"yyyy-mm")</x:f>
        <x:v>2019-01</x:v>
      </x:c>
    </x:row>
    <x:row r="635">
      <x:c r="A635" t="str">
        <x:v>HYD04</x:v>
      </x:c>
      <x:c r="B635" s="22" t="n">
        <x:f>DATE(C635,D635,1)</x:f>
        <x:v>43497</x:v>
      </x:c>
      <x:c r="C635" t="n">
        <x:v>2019</x:v>
      </x:c>
      <x:c r="D635" t="n">
        <x:v>2</x:v>
      </x:c>
      <x:c r="E635" t="str">
        <x:f>TEXT(B635,"mmm")</x:f>
        <x:v>Feb</x:v>
      </x:c>
      <x:c r="F635" t="str">
        <x:f>"Q"&amp;ROUNDUP(D635/3,0)</x:f>
        <x:v>Q1</x:v>
      </x:c>
      <x:c r="G635" s="23" t="n">
        <x:v>55.07</x:v>
      </x:c>
      <x:c r="H635" s="23" t="n">
        <x:v>48.92</x:v>
      </x:c>
      <x:c r="I635" s="23" t="n">
        <x:v>52</x:v>
      </x:c>
      <x:c r="J635" s="23" t="n">
        <x:f>G635-H635</x:f>
        <x:v>6.149999999999999</x:v>
      </x:c>
      <x:c r="K635" t="str">
        <x:v>HINDCAST</x:v>
      </x:c>
      <x:c r="L635" s="24" t="n">
        <x:v>17.3616</x:v>
      </x:c>
      <x:c r="M635" s="24" t="n">
        <x:v>78.4747</x:v>
      </x:c>
      <x:c r="N635" t="str">
        <x:f>IF(I635&gt;70,"70+ dB",IF(I635&gt;55,"56-70 dB","41-55 dB"))</x:f>
        <x:v>41-55 dB</x:v>
      </x:c>
      <x:c r="O635" t="str">
        <x:f>IF(I635&gt;70,"High",IF(I635&gt;55,"Moderate","Low"))</x:f>
        <x:v>Low</x:v>
      </x:c>
      <x:c r="P635" t="str">
        <x:f>IF(I635&gt;=70,"Yes","No")</x:f>
        <x:v>No</x:v>
      </x:c>
      <x:c r="Q635" t="str">
        <x:f>TEXT(B635,"yyyy-mm")</x:f>
        <x:v>2019-02</x:v>
      </x:c>
    </x:row>
    <x:row r="636">
      <x:c r="A636" t="str">
        <x:v>HYD04</x:v>
      </x:c>
      <x:c r="B636" s="22" t="n">
        <x:f>DATE(C636,D636,1)</x:f>
        <x:v>43525</x:v>
      </x:c>
      <x:c r="C636" t="n">
        <x:v>2019</x:v>
      </x:c>
      <x:c r="D636" t="n">
        <x:v>3</x:v>
      </x:c>
      <x:c r="E636" t="str">
        <x:f>TEXT(B636,"mmm")</x:f>
        <x:v>Mar</x:v>
      </x:c>
      <x:c r="F636" t="str">
        <x:f>"Q"&amp;ROUNDUP(D636/3,0)</x:f>
        <x:v>Q1</x:v>
      </x:c>
      <x:c r="G636" s="23" t="n">
        <x:v>54.47</x:v>
      </x:c>
      <x:c r="H636" s="23" t="n">
        <x:v>48.73</x:v>
      </x:c>
      <x:c r="I636" s="23" t="n">
        <x:v>51.6</x:v>
      </x:c>
      <x:c r="J636" s="23" t="n">
        <x:f>G636-H636</x:f>
        <x:v>5.740000000000002</x:v>
      </x:c>
      <x:c r="K636" t="str">
        <x:v>HINDCAST</x:v>
      </x:c>
      <x:c r="L636" s="24" t="n">
        <x:v>17.3616</x:v>
      </x:c>
      <x:c r="M636" s="24" t="n">
        <x:v>78.4747</x:v>
      </x:c>
      <x:c r="N636" t="str">
        <x:f>IF(I636&gt;70,"70+ dB",IF(I636&gt;55,"56-70 dB","41-55 dB"))</x:f>
        <x:v>41-55 dB</x:v>
      </x:c>
      <x:c r="O636" t="str">
        <x:f>IF(I636&gt;70,"High",IF(I636&gt;55,"Moderate","Low"))</x:f>
        <x:v>Low</x:v>
      </x:c>
      <x:c r="P636" t="str">
        <x:f>IF(I636&gt;=70,"Yes","No")</x:f>
        <x:v>No</x:v>
      </x:c>
      <x:c r="Q636" t="str">
        <x:f>TEXT(B636,"yyyy-mm")</x:f>
        <x:v>2019-03</x:v>
      </x:c>
    </x:row>
    <x:row r="637">
      <x:c r="A637" t="str">
        <x:v>HYD04</x:v>
      </x:c>
      <x:c r="B637" s="22" t="n">
        <x:f>DATE(C637,D637,1)</x:f>
        <x:v>43556</x:v>
      </x:c>
      <x:c r="C637" t="n">
        <x:v>2019</x:v>
      </x:c>
      <x:c r="D637" t="n">
        <x:v>4</x:v>
      </x:c>
      <x:c r="E637" t="str">
        <x:f>TEXT(B637,"mmm")</x:f>
        <x:v>Apr</x:v>
      </x:c>
      <x:c r="F637" t="str">
        <x:f>"Q"&amp;ROUNDUP(D637/3,0)</x:f>
        <x:v>Q2</x:v>
      </x:c>
      <x:c r="G637" s="23" t="n">
        <x:v>54.68</x:v>
      </x:c>
      <x:c r="H637" s="23" t="n">
        <x:v>50.48</x:v>
      </x:c>
      <x:c r="I637" s="23" t="n">
        <x:v>52.6</x:v>
      </x:c>
      <x:c r="J637" s="23" t="n">
        <x:f>G637-H637</x:f>
        <x:v>4.200000000000003</x:v>
      </x:c>
      <x:c r="K637" t="str">
        <x:v>HINDCAST</x:v>
      </x:c>
      <x:c r="L637" s="24" t="n">
        <x:v>17.3616</x:v>
      </x:c>
      <x:c r="M637" s="24" t="n">
        <x:v>78.4747</x:v>
      </x:c>
      <x:c r="N637" t="str">
        <x:f>IF(I637&gt;70,"70+ dB",IF(I637&gt;55,"56-70 dB","41-55 dB"))</x:f>
        <x:v>41-55 dB</x:v>
      </x:c>
      <x:c r="O637" t="str">
        <x:f>IF(I637&gt;70,"High",IF(I637&gt;55,"Moderate","Low"))</x:f>
        <x:v>Low</x:v>
      </x:c>
      <x:c r="P637" t="str">
        <x:f>IF(I637&gt;=70,"Yes","No")</x:f>
        <x:v>No</x:v>
      </x:c>
      <x:c r="Q637" t="str">
        <x:f>TEXT(B637,"yyyy-mm")</x:f>
        <x:v>2019-04</x:v>
      </x:c>
    </x:row>
    <x:row r="638">
      <x:c r="A638" t="str">
        <x:v>HYD04</x:v>
      </x:c>
      <x:c r="B638" s="22" t="n">
        <x:f>DATE(C638,D638,1)</x:f>
        <x:v>43586</x:v>
      </x:c>
      <x:c r="C638" t="n">
        <x:v>2019</x:v>
      </x:c>
      <x:c r="D638" t="n">
        <x:v>5</x:v>
      </x:c>
      <x:c r="E638" t="str">
        <x:f>TEXT(B638,"mmm")</x:f>
        <x:v>May</x:v>
      </x:c>
      <x:c r="F638" t="str">
        <x:f>"Q"&amp;ROUNDUP(D638/3,0)</x:f>
        <x:v>Q2</x:v>
      </x:c>
      <x:c r="G638" s="23" t="n">
        <x:v>55.82</x:v>
      </x:c>
      <x:c r="H638" s="23" t="n">
        <x:v>51</x:v>
      </x:c>
      <x:c r="I638" s="23" t="n">
        <x:v>53.4</x:v>
      </x:c>
      <x:c r="J638" s="23" t="n">
        <x:f>G638-H638</x:f>
        <x:v>4.82</x:v>
      </x:c>
      <x:c r="K638" t="str">
        <x:v>HINDCAST</x:v>
      </x:c>
      <x:c r="L638" s="24" t="n">
        <x:v>17.3616</x:v>
      </x:c>
      <x:c r="M638" s="24" t="n">
        <x:v>78.4747</x:v>
      </x:c>
      <x:c r="N638" t="str">
        <x:f>IF(I638&gt;70,"70+ dB",IF(I638&gt;55,"56-70 dB","41-55 dB"))</x:f>
        <x:v>41-55 dB</x:v>
      </x:c>
      <x:c r="O638" t="str">
        <x:f>IF(I638&gt;70,"High",IF(I638&gt;55,"Moderate","Low"))</x:f>
        <x:v>Low</x:v>
      </x:c>
      <x:c r="P638" t="str">
        <x:f>IF(I638&gt;=70,"Yes","No")</x:f>
        <x:v>No</x:v>
      </x:c>
      <x:c r="Q638" t="str">
        <x:f>TEXT(B638,"yyyy-mm")</x:f>
        <x:v>2019-05</x:v>
      </x:c>
    </x:row>
    <x:row r="639">
      <x:c r="A639" t="str">
        <x:v>HYD04</x:v>
      </x:c>
      <x:c r="B639" s="22" t="n">
        <x:f>DATE(C639,D639,1)</x:f>
        <x:v>43617</x:v>
      </x:c>
      <x:c r="C639" t="n">
        <x:v>2019</x:v>
      </x:c>
      <x:c r="D639" t="n">
        <x:v>6</x:v>
      </x:c>
      <x:c r="E639" t="str">
        <x:f>TEXT(B639,"mmm")</x:f>
        <x:v>Jun</x:v>
      </x:c>
      <x:c r="F639" t="str">
        <x:f>"Q"&amp;ROUNDUP(D639/3,0)</x:f>
        <x:v>Q2</x:v>
      </x:c>
      <x:c r="G639" s="23" t="n">
        <x:v>56</x:v>
      </x:c>
      <x:c r="H639" s="23" t="n">
        <x:v>51.49</x:v>
      </x:c>
      <x:c r="I639" s="23" t="n">
        <x:v>53.7</x:v>
      </x:c>
      <x:c r="J639" s="23" t="n">
        <x:f>G639-H639</x:f>
        <x:v>4.509999999999998</x:v>
      </x:c>
      <x:c r="K639" t="str">
        <x:v>HINDCAST</x:v>
      </x:c>
      <x:c r="L639" s="24" t="n">
        <x:v>17.3616</x:v>
      </x:c>
      <x:c r="M639" s="24" t="n">
        <x:v>78.4747</x:v>
      </x:c>
      <x:c r="N639" t="str">
        <x:f>IF(I639&gt;70,"70+ dB",IF(I639&gt;55,"56-70 dB","41-55 dB"))</x:f>
        <x:v>41-55 dB</x:v>
      </x:c>
      <x:c r="O639" t="str">
        <x:f>IF(I639&gt;70,"High",IF(I639&gt;55,"Moderate","Low"))</x:f>
        <x:v>Low</x:v>
      </x:c>
      <x:c r="P639" t="str">
        <x:f>IF(I639&gt;=70,"Yes","No")</x:f>
        <x:v>No</x:v>
      </x:c>
      <x:c r="Q639" t="str">
        <x:f>TEXT(B639,"yyyy-mm")</x:f>
        <x:v>2019-06</x:v>
      </x:c>
    </x:row>
    <x:row r="640">
      <x:c r="A640" t="str">
        <x:v>HYD04</x:v>
      </x:c>
      <x:c r="B640" s="22" t="n">
        <x:f>DATE(C640,D640,1)</x:f>
        <x:v>43647</x:v>
      </x:c>
      <x:c r="C640" t="n">
        <x:v>2019</x:v>
      </x:c>
      <x:c r="D640" t="n">
        <x:v>7</x:v>
      </x:c>
      <x:c r="E640" t="str">
        <x:f>TEXT(B640,"mmm")</x:f>
        <x:v>Jul</x:v>
      </x:c>
      <x:c r="F640" t="str">
        <x:f>"Q"&amp;ROUNDUP(D640/3,0)</x:f>
        <x:v>Q3</x:v>
      </x:c>
      <x:c r="G640" s="23" t="n">
        <x:v>54.89</x:v>
      </x:c>
      <x:c r="H640" s="23" t="n">
        <x:v>50.64</x:v>
      </x:c>
      <x:c r="I640" s="23" t="n">
        <x:v>52.8</x:v>
      </x:c>
      <x:c r="J640" s="23" t="n">
        <x:f>G640-H640</x:f>
        <x:v>4.25</x:v>
      </x:c>
      <x:c r="K640" t="str">
        <x:v>HINDCAST</x:v>
      </x:c>
      <x:c r="L640" s="24" t="n">
        <x:v>17.3616</x:v>
      </x:c>
      <x:c r="M640" s="24" t="n">
        <x:v>78.4747</x:v>
      </x:c>
      <x:c r="N640" t="str">
        <x:f>IF(I640&gt;70,"70+ dB",IF(I640&gt;55,"56-70 dB","41-55 dB"))</x:f>
        <x:v>41-55 dB</x:v>
      </x:c>
      <x:c r="O640" t="str">
        <x:f>IF(I640&gt;70,"High",IF(I640&gt;55,"Moderate","Low"))</x:f>
        <x:v>Low</x:v>
      </x:c>
      <x:c r="P640" t="str">
        <x:f>IF(I640&gt;=70,"Yes","No")</x:f>
        <x:v>No</x:v>
      </x:c>
      <x:c r="Q640" t="str">
        <x:f>TEXT(B640,"yyyy-mm")</x:f>
        <x:v>2019-07</x:v>
      </x:c>
    </x:row>
    <x:row r="641">
      <x:c r="A641" t="str">
        <x:v>HYD04</x:v>
      </x:c>
      <x:c r="B641" s="22" t="n">
        <x:f>DATE(C641,D641,1)</x:f>
        <x:v>43678</x:v>
      </x:c>
      <x:c r="C641" t="n">
        <x:v>2019</x:v>
      </x:c>
      <x:c r="D641" t="n">
        <x:v>8</x:v>
      </x:c>
      <x:c r="E641" t="str">
        <x:f>TEXT(B641,"mmm")</x:f>
        <x:v>Aug</x:v>
      </x:c>
      <x:c r="F641" t="str">
        <x:f>"Q"&amp;ROUNDUP(D641/3,0)</x:f>
        <x:v>Q3</x:v>
      </x:c>
      <x:c r="G641" s="23" t="n">
        <x:v>55.94</x:v>
      </x:c>
      <x:c r="H641" s="23" t="n">
        <x:v>51.21</x:v>
      </x:c>
      <x:c r="I641" s="23" t="n">
        <x:v>53.6</x:v>
      </x:c>
      <x:c r="J641" s="23" t="n">
        <x:f>G641-H641</x:f>
        <x:v>4.729999999999997</x:v>
      </x:c>
      <x:c r="K641" t="str">
        <x:v>HINDCAST</x:v>
      </x:c>
      <x:c r="L641" s="24" t="n">
        <x:v>17.3616</x:v>
      </x:c>
      <x:c r="M641" s="24" t="n">
        <x:v>78.4747</x:v>
      </x:c>
      <x:c r="N641" t="str">
        <x:f>IF(I641&gt;70,"70+ dB",IF(I641&gt;55,"56-70 dB","41-55 dB"))</x:f>
        <x:v>41-55 dB</x:v>
      </x:c>
      <x:c r="O641" t="str">
        <x:f>IF(I641&gt;70,"High",IF(I641&gt;55,"Moderate","Low"))</x:f>
        <x:v>Low</x:v>
      </x:c>
      <x:c r="P641" t="str">
        <x:f>IF(I641&gt;=70,"Yes","No")</x:f>
        <x:v>No</x:v>
      </x:c>
      <x:c r="Q641" t="str">
        <x:f>TEXT(B641,"yyyy-mm")</x:f>
        <x:v>2019-08</x:v>
      </x:c>
    </x:row>
    <x:row r="642">
      <x:c r="A642" t="str">
        <x:v>HYD04</x:v>
      </x:c>
      <x:c r="B642" s="22" t="n">
        <x:f>DATE(C642,D642,1)</x:f>
        <x:v>43709</x:v>
      </x:c>
      <x:c r="C642" t="n">
        <x:v>2019</x:v>
      </x:c>
      <x:c r="D642" t="n">
        <x:v>9</x:v>
      </x:c>
      <x:c r="E642" t="str">
        <x:f>TEXT(B642,"mmm")</x:f>
        <x:v>Sep</x:v>
      </x:c>
      <x:c r="F642" t="str">
        <x:f>"Q"&amp;ROUNDUP(D642/3,0)</x:f>
        <x:v>Q3</x:v>
      </x:c>
      <x:c r="G642" s="23" t="n">
        <x:v>55.56</x:v>
      </x:c>
      <x:c r="H642" s="23" t="n">
        <x:v>50.24</x:v>
      </x:c>
      <x:c r="I642" s="23" t="n">
        <x:v>52.9</x:v>
      </x:c>
      <x:c r="J642" s="23" t="n">
        <x:f>G642-H642</x:f>
        <x:v>5.32</x:v>
      </x:c>
      <x:c r="K642" t="str">
        <x:v>HINDCAST</x:v>
      </x:c>
      <x:c r="L642" s="24" t="n">
        <x:v>17.3616</x:v>
      </x:c>
      <x:c r="M642" s="24" t="n">
        <x:v>78.4747</x:v>
      </x:c>
      <x:c r="N642" t="str">
        <x:f>IF(I642&gt;70,"70+ dB",IF(I642&gt;55,"56-70 dB","41-55 dB"))</x:f>
        <x:v>41-55 dB</x:v>
      </x:c>
      <x:c r="O642" t="str">
        <x:f>IF(I642&gt;70,"High",IF(I642&gt;55,"Moderate","Low"))</x:f>
        <x:v>Low</x:v>
      </x:c>
      <x:c r="P642" t="str">
        <x:f>IF(I642&gt;=70,"Yes","No")</x:f>
        <x:v>No</x:v>
      </x:c>
      <x:c r="Q642" t="str">
        <x:f>TEXT(B642,"yyyy-mm")</x:f>
        <x:v>2019-09</x:v>
      </x:c>
    </x:row>
    <x:row r="643">
      <x:c r="A643" t="str">
        <x:v>HYD04</x:v>
      </x:c>
      <x:c r="B643" s="22" t="n">
        <x:f>DATE(C643,D643,1)</x:f>
        <x:v>43739</x:v>
      </x:c>
      <x:c r="C643" t="n">
        <x:v>2019</x:v>
      </x:c>
      <x:c r="D643" t="n">
        <x:v>10</x:v>
      </x:c>
      <x:c r="E643" t="str">
        <x:f>TEXT(B643,"mmm")</x:f>
        <x:v>Oct</x:v>
      </x:c>
      <x:c r="F643" t="str">
        <x:f>"Q"&amp;ROUNDUP(D643/3,0)</x:f>
        <x:v>Q4</x:v>
      </x:c>
      <x:c r="G643" s="23" t="n">
        <x:v>54.98</x:v>
      </x:c>
      <x:c r="H643" s="23" t="n">
        <x:v>49.16</x:v>
      </x:c>
      <x:c r="I643" s="23" t="n">
        <x:v>52.1</x:v>
      </x:c>
      <x:c r="J643" s="23" t="n">
        <x:f>G643-H643</x:f>
        <x:v>5.82</x:v>
      </x:c>
      <x:c r="K643" t="str">
        <x:v>HINDCAST</x:v>
      </x:c>
      <x:c r="L643" s="24" t="n">
        <x:v>17.3616</x:v>
      </x:c>
      <x:c r="M643" s="24" t="n">
        <x:v>78.4747</x:v>
      </x:c>
      <x:c r="N643" t="str">
        <x:f>IF(I643&gt;70,"70+ dB",IF(I643&gt;55,"56-70 dB","41-55 dB"))</x:f>
        <x:v>41-55 dB</x:v>
      </x:c>
      <x:c r="O643" t="str">
        <x:f>IF(I643&gt;70,"High",IF(I643&gt;55,"Moderate","Low"))</x:f>
        <x:v>Low</x:v>
      </x:c>
      <x:c r="P643" t="str">
        <x:f>IF(I643&gt;=70,"Yes","No")</x:f>
        <x:v>No</x:v>
      </x:c>
      <x:c r="Q643" t="str">
        <x:f>TEXT(B643,"yyyy-mm")</x:f>
        <x:v>2019-10</x:v>
      </x:c>
    </x:row>
    <x:row r="644">
      <x:c r="A644" t="str">
        <x:v>HYD04</x:v>
      </x:c>
      <x:c r="B644" s="22" t="n">
        <x:f>DATE(C644,D644,1)</x:f>
        <x:v>43770</x:v>
      </x:c>
      <x:c r="C644" t="n">
        <x:v>2019</x:v>
      </x:c>
      <x:c r="D644" t="n">
        <x:v>11</x:v>
      </x:c>
      <x:c r="E644" t="str">
        <x:f>TEXT(B644,"mmm")</x:f>
        <x:v>Nov</x:v>
      </x:c>
      <x:c r="F644" t="str">
        <x:f>"Q"&amp;ROUNDUP(D644/3,0)</x:f>
        <x:v>Q4</x:v>
      </x:c>
      <x:c r="G644" s="23" t="n">
        <x:v>54.29</x:v>
      </x:c>
      <x:c r="H644" s="23" t="n">
        <x:v>49.14</x:v>
      </x:c>
      <x:c r="I644" s="23" t="n">
        <x:v>51.7</x:v>
      </x:c>
      <x:c r="J644" s="23" t="n">
        <x:f>G644-H644</x:f>
        <x:v>5.149999999999999</x:v>
      </x:c>
      <x:c r="K644" t="str">
        <x:v>HINDCAST</x:v>
      </x:c>
      <x:c r="L644" s="24" t="n">
        <x:v>17.3616</x:v>
      </x:c>
      <x:c r="M644" s="24" t="n">
        <x:v>78.4747</x:v>
      </x:c>
      <x:c r="N644" t="str">
        <x:f>IF(I644&gt;70,"70+ dB",IF(I644&gt;55,"56-70 dB","41-55 dB"))</x:f>
        <x:v>41-55 dB</x:v>
      </x:c>
      <x:c r="O644" t="str">
        <x:f>IF(I644&gt;70,"High",IF(I644&gt;55,"Moderate","Low"))</x:f>
        <x:v>Low</x:v>
      </x:c>
      <x:c r="P644" t="str">
        <x:f>IF(I644&gt;=70,"Yes","No")</x:f>
        <x:v>No</x:v>
      </x:c>
      <x:c r="Q644" t="str">
        <x:f>TEXT(B644,"yyyy-mm")</x:f>
        <x:v>2019-11</x:v>
      </x:c>
    </x:row>
    <x:row r="645">
      <x:c r="A645" t="str">
        <x:v>HYD04</x:v>
      </x:c>
      <x:c r="B645" s="22" t="n">
        <x:f>DATE(C645,D645,1)</x:f>
        <x:v>43800</x:v>
      </x:c>
      <x:c r="C645" t="n">
        <x:v>2019</x:v>
      </x:c>
      <x:c r="D645" t="n">
        <x:v>12</x:v>
      </x:c>
      <x:c r="E645" t="str">
        <x:f>TEXT(B645,"mmm")</x:f>
        <x:v>Dec</x:v>
      </x:c>
      <x:c r="F645" t="str">
        <x:f>"Q"&amp;ROUNDUP(D645/3,0)</x:f>
        <x:v>Q4</x:v>
      </x:c>
      <x:c r="G645" s="23" t="n">
        <x:v>54.18</x:v>
      </x:c>
      <x:c r="H645" s="23" t="n">
        <x:v>49.22</x:v>
      </x:c>
      <x:c r="I645" s="23" t="n">
        <x:v>51.7</x:v>
      </x:c>
      <x:c r="J645" s="23" t="n">
        <x:f>G645-H645</x:f>
        <x:v>4.960000000000001</x:v>
      </x:c>
      <x:c r="K645" t="str">
        <x:v>HINDCAST</x:v>
      </x:c>
      <x:c r="L645" s="24" t="n">
        <x:v>17.3616</x:v>
      </x:c>
      <x:c r="M645" s="24" t="n">
        <x:v>78.4747</x:v>
      </x:c>
      <x:c r="N645" t="str">
        <x:f>IF(I645&gt;70,"70+ dB",IF(I645&gt;55,"56-70 dB","41-55 dB"))</x:f>
        <x:v>41-55 dB</x:v>
      </x:c>
      <x:c r="O645" t="str">
        <x:f>IF(I645&gt;70,"High",IF(I645&gt;55,"Moderate","Low"))</x:f>
        <x:v>Low</x:v>
      </x:c>
      <x:c r="P645" t="str">
        <x:f>IF(I645&gt;=70,"Yes","No")</x:f>
        <x:v>No</x:v>
      </x:c>
      <x:c r="Q645" t="str">
        <x:f>TEXT(B645,"yyyy-mm")</x:f>
        <x:v>2019-12</x:v>
      </x:c>
    </x:row>
    <x:row r="646">
      <x:c r="A646" t="str">
        <x:v>HYD04</x:v>
      </x:c>
      <x:c r="B646" s="22" t="n">
        <x:f>DATE(C646,D646,1)</x:f>
        <x:v>43831</x:v>
      </x:c>
      <x:c r="C646" t="n">
        <x:v>2020</x:v>
      </x:c>
      <x:c r="D646" t="n">
        <x:v>1</x:v>
      </x:c>
      <x:c r="E646" t="str">
        <x:f>TEXT(B646,"mmm")</x:f>
        <x:v>Jan</x:v>
      </x:c>
      <x:c r="F646" t="str">
        <x:f>"Q"&amp;ROUNDUP(D646/3,0)</x:f>
        <x:v>Q1</x:v>
      </x:c>
      <x:c r="G646" s="23" t="n">
        <x:v>53.92</x:v>
      </x:c>
      <x:c r="H646" s="23" t="n">
        <x:v>48.51</x:v>
      </x:c>
      <x:c r="I646" s="23" t="n">
        <x:v>51.2</x:v>
      </x:c>
      <x:c r="J646" s="23" t="n">
        <x:f>G646-H646</x:f>
        <x:v>5.410000000000004</x:v>
      </x:c>
      <x:c r="K646" t="str">
        <x:v>HINDCAST</x:v>
      </x:c>
      <x:c r="L646" s="24" t="n">
        <x:v>17.3616</x:v>
      </x:c>
      <x:c r="M646" s="24" t="n">
        <x:v>78.4747</x:v>
      </x:c>
      <x:c r="N646" t="str">
        <x:f>IF(I646&gt;70,"70+ dB",IF(I646&gt;55,"56-70 dB","41-55 dB"))</x:f>
        <x:v>41-55 dB</x:v>
      </x:c>
      <x:c r="O646" t="str">
        <x:f>IF(I646&gt;70,"High",IF(I646&gt;55,"Moderate","Low"))</x:f>
        <x:v>Low</x:v>
      </x:c>
      <x:c r="P646" t="str">
        <x:f>IF(I646&gt;=70,"Yes","No")</x:f>
        <x:v>No</x:v>
      </x:c>
      <x:c r="Q646" t="str">
        <x:f>TEXT(B646,"yyyy-mm")</x:f>
        <x:v>2020-01</x:v>
      </x:c>
    </x:row>
    <x:row r="647">
      <x:c r="A647" t="str">
        <x:v>HYD04</x:v>
      </x:c>
      <x:c r="B647" s="22" t="n">
        <x:f>DATE(C647,D647,1)</x:f>
        <x:v>43862</x:v>
      </x:c>
      <x:c r="C647" t="n">
        <x:v>2020</x:v>
      </x:c>
      <x:c r="D647" t="n">
        <x:v>2</x:v>
      </x:c>
      <x:c r="E647" t="str">
        <x:f>TEXT(B647,"mmm")</x:f>
        <x:v>Feb</x:v>
      </x:c>
      <x:c r="F647" t="str">
        <x:f>"Q"&amp;ROUNDUP(D647/3,0)</x:f>
        <x:v>Q1</x:v>
      </x:c>
      <x:c r="G647" s="23" t="n">
        <x:v>55.1</x:v>
      </x:c>
      <x:c r="H647" s="23" t="n">
        <x:v>48.95</x:v>
      </x:c>
      <x:c r="I647" s="23" t="n">
        <x:v>52</x:v>
      </x:c>
      <x:c r="J647" s="23" t="n">
        <x:f>G647-H647</x:f>
        <x:v>6.149999999999999</x:v>
      </x:c>
      <x:c r="K647" t="str">
        <x:v>HINDCAST</x:v>
      </x:c>
      <x:c r="L647" s="24" t="n">
        <x:v>17.3616</x:v>
      </x:c>
      <x:c r="M647" s="24" t="n">
        <x:v>78.4747</x:v>
      </x:c>
      <x:c r="N647" t="str">
        <x:f>IF(I647&gt;70,"70+ dB",IF(I647&gt;55,"56-70 dB","41-55 dB"))</x:f>
        <x:v>41-55 dB</x:v>
      </x:c>
      <x:c r="O647" t="str">
        <x:f>IF(I647&gt;70,"High",IF(I647&gt;55,"Moderate","Low"))</x:f>
        <x:v>Low</x:v>
      </x:c>
      <x:c r="P647" t="str">
        <x:f>IF(I647&gt;=70,"Yes","No")</x:f>
        <x:v>No</x:v>
      </x:c>
      <x:c r="Q647" t="str">
        <x:f>TEXT(B647,"yyyy-mm")</x:f>
        <x:v>2020-02</x:v>
      </x:c>
    </x:row>
    <x:row r="648">
      <x:c r="A648" t="str">
        <x:v>HYD04</x:v>
      </x:c>
      <x:c r="B648" s="22" t="n">
        <x:f>DATE(C648,D648,1)</x:f>
        <x:v>43891</x:v>
      </x:c>
      <x:c r="C648" t="n">
        <x:v>2020</x:v>
      </x:c>
      <x:c r="D648" t="n">
        <x:v>3</x:v>
      </x:c>
      <x:c r="E648" t="str">
        <x:f>TEXT(B648,"mmm")</x:f>
        <x:v>Mar</x:v>
      </x:c>
      <x:c r="F648" t="str">
        <x:f>"Q"&amp;ROUNDUP(D648/3,0)</x:f>
        <x:v>Q1</x:v>
      </x:c>
      <x:c r="G648" s="23" t="n">
        <x:v>54.49</x:v>
      </x:c>
      <x:c r="H648" s="23" t="n">
        <x:v>48.75</x:v>
      </x:c>
      <x:c r="I648" s="23" t="n">
        <x:v>51.6</x:v>
      </x:c>
      <x:c r="J648" s="23" t="n">
        <x:f>G648-H648</x:f>
        <x:v>5.740000000000002</x:v>
      </x:c>
      <x:c r="K648" t="str">
        <x:v>HINDCAST</x:v>
      </x:c>
      <x:c r="L648" s="24" t="n">
        <x:v>17.3616</x:v>
      </x:c>
      <x:c r="M648" s="24" t="n">
        <x:v>78.4747</x:v>
      </x:c>
      <x:c r="N648" t="str">
        <x:f>IF(I648&gt;70,"70+ dB",IF(I648&gt;55,"56-70 dB","41-55 dB"))</x:f>
        <x:v>41-55 dB</x:v>
      </x:c>
      <x:c r="O648" t="str">
        <x:f>IF(I648&gt;70,"High",IF(I648&gt;55,"Moderate","Low"))</x:f>
        <x:v>Low</x:v>
      </x:c>
      <x:c r="P648" t="str">
        <x:f>IF(I648&gt;=70,"Yes","No")</x:f>
        <x:v>No</x:v>
      </x:c>
      <x:c r="Q648" t="str">
        <x:f>TEXT(B648,"yyyy-mm")</x:f>
        <x:v>2020-03</x:v>
      </x:c>
    </x:row>
    <x:row r="649">
      <x:c r="A649" t="str">
        <x:v>HYD04</x:v>
      </x:c>
      <x:c r="B649" s="22" t="n">
        <x:f>DATE(C649,D649,1)</x:f>
        <x:v>43922</x:v>
      </x:c>
      <x:c r="C649" t="n">
        <x:v>2020</x:v>
      </x:c>
      <x:c r="D649" t="n">
        <x:v>4</x:v>
      </x:c>
      <x:c r="E649" t="str">
        <x:f>TEXT(B649,"mmm")</x:f>
        <x:v>Apr</x:v>
      </x:c>
      <x:c r="F649" t="str">
        <x:f>"Q"&amp;ROUNDUP(D649/3,0)</x:f>
        <x:v>Q2</x:v>
      </x:c>
      <x:c r="G649" s="23" t="n">
        <x:v>54.71</x:v>
      </x:c>
      <x:c r="H649" s="23" t="n">
        <x:v>50.48</x:v>
      </x:c>
      <x:c r="I649" s="23" t="n">
        <x:v>52.6</x:v>
      </x:c>
      <x:c r="J649" s="23" t="n">
        <x:f>G649-H649</x:f>
        <x:v>4.230000000000004</x:v>
      </x:c>
      <x:c r="K649" t="str">
        <x:v>HINDCAST</x:v>
      </x:c>
      <x:c r="L649" s="24" t="n">
        <x:v>17.3616</x:v>
      </x:c>
      <x:c r="M649" s="24" t="n">
        <x:v>78.4747</x:v>
      </x:c>
      <x:c r="N649" t="str">
        <x:f>IF(I649&gt;70,"70+ dB",IF(I649&gt;55,"56-70 dB","41-55 dB"))</x:f>
        <x:v>41-55 dB</x:v>
      </x:c>
      <x:c r="O649" t="str">
        <x:f>IF(I649&gt;70,"High",IF(I649&gt;55,"Moderate","Low"))</x:f>
        <x:v>Low</x:v>
      </x:c>
      <x:c r="P649" t="str">
        <x:f>IF(I649&gt;=70,"Yes","No")</x:f>
        <x:v>No</x:v>
      </x:c>
      <x:c r="Q649" t="str">
        <x:f>TEXT(B649,"yyyy-mm")</x:f>
        <x:v>2020-04</x:v>
      </x:c>
    </x:row>
    <x:row r="650">
      <x:c r="A650" t="str">
        <x:v>HYD04</x:v>
      </x:c>
      <x:c r="B650" s="22" t="n">
        <x:f>DATE(C650,D650,1)</x:f>
        <x:v>43952</x:v>
      </x:c>
      <x:c r="C650" t="n">
        <x:v>2020</x:v>
      </x:c>
      <x:c r="D650" t="n">
        <x:v>5</x:v>
      </x:c>
      <x:c r="E650" t="str">
        <x:f>TEXT(B650,"mmm")</x:f>
        <x:v>May</x:v>
      </x:c>
      <x:c r="F650" t="str">
        <x:f>"Q"&amp;ROUNDUP(D650/3,0)</x:f>
        <x:v>Q2</x:v>
      </x:c>
      <x:c r="G650" s="23" t="n">
        <x:v>55.84</x:v>
      </x:c>
      <x:c r="H650" s="23" t="n">
        <x:v>51.01</x:v>
      </x:c>
      <x:c r="I650" s="23" t="n">
        <x:v>53.4</x:v>
      </x:c>
      <x:c r="J650" s="23" t="n">
        <x:f>G650-H650</x:f>
        <x:v>4.830000000000005</x:v>
      </x:c>
      <x:c r="K650" t="str">
        <x:v>HINDCAST</x:v>
      </x:c>
      <x:c r="L650" s="24" t="n">
        <x:v>17.3616</x:v>
      </x:c>
      <x:c r="M650" s="24" t="n">
        <x:v>78.4747</x:v>
      </x:c>
      <x:c r="N650" t="str">
        <x:f>IF(I650&gt;70,"70+ dB",IF(I650&gt;55,"56-70 dB","41-55 dB"))</x:f>
        <x:v>41-55 dB</x:v>
      </x:c>
      <x:c r="O650" t="str">
        <x:f>IF(I650&gt;70,"High",IF(I650&gt;55,"Moderate","Low"))</x:f>
        <x:v>Low</x:v>
      </x:c>
      <x:c r="P650" t="str">
        <x:f>IF(I650&gt;=70,"Yes","No")</x:f>
        <x:v>No</x:v>
      </x:c>
      <x:c r="Q650" t="str">
        <x:f>TEXT(B650,"yyyy-mm")</x:f>
        <x:v>2020-05</x:v>
      </x:c>
    </x:row>
    <x:row r="651">
      <x:c r="A651" t="str">
        <x:v>HYD04</x:v>
      </x:c>
      <x:c r="B651" s="22" t="n">
        <x:f>DATE(C651,D651,1)</x:f>
        <x:v>43983</x:v>
      </x:c>
      <x:c r="C651" t="n">
        <x:v>2020</x:v>
      </x:c>
      <x:c r="D651" t="n">
        <x:v>6</x:v>
      </x:c>
      <x:c r="E651" t="str">
        <x:f>TEXT(B651,"mmm")</x:f>
        <x:v>Jun</x:v>
      </x:c>
      <x:c r="F651" t="str">
        <x:f>"Q"&amp;ROUNDUP(D651/3,0)</x:f>
        <x:v>Q2</x:v>
      </x:c>
      <x:c r="G651" s="23" t="n">
        <x:v>56.03</x:v>
      </x:c>
      <x:c r="H651" s="23" t="n">
        <x:v>51.5</x:v>
      </x:c>
      <x:c r="I651" s="23" t="n">
        <x:v>53.8</x:v>
      </x:c>
      <x:c r="J651" s="23" t="n">
        <x:f>G651-H651</x:f>
        <x:v>4.530000000000001</x:v>
      </x:c>
      <x:c r="K651" t="str">
        <x:v>HINDCAST</x:v>
      </x:c>
      <x:c r="L651" s="24" t="n">
        <x:v>17.3616</x:v>
      </x:c>
      <x:c r="M651" s="24" t="n">
        <x:v>78.4747</x:v>
      </x:c>
      <x:c r="N651" t="str">
        <x:f>IF(I651&gt;70,"70+ dB",IF(I651&gt;55,"56-70 dB","41-55 dB"))</x:f>
        <x:v>41-55 dB</x:v>
      </x:c>
      <x:c r="O651" t="str">
        <x:f>IF(I651&gt;70,"High",IF(I651&gt;55,"Moderate","Low"))</x:f>
        <x:v>Low</x:v>
      </x:c>
      <x:c r="P651" t="str">
        <x:f>IF(I651&gt;=70,"Yes","No")</x:f>
        <x:v>No</x:v>
      </x:c>
      <x:c r="Q651" t="str">
        <x:f>TEXT(B651,"yyyy-mm")</x:f>
        <x:v>2020-06</x:v>
      </x:c>
    </x:row>
    <x:row r="652">
      <x:c r="A652" t="str">
        <x:v>HYD04</x:v>
      </x:c>
      <x:c r="B652" s="22" t="n">
        <x:f>DATE(C652,D652,1)</x:f>
        <x:v>44013</x:v>
      </x:c>
      <x:c r="C652" t="n">
        <x:v>2020</x:v>
      </x:c>
      <x:c r="D652" t="n">
        <x:v>7</x:v>
      </x:c>
      <x:c r="E652" t="str">
        <x:f>TEXT(B652,"mmm")</x:f>
        <x:v>Jul</x:v>
      </x:c>
      <x:c r="F652" t="str">
        <x:f>"Q"&amp;ROUNDUP(D652/3,0)</x:f>
        <x:v>Q3</x:v>
      </x:c>
      <x:c r="G652" s="23" t="n">
        <x:v>54.92</x:v>
      </x:c>
      <x:c r="H652" s="23" t="n">
        <x:v>50.65</x:v>
      </x:c>
      <x:c r="I652" s="23" t="n">
        <x:v>52.8</x:v>
      </x:c>
      <x:c r="J652" s="23" t="n">
        <x:f>G652-H652</x:f>
        <x:v>4.270000000000003</x:v>
      </x:c>
      <x:c r="K652" t="str">
        <x:v>HINDCAST</x:v>
      </x:c>
      <x:c r="L652" s="24" t="n">
        <x:v>17.3616</x:v>
      </x:c>
      <x:c r="M652" s="24" t="n">
        <x:v>78.4747</x:v>
      </x:c>
      <x:c r="N652" t="str">
        <x:f>IF(I652&gt;70,"70+ dB",IF(I652&gt;55,"56-70 dB","41-55 dB"))</x:f>
        <x:v>41-55 dB</x:v>
      </x:c>
      <x:c r="O652" t="str">
        <x:f>IF(I652&gt;70,"High",IF(I652&gt;55,"Moderate","Low"))</x:f>
        <x:v>Low</x:v>
      </x:c>
      <x:c r="P652" t="str">
        <x:f>IF(I652&gt;=70,"Yes","No")</x:f>
        <x:v>No</x:v>
      </x:c>
      <x:c r="Q652" t="str">
        <x:f>TEXT(B652,"yyyy-mm")</x:f>
        <x:v>2020-07</x:v>
      </x:c>
    </x:row>
    <x:row r="653">
      <x:c r="A653" t="str">
        <x:v>HYD04</x:v>
      </x:c>
      <x:c r="B653" s="22" t="n">
        <x:f>DATE(C653,D653,1)</x:f>
        <x:v>44044</x:v>
      </x:c>
      <x:c r="C653" t="n">
        <x:v>2020</x:v>
      </x:c>
      <x:c r="D653" t="n">
        <x:v>8</x:v>
      </x:c>
      <x:c r="E653" t="str">
        <x:f>TEXT(B653,"mmm")</x:f>
        <x:v>Aug</x:v>
      </x:c>
      <x:c r="F653" t="str">
        <x:f>"Q"&amp;ROUNDUP(D653/3,0)</x:f>
        <x:v>Q3</x:v>
      </x:c>
      <x:c r="G653" s="23" t="n">
        <x:v>55.97</x:v>
      </x:c>
      <x:c r="H653" s="23" t="n">
        <x:v>51.22</x:v>
      </x:c>
      <x:c r="I653" s="23" t="n">
        <x:v>53.6</x:v>
      </x:c>
      <x:c r="J653" s="23" t="n">
        <x:f>G653-H653</x:f>
        <x:v>4.75</x:v>
      </x:c>
      <x:c r="K653" t="str">
        <x:v>HINDCAST</x:v>
      </x:c>
      <x:c r="L653" s="24" t="n">
        <x:v>17.3616</x:v>
      </x:c>
      <x:c r="M653" s="24" t="n">
        <x:v>78.4747</x:v>
      </x:c>
      <x:c r="N653" t="str">
        <x:f>IF(I653&gt;70,"70+ dB",IF(I653&gt;55,"56-70 dB","41-55 dB"))</x:f>
        <x:v>41-55 dB</x:v>
      </x:c>
      <x:c r="O653" t="str">
        <x:f>IF(I653&gt;70,"High",IF(I653&gt;55,"Moderate","Low"))</x:f>
        <x:v>Low</x:v>
      </x:c>
      <x:c r="P653" t="str">
        <x:f>IF(I653&gt;=70,"Yes","No")</x:f>
        <x:v>No</x:v>
      </x:c>
      <x:c r="Q653" t="str">
        <x:f>TEXT(B653,"yyyy-mm")</x:f>
        <x:v>2020-08</x:v>
      </x:c>
    </x:row>
    <x:row r="654">
      <x:c r="A654" t="str">
        <x:v>HYD04</x:v>
      </x:c>
      <x:c r="B654" s="22" t="n">
        <x:f>DATE(C654,D654,1)</x:f>
        <x:v>44075</x:v>
      </x:c>
      <x:c r="C654" t="n">
        <x:v>2020</x:v>
      </x:c>
      <x:c r="D654" t="n">
        <x:v>9</x:v>
      </x:c>
      <x:c r="E654" t="str">
        <x:f>TEXT(B654,"mmm")</x:f>
        <x:v>Sep</x:v>
      </x:c>
      <x:c r="F654" t="str">
        <x:f>"Q"&amp;ROUNDUP(D654/3,0)</x:f>
        <x:v>Q3</x:v>
      </x:c>
      <x:c r="G654" s="23" t="n">
        <x:v>55.6</x:v>
      </x:c>
      <x:c r="H654" s="23" t="n">
        <x:v>50.25</x:v>
      </x:c>
      <x:c r="I654" s="23" t="n">
        <x:v>52.9</x:v>
      </x:c>
      <x:c r="J654" s="23" t="n">
        <x:f>G654-H654</x:f>
        <x:v>5.350000000000001</x:v>
      </x:c>
      <x:c r="K654" t="str">
        <x:v>HINDCAST</x:v>
      </x:c>
      <x:c r="L654" s="24" t="n">
        <x:v>17.3616</x:v>
      </x:c>
      <x:c r="M654" s="24" t="n">
        <x:v>78.4747</x:v>
      </x:c>
      <x:c r="N654" t="str">
        <x:f>IF(I654&gt;70,"70+ dB",IF(I654&gt;55,"56-70 dB","41-55 dB"))</x:f>
        <x:v>41-55 dB</x:v>
      </x:c>
      <x:c r="O654" t="str">
        <x:f>IF(I654&gt;70,"High",IF(I654&gt;55,"Moderate","Low"))</x:f>
        <x:v>Low</x:v>
      </x:c>
      <x:c r="P654" t="str">
        <x:f>IF(I654&gt;=70,"Yes","No")</x:f>
        <x:v>No</x:v>
      </x:c>
      <x:c r="Q654" t="str">
        <x:f>TEXT(B654,"yyyy-mm")</x:f>
        <x:v>2020-09</x:v>
      </x:c>
    </x:row>
    <x:row r="655">
      <x:c r="A655" t="str">
        <x:v>HYD04</x:v>
      </x:c>
      <x:c r="B655" s="22" t="n">
        <x:f>DATE(C655,D655,1)</x:f>
        <x:v>44105</x:v>
      </x:c>
      <x:c r="C655" t="n">
        <x:v>2020</x:v>
      </x:c>
      <x:c r="D655" t="n">
        <x:v>10</x:v>
      </x:c>
      <x:c r="E655" t="str">
        <x:f>TEXT(B655,"mmm")</x:f>
        <x:v>Oct</x:v>
      </x:c>
      <x:c r="F655" t="str">
        <x:f>"Q"&amp;ROUNDUP(D655/3,0)</x:f>
        <x:v>Q4</x:v>
      </x:c>
      <x:c r="G655" s="23" t="n">
        <x:v>55.01</x:v>
      </x:c>
      <x:c r="H655" s="23" t="n">
        <x:v>49.17</x:v>
      </x:c>
      <x:c r="I655" s="23" t="n">
        <x:v>52.1</x:v>
      </x:c>
      <x:c r="J655" s="23" t="n">
        <x:f>G655-H655</x:f>
        <x:v>5.839999999999996</x:v>
      </x:c>
      <x:c r="K655" t="str">
        <x:v>HINDCAST</x:v>
      </x:c>
      <x:c r="L655" s="24" t="n">
        <x:v>17.3616</x:v>
      </x:c>
      <x:c r="M655" s="24" t="n">
        <x:v>78.4747</x:v>
      </x:c>
      <x:c r="N655" t="str">
        <x:f>IF(I655&gt;70,"70+ dB",IF(I655&gt;55,"56-70 dB","41-55 dB"))</x:f>
        <x:v>41-55 dB</x:v>
      </x:c>
      <x:c r="O655" t="str">
        <x:f>IF(I655&gt;70,"High",IF(I655&gt;55,"Moderate","Low"))</x:f>
        <x:v>Low</x:v>
      </x:c>
      <x:c r="P655" t="str">
        <x:f>IF(I655&gt;=70,"Yes","No")</x:f>
        <x:v>No</x:v>
      </x:c>
      <x:c r="Q655" t="str">
        <x:f>TEXT(B655,"yyyy-mm")</x:f>
        <x:v>2020-10</x:v>
      </x:c>
    </x:row>
    <x:row r="656">
      <x:c r="A656" t="str">
        <x:v>HYD04</x:v>
      </x:c>
      <x:c r="B656" s="22" t="n">
        <x:f>DATE(C656,D656,1)</x:f>
        <x:v>44136</x:v>
      </x:c>
      <x:c r="C656" t="n">
        <x:v>2020</x:v>
      </x:c>
      <x:c r="D656" t="n">
        <x:v>11</x:v>
      </x:c>
      <x:c r="E656" t="str">
        <x:f>TEXT(B656,"mmm")</x:f>
        <x:v>Nov</x:v>
      </x:c>
      <x:c r="F656" t="str">
        <x:f>"Q"&amp;ROUNDUP(D656/3,0)</x:f>
        <x:v>Q4</x:v>
      </x:c>
      <x:c r="G656" s="23" t="n">
        <x:v>54.31</x:v>
      </x:c>
      <x:c r="H656" s="23" t="n">
        <x:v>49.14</x:v>
      </x:c>
      <x:c r="I656" s="23" t="n">
        <x:v>51.7</x:v>
      </x:c>
      <x:c r="J656" s="23" t="n">
        <x:f>G656-H656</x:f>
        <x:v>5.170000000000002</x:v>
      </x:c>
      <x:c r="K656" t="str">
        <x:v>HINDCAST</x:v>
      </x:c>
      <x:c r="L656" s="24" t="n">
        <x:v>17.3616</x:v>
      </x:c>
      <x:c r="M656" s="24" t="n">
        <x:v>78.4747</x:v>
      </x:c>
      <x:c r="N656" t="str">
        <x:f>IF(I656&gt;70,"70+ dB",IF(I656&gt;55,"56-70 dB","41-55 dB"))</x:f>
        <x:v>41-55 dB</x:v>
      </x:c>
      <x:c r="O656" t="str">
        <x:f>IF(I656&gt;70,"High",IF(I656&gt;55,"Moderate","Low"))</x:f>
        <x:v>Low</x:v>
      </x:c>
      <x:c r="P656" t="str">
        <x:f>IF(I656&gt;=70,"Yes","No")</x:f>
        <x:v>No</x:v>
      </x:c>
      <x:c r="Q656" t="str">
        <x:f>TEXT(B656,"yyyy-mm")</x:f>
        <x:v>2020-11</x:v>
      </x:c>
    </x:row>
    <x:row r="657">
      <x:c r="A657" t="str">
        <x:v>HYD04</x:v>
      </x:c>
      <x:c r="B657" s="22" t="n">
        <x:f>DATE(C657,D657,1)</x:f>
        <x:v>44166</x:v>
      </x:c>
      <x:c r="C657" t="n">
        <x:v>2020</x:v>
      </x:c>
      <x:c r="D657" t="n">
        <x:v>12</x:v>
      </x:c>
      <x:c r="E657" t="str">
        <x:f>TEXT(B657,"mmm")</x:f>
        <x:v>Dec</x:v>
      </x:c>
      <x:c r="F657" t="str">
        <x:f>"Q"&amp;ROUNDUP(D657/3,0)</x:f>
        <x:v>Q4</x:v>
      </x:c>
      <x:c r="G657" s="23" t="n">
        <x:v>54.2</x:v>
      </x:c>
      <x:c r="H657" s="23" t="n">
        <x:v>49.23</x:v>
      </x:c>
      <x:c r="I657" s="23" t="n">
        <x:v>51.7</x:v>
      </x:c>
      <x:c r="J657" s="23" t="n">
        <x:f>G657-H657</x:f>
        <x:v>4.970000000000006</x:v>
      </x:c>
      <x:c r="K657" t="str">
        <x:v>HINDCAST</x:v>
      </x:c>
      <x:c r="L657" s="24" t="n">
        <x:v>17.3616</x:v>
      </x:c>
      <x:c r="M657" s="24" t="n">
        <x:v>78.4747</x:v>
      </x:c>
      <x:c r="N657" t="str">
        <x:f>IF(I657&gt;70,"70+ dB",IF(I657&gt;55,"56-70 dB","41-55 dB"))</x:f>
        <x:v>41-55 dB</x:v>
      </x:c>
      <x:c r="O657" t="str">
        <x:f>IF(I657&gt;70,"High",IF(I657&gt;55,"Moderate","Low"))</x:f>
        <x:v>Low</x:v>
      </x:c>
      <x:c r="P657" t="str">
        <x:f>IF(I657&gt;=70,"Yes","No")</x:f>
        <x:v>No</x:v>
      </x:c>
      <x:c r="Q657" t="str">
        <x:f>TEXT(B657,"yyyy-mm")</x:f>
        <x:v>2020-12</x:v>
      </x:c>
    </x:row>
    <x:row r="658">
      <x:c r="A658" t="str">
        <x:v>HYD04</x:v>
      </x:c>
      <x:c r="B658" s="22" t="n">
        <x:f>DATE(C658,D658,1)</x:f>
        <x:v>44197</x:v>
      </x:c>
      <x:c r="C658" t="n">
        <x:v>2021</x:v>
      </x:c>
      <x:c r="D658" t="n">
        <x:v>1</x:v>
      </x:c>
      <x:c r="E658" t="str">
        <x:f>TEXT(B658,"mmm")</x:f>
        <x:v>Jan</x:v>
      </x:c>
      <x:c r="F658" t="str">
        <x:f>"Q"&amp;ROUNDUP(D658/3,0)</x:f>
        <x:v>Q1</x:v>
      </x:c>
      <x:c r="G658" s="23" t="n">
        <x:v>53.94</x:v>
      </x:c>
      <x:c r="H658" s="23" t="n">
        <x:v>48.52</x:v>
      </x:c>
      <x:c r="I658" s="23" t="n">
        <x:v>51.2</x:v>
      </x:c>
      <x:c r="J658" s="23" t="n">
        <x:f>G658-H658</x:f>
        <x:v>5.419999999999995</x:v>
      </x:c>
      <x:c r="K658" t="str">
        <x:v>HINDCAST</x:v>
      </x:c>
      <x:c r="L658" s="24" t="n">
        <x:v>17.3616</x:v>
      </x:c>
      <x:c r="M658" s="24" t="n">
        <x:v>78.4747</x:v>
      </x:c>
      <x:c r="N658" t="str">
        <x:f>IF(I658&gt;70,"70+ dB",IF(I658&gt;55,"56-70 dB","41-55 dB"))</x:f>
        <x:v>41-55 dB</x:v>
      </x:c>
      <x:c r="O658" t="str">
        <x:f>IF(I658&gt;70,"High",IF(I658&gt;55,"Moderate","Low"))</x:f>
        <x:v>Low</x:v>
      </x:c>
      <x:c r="P658" t="str">
        <x:f>IF(I658&gt;=70,"Yes","No")</x:f>
        <x:v>No</x:v>
      </x:c>
      <x:c r="Q658" t="str">
        <x:f>TEXT(B658,"yyyy-mm")</x:f>
        <x:v>2021-01</x:v>
      </x:c>
    </x:row>
    <x:row r="659">
      <x:c r="A659" t="str">
        <x:v>HYD04</x:v>
      </x:c>
      <x:c r="B659" s="22" t="n">
        <x:f>DATE(C659,D659,1)</x:f>
        <x:v>44228</x:v>
      </x:c>
      <x:c r="C659" t="n">
        <x:v>2021</x:v>
      </x:c>
      <x:c r="D659" t="n">
        <x:v>2</x:v>
      </x:c>
      <x:c r="E659" t="str">
        <x:f>TEXT(B659,"mmm")</x:f>
        <x:v>Feb</x:v>
      </x:c>
      <x:c r="F659" t="str">
        <x:f>"Q"&amp;ROUNDUP(D659/3,0)</x:f>
        <x:v>Q1</x:v>
      </x:c>
      <x:c r="G659" s="23" t="n">
        <x:v>55.13</x:v>
      </x:c>
      <x:c r="H659" s="23" t="n">
        <x:v>48.96</x:v>
      </x:c>
      <x:c r="I659" s="23" t="n">
        <x:v>52</x:v>
      </x:c>
      <x:c r="J659" s="23" t="n">
        <x:f>G659-H659</x:f>
        <x:v>6.170000000000002</x:v>
      </x:c>
      <x:c r="K659" t="str">
        <x:v>HINDCAST</x:v>
      </x:c>
      <x:c r="L659" s="24" t="n">
        <x:v>17.3616</x:v>
      </x:c>
      <x:c r="M659" s="24" t="n">
        <x:v>78.4747</x:v>
      </x:c>
      <x:c r="N659" t="str">
        <x:f>IF(I659&gt;70,"70+ dB",IF(I659&gt;55,"56-70 dB","41-55 dB"))</x:f>
        <x:v>41-55 dB</x:v>
      </x:c>
      <x:c r="O659" t="str">
        <x:f>IF(I659&gt;70,"High",IF(I659&gt;55,"Moderate","Low"))</x:f>
        <x:v>Low</x:v>
      </x:c>
      <x:c r="P659" t="str">
        <x:f>IF(I659&gt;=70,"Yes","No")</x:f>
        <x:v>No</x:v>
      </x:c>
      <x:c r="Q659" t="str">
        <x:f>TEXT(B659,"yyyy-mm")</x:f>
        <x:v>2021-02</x:v>
      </x:c>
    </x:row>
    <x:row r="660">
      <x:c r="A660" t="str">
        <x:v>HYD04</x:v>
      </x:c>
      <x:c r="B660" s="22" t="n">
        <x:f>DATE(C660,D660,1)</x:f>
        <x:v>44256</x:v>
      </x:c>
      <x:c r="C660" t="n">
        <x:v>2021</x:v>
      </x:c>
      <x:c r="D660" t="n">
        <x:v>3</x:v>
      </x:c>
      <x:c r="E660" t="str">
        <x:f>TEXT(B660,"mmm")</x:f>
        <x:v>Mar</x:v>
      </x:c>
      <x:c r="F660" t="str">
        <x:f>"Q"&amp;ROUNDUP(D660/3,0)</x:f>
        <x:v>Q1</x:v>
      </x:c>
      <x:c r="G660" s="23" t="n">
        <x:v>54.52</x:v>
      </x:c>
      <x:c r="H660" s="23" t="n">
        <x:v>48.75</x:v>
      </x:c>
      <x:c r="I660" s="23" t="n">
        <x:v>51.6</x:v>
      </x:c>
      <x:c r="J660" s="23" t="n">
        <x:f>G660-H660</x:f>
        <x:v>5.770000000000003</x:v>
      </x:c>
      <x:c r="K660" t="str">
        <x:v>HINDCAST</x:v>
      </x:c>
      <x:c r="L660" s="24" t="n">
        <x:v>17.3616</x:v>
      </x:c>
      <x:c r="M660" s="24" t="n">
        <x:v>78.4747</x:v>
      </x:c>
      <x:c r="N660" t="str">
        <x:f>IF(I660&gt;70,"70+ dB",IF(I660&gt;55,"56-70 dB","41-55 dB"))</x:f>
        <x:v>41-55 dB</x:v>
      </x:c>
      <x:c r="O660" t="str">
        <x:f>IF(I660&gt;70,"High",IF(I660&gt;55,"Moderate","Low"))</x:f>
        <x:v>Low</x:v>
      </x:c>
      <x:c r="P660" t="str">
        <x:f>IF(I660&gt;=70,"Yes","No")</x:f>
        <x:v>No</x:v>
      </x:c>
      <x:c r="Q660" t="str">
        <x:f>TEXT(B660,"yyyy-mm")</x:f>
        <x:v>2021-03</x:v>
      </x:c>
    </x:row>
    <x:row r="661">
      <x:c r="A661" t="str">
        <x:v>HYD04</x:v>
      </x:c>
      <x:c r="B661" s="22" t="n">
        <x:f>DATE(C661,D661,1)</x:f>
        <x:v>44287</x:v>
      </x:c>
      <x:c r="C661" t="n">
        <x:v>2021</x:v>
      </x:c>
      <x:c r="D661" t="n">
        <x:v>4</x:v>
      </x:c>
      <x:c r="E661" t="str">
        <x:f>TEXT(B661,"mmm")</x:f>
        <x:v>Apr</x:v>
      </x:c>
      <x:c r="F661" t="str">
        <x:f>"Q"&amp;ROUNDUP(D661/3,0)</x:f>
        <x:v>Q2</x:v>
      </x:c>
      <x:c r="G661" s="23" t="n">
        <x:v>54.73</x:v>
      </x:c>
      <x:c r="H661" s="23" t="n">
        <x:v>50.49</x:v>
      </x:c>
      <x:c r="I661" s="23" t="n">
        <x:v>52.6</x:v>
      </x:c>
      <x:c r="J661" s="23" t="n">
        <x:f>G661-H661</x:f>
        <x:v>4.239999999999995</x:v>
      </x:c>
      <x:c r="K661" t="str">
        <x:v>HINDCAST</x:v>
      </x:c>
      <x:c r="L661" s="24" t="n">
        <x:v>17.3616</x:v>
      </x:c>
      <x:c r="M661" s="24" t="n">
        <x:v>78.4747</x:v>
      </x:c>
      <x:c r="N661" t="str">
        <x:f>IF(I661&gt;70,"70+ dB",IF(I661&gt;55,"56-70 dB","41-55 dB"))</x:f>
        <x:v>41-55 dB</x:v>
      </x:c>
      <x:c r="O661" t="str">
        <x:f>IF(I661&gt;70,"High",IF(I661&gt;55,"Moderate","Low"))</x:f>
        <x:v>Low</x:v>
      </x:c>
      <x:c r="P661" t="str">
        <x:f>IF(I661&gt;=70,"Yes","No")</x:f>
        <x:v>No</x:v>
      </x:c>
      <x:c r="Q661" t="str">
        <x:f>TEXT(B661,"yyyy-mm")</x:f>
        <x:v>2021-04</x:v>
      </x:c>
    </x:row>
    <x:row r="662">
      <x:c r="A662" t="str">
        <x:v>HYD04</x:v>
      </x:c>
      <x:c r="B662" s="22" t="n">
        <x:f>DATE(C662,D662,1)</x:f>
        <x:v>44317</x:v>
      </x:c>
      <x:c r="C662" t="n">
        <x:v>2021</x:v>
      </x:c>
      <x:c r="D662" t="n">
        <x:v>5</x:v>
      </x:c>
      <x:c r="E662" t="str">
        <x:f>TEXT(B662,"mmm")</x:f>
        <x:v>May</x:v>
      </x:c>
      <x:c r="F662" t="str">
        <x:f>"Q"&amp;ROUNDUP(D662/3,0)</x:f>
        <x:v>Q2</x:v>
      </x:c>
      <x:c r="G662" s="23" t="n">
        <x:v>55.87</x:v>
      </x:c>
      <x:c r="H662" s="23" t="n">
        <x:v>51.02</x:v>
      </x:c>
      <x:c r="I662" s="23" t="n">
        <x:v>53.4</x:v>
      </x:c>
      <x:c r="J662" s="23" t="n">
        <x:f>G662-H662</x:f>
        <x:v>4.849999999999994</x:v>
      </x:c>
      <x:c r="K662" t="str">
        <x:v>HINDCAST</x:v>
      </x:c>
      <x:c r="L662" s="24" t="n">
        <x:v>17.3616</x:v>
      </x:c>
      <x:c r="M662" s="24" t="n">
        <x:v>78.4747</x:v>
      </x:c>
      <x:c r="N662" t="str">
        <x:f>IF(I662&gt;70,"70+ dB",IF(I662&gt;55,"56-70 dB","41-55 dB"))</x:f>
        <x:v>41-55 dB</x:v>
      </x:c>
      <x:c r="O662" t="str">
        <x:f>IF(I662&gt;70,"High",IF(I662&gt;55,"Moderate","Low"))</x:f>
        <x:v>Low</x:v>
      </x:c>
      <x:c r="P662" t="str">
        <x:f>IF(I662&gt;=70,"Yes","No")</x:f>
        <x:v>No</x:v>
      </x:c>
      <x:c r="Q662" t="str">
        <x:f>TEXT(B662,"yyyy-mm")</x:f>
        <x:v>2021-05</x:v>
      </x:c>
    </x:row>
    <x:row r="663">
      <x:c r="A663" t="str">
        <x:v>HYD04</x:v>
      </x:c>
      <x:c r="B663" s="22" t="n">
        <x:f>DATE(C663,D663,1)</x:f>
        <x:v>44348</x:v>
      </x:c>
      <x:c r="C663" t="n">
        <x:v>2021</x:v>
      </x:c>
      <x:c r="D663" t="n">
        <x:v>6</x:v>
      </x:c>
      <x:c r="E663" t="str">
        <x:f>TEXT(B663,"mmm")</x:f>
        <x:v>Jun</x:v>
      </x:c>
      <x:c r="F663" t="str">
        <x:f>"Q"&amp;ROUNDUP(D663/3,0)</x:f>
        <x:v>Q2</x:v>
      </x:c>
      <x:c r="G663" s="23" t="n">
        <x:v>56.05</x:v>
      </x:c>
      <x:c r="H663" s="23" t="n">
        <x:v>51.5</x:v>
      </x:c>
      <x:c r="I663" s="23" t="n">
        <x:v>53.8</x:v>
      </x:c>
      <x:c r="J663" s="23" t="n">
        <x:f>G663-H663</x:f>
        <x:v>4.549999999999997</x:v>
      </x:c>
      <x:c r="K663" t="str">
        <x:v>HINDCAST</x:v>
      </x:c>
      <x:c r="L663" s="24" t="n">
        <x:v>17.3616</x:v>
      </x:c>
      <x:c r="M663" s="24" t="n">
        <x:v>78.4747</x:v>
      </x:c>
      <x:c r="N663" t="str">
        <x:f>IF(I663&gt;70,"70+ dB",IF(I663&gt;55,"56-70 dB","41-55 dB"))</x:f>
        <x:v>41-55 dB</x:v>
      </x:c>
      <x:c r="O663" t="str">
        <x:f>IF(I663&gt;70,"High",IF(I663&gt;55,"Moderate","Low"))</x:f>
        <x:v>Low</x:v>
      </x:c>
      <x:c r="P663" t="str">
        <x:f>IF(I663&gt;=70,"Yes","No")</x:f>
        <x:v>No</x:v>
      </x:c>
      <x:c r="Q663" t="str">
        <x:f>TEXT(B663,"yyyy-mm")</x:f>
        <x:v>2021-06</x:v>
      </x:c>
    </x:row>
    <x:row r="664">
      <x:c r="A664" t="str">
        <x:v>HYD04</x:v>
      </x:c>
      <x:c r="B664" s="22" t="n">
        <x:f>DATE(C664,D664,1)</x:f>
        <x:v>44378</x:v>
      </x:c>
      <x:c r="C664" t="n">
        <x:v>2021</x:v>
      </x:c>
      <x:c r="D664" t="n">
        <x:v>7</x:v>
      </x:c>
      <x:c r="E664" t="str">
        <x:f>TEXT(B664,"mmm")</x:f>
        <x:v>Jul</x:v>
      </x:c>
      <x:c r="F664" t="str">
        <x:f>"Q"&amp;ROUNDUP(D664/3,0)</x:f>
        <x:v>Q3</x:v>
      </x:c>
      <x:c r="G664" s="23" t="n">
        <x:v>54.94</x:v>
      </x:c>
      <x:c r="H664" s="23" t="n">
        <x:v>50.65</x:v>
      </x:c>
      <x:c r="I664" s="23" t="n">
        <x:v>52.8</x:v>
      </x:c>
      <x:c r="J664" s="23" t="n">
        <x:f>G664-H664</x:f>
        <x:v>4.289999999999999</x:v>
      </x:c>
      <x:c r="K664" t="str">
        <x:v>HINDCAST</x:v>
      </x:c>
      <x:c r="L664" s="24" t="n">
        <x:v>17.3616</x:v>
      </x:c>
      <x:c r="M664" s="24" t="n">
        <x:v>78.4747</x:v>
      </x:c>
      <x:c r="N664" t="str">
        <x:f>IF(I664&gt;70,"70+ dB",IF(I664&gt;55,"56-70 dB","41-55 dB"))</x:f>
        <x:v>41-55 dB</x:v>
      </x:c>
      <x:c r="O664" t="str">
        <x:f>IF(I664&gt;70,"High",IF(I664&gt;55,"Moderate","Low"))</x:f>
        <x:v>Low</x:v>
      </x:c>
      <x:c r="P664" t="str">
        <x:f>IF(I664&gt;=70,"Yes","No")</x:f>
        <x:v>No</x:v>
      </x:c>
      <x:c r="Q664" t="str">
        <x:f>TEXT(B664,"yyyy-mm")</x:f>
        <x:v>2021-07</x:v>
      </x:c>
    </x:row>
    <x:row r="665">
      <x:c r="A665" t="str">
        <x:v>HYD04</x:v>
      </x:c>
      <x:c r="B665" s="22" t="n">
        <x:f>DATE(C665,D665,1)</x:f>
        <x:v>44409</x:v>
      </x:c>
      <x:c r="C665" t="n">
        <x:v>2021</x:v>
      </x:c>
      <x:c r="D665" t="n">
        <x:v>8</x:v>
      </x:c>
      <x:c r="E665" t="str">
        <x:f>TEXT(B665,"mmm")</x:f>
        <x:v>Aug</x:v>
      </x:c>
      <x:c r="F665" t="str">
        <x:f>"Q"&amp;ROUNDUP(D665/3,0)</x:f>
        <x:v>Q3</x:v>
      </x:c>
      <x:c r="G665" s="23" t="n">
        <x:v>55.99</x:v>
      </x:c>
      <x:c r="H665" s="23" t="n">
        <x:v>51.23</x:v>
      </x:c>
      <x:c r="I665" s="23" t="n">
        <x:v>53.6</x:v>
      </x:c>
      <x:c r="J665" s="23" t="n">
        <x:f>G665-H665</x:f>
        <x:v>4.760000000000005</x:v>
      </x:c>
      <x:c r="K665" t="str">
        <x:v>HINDCAST</x:v>
      </x:c>
      <x:c r="L665" s="24" t="n">
        <x:v>17.3616</x:v>
      </x:c>
      <x:c r="M665" s="24" t="n">
        <x:v>78.4747</x:v>
      </x:c>
      <x:c r="N665" t="str">
        <x:f>IF(I665&gt;70,"70+ dB",IF(I665&gt;55,"56-70 dB","41-55 dB"))</x:f>
        <x:v>41-55 dB</x:v>
      </x:c>
      <x:c r="O665" t="str">
        <x:f>IF(I665&gt;70,"High",IF(I665&gt;55,"Moderate","Low"))</x:f>
        <x:v>Low</x:v>
      </x:c>
      <x:c r="P665" t="str">
        <x:f>IF(I665&gt;=70,"Yes","No")</x:f>
        <x:v>No</x:v>
      </x:c>
      <x:c r="Q665" t="str">
        <x:f>TEXT(B665,"yyyy-mm")</x:f>
        <x:v>2021-08</x:v>
      </x:c>
    </x:row>
    <x:row r="666">
      <x:c r="A666" t="str">
        <x:v>HYD04</x:v>
      </x:c>
      <x:c r="B666" s="22" t="n">
        <x:f>DATE(C666,D666,1)</x:f>
        <x:v>44440</x:v>
      </x:c>
      <x:c r="C666" t="n">
        <x:v>2021</x:v>
      </x:c>
      <x:c r="D666" t="n">
        <x:v>9</x:v>
      </x:c>
      <x:c r="E666" t="str">
        <x:f>TEXT(B666,"mmm")</x:f>
        <x:v>Sep</x:v>
      </x:c>
      <x:c r="F666" t="str">
        <x:f>"Q"&amp;ROUNDUP(D666/3,0)</x:f>
        <x:v>Q3</x:v>
      </x:c>
      <x:c r="G666" s="23" t="n">
        <x:v>55.63</x:v>
      </x:c>
      <x:c r="H666" s="23" t="n">
        <x:v>50.25</x:v>
      </x:c>
      <x:c r="I666" s="23" t="n">
        <x:v>52.9</x:v>
      </x:c>
      <x:c r="J666" s="23" t="n">
        <x:f>G666-H666</x:f>
        <x:v>5.380000000000003</x:v>
      </x:c>
      <x:c r="K666" t="str">
        <x:v>HINDCAST</x:v>
      </x:c>
      <x:c r="L666" s="24" t="n">
        <x:v>17.3616</x:v>
      </x:c>
      <x:c r="M666" s="24" t="n">
        <x:v>78.4747</x:v>
      </x:c>
      <x:c r="N666" t="str">
        <x:f>IF(I666&gt;70,"70+ dB",IF(I666&gt;55,"56-70 dB","41-55 dB"))</x:f>
        <x:v>41-55 dB</x:v>
      </x:c>
      <x:c r="O666" t="str">
        <x:f>IF(I666&gt;70,"High",IF(I666&gt;55,"Moderate","Low"))</x:f>
        <x:v>Low</x:v>
      </x:c>
      <x:c r="P666" t="str">
        <x:f>IF(I666&gt;=70,"Yes","No")</x:f>
        <x:v>No</x:v>
      </x:c>
      <x:c r="Q666" t="str">
        <x:f>TEXT(B666,"yyyy-mm")</x:f>
        <x:v>2021-09</x:v>
      </x:c>
    </x:row>
    <x:row r="667">
      <x:c r="A667" t="str">
        <x:v>HYD04</x:v>
      </x:c>
      <x:c r="B667" s="22" t="n">
        <x:f>DATE(C667,D667,1)</x:f>
        <x:v>44470</x:v>
      </x:c>
      <x:c r="C667" t="n">
        <x:v>2021</x:v>
      </x:c>
      <x:c r="D667" t="n">
        <x:v>10</x:v>
      </x:c>
      <x:c r="E667" t="str">
        <x:f>TEXT(B667,"mmm")</x:f>
        <x:v>Oct</x:v>
      </x:c>
      <x:c r="F667" t="str">
        <x:f>"Q"&amp;ROUNDUP(D667/3,0)</x:f>
        <x:v>Q4</x:v>
      </x:c>
      <x:c r="G667" s="23" t="n">
        <x:v>55.03</x:v>
      </x:c>
      <x:c r="H667" s="23" t="n">
        <x:v>49.18</x:v>
      </x:c>
      <x:c r="I667" s="23" t="n">
        <x:v>52.1</x:v>
      </x:c>
      <x:c r="J667" s="23" t="n">
        <x:f>G667-H667</x:f>
        <x:v>5.850000000000001</x:v>
      </x:c>
      <x:c r="K667" t="str">
        <x:v>HINDCAST</x:v>
      </x:c>
      <x:c r="L667" s="24" t="n">
        <x:v>17.3616</x:v>
      </x:c>
      <x:c r="M667" s="24" t="n">
        <x:v>78.4747</x:v>
      </x:c>
      <x:c r="N667" t="str">
        <x:f>IF(I667&gt;70,"70+ dB",IF(I667&gt;55,"56-70 dB","41-55 dB"))</x:f>
        <x:v>41-55 dB</x:v>
      </x:c>
      <x:c r="O667" t="str">
        <x:f>IF(I667&gt;70,"High",IF(I667&gt;55,"Moderate","Low"))</x:f>
        <x:v>Low</x:v>
      </x:c>
      <x:c r="P667" t="str">
        <x:f>IF(I667&gt;=70,"Yes","No")</x:f>
        <x:v>No</x:v>
      </x:c>
      <x:c r="Q667" t="str">
        <x:f>TEXT(B667,"yyyy-mm")</x:f>
        <x:v>2021-10</x:v>
      </x:c>
    </x:row>
    <x:row r="668">
      <x:c r="A668" t="str">
        <x:v>HYD04</x:v>
      </x:c>
      <x:c r="B668" s="22" t="n">
        <x:f>DATE(C668,D668,1)</x:f>
        <x:v>44501</x:v>
      </x:c>
      <x:c r="C668" t="n">
        <x:v>2021</x:v>
      </x:c>
      <x:c r="D668" t="n">
        <x:v>11</x:v>
      </x:c>
      <x:c r="E668" t="str">
        <x:f>TEXT(B668,"mmm")</x:f>
        <x:v>Nov</x:v>
      </x:c>
      <x:c r="F668" t="str">
        <x:f>"Q"&amp;ROUNDUP(D668/3,0)</x:f>
        <x:v>Q4</x:v>
      </x:c>
      <x:c r="G668" s="23" t="n">
        <x:v>54.34</x:v>
      </x:c>
      <x:c r="H668" s="23" t="n">
        <x:v>49.15</x:v>
      </x:c>
      <x:c r="I668" s="23" t="n">
        <x:v>51.7</x:v>
      </x:c>
      <x:c r="J668" s="23" t="n">
        <x:f>G668-H668</x:f>
        <x:v>5.190000000000005</x:v>
      </x:c>
      <x:c r="K668" t="str">
        <x:v>HINDCAST</x:v>
      </x:c>
      <x:c r="L668" s="24" t="n">
        <x:v>17.3616</x:v>
      </x:c>
      <x:c r="M668" s="24" t="n">
        <x:v>78.4747</x:v>
      </x:c>
      <x:c r="N668" t="str">
        <x:f>IF(I668&gt;70,"70+ dB",IF(I668&gt;55,"56-70 dB","41-55 dB"))</x:f>
        <x:v>41-55 dB</x:v>
      </x:c>
      <x:c r="O668" t="str">
        <x:f>IF(I668&gt;70,"High",IF(I668&gt;55,"Moderate","Low"))</x:f>
        <x:v>Low</x:v>
      </x:c>
      <x:c r="P668" t="str">
        <x:f>IF(I668&gt;=70,"Yes","No")</x:f>
        <x:v>No</x:v>
      </x:c>
      <x:c r="Q668" t="str">
        <x:f>TEXT(B668,"yyyy-mm")</x:f>
        <x:v>2021-11</x:v>
      </x:c>
    </x:row>
    <x:row r="669">
      <x:c r="A669" t="str">
        <x:v>HYD04</x:v>
      </x:c>
      <x:c r="B669" s="22" t="n">
        <x:f>DATE(C669,D669,1)</x:f>
        <x:v>44531</x:v>
      </x:c>
      <x:c r="C669" t="n">
        <x:v>2021</x:v>
      </x:c>
      <x:c r="D669" t="n">
        <x:v>12</x:v>
      </x:c>
      <x:c r="E669" t="str">
        <x:f>TEXT(B669,"mmm")</x:f>
        <x:v>Dec</x:v>
      </x:c>
      <x:c r="F669" t="str">
        <x:f>"Q"&amp;ROUNDUP(D669/3,0)</x:f>
        <x:v>Q4</x:v>
      </x:c>
      <x:c r="G669" s="23" t="n">
        <x:v>54.23</x:v>
      </x:c>
      <x:c r="H669" s="23" t="n">
        <x:v>49.23</x:v>
      </x:c>
      <x:c r="I669" s="23" t="n">
        <x:v>51.7</x:v>
      </x:c>
      <x:c r="J669" s="23" t="n">
        <x:f>G669-H669</x:f>
        <x:v>5</x:v>
      </x:c>
      <x:c r="K669" t="str">
        <x:v>HINDCAST</x:v>
      </x:c>
      <x:c r="L669" s="24" t="n">
        <x:v>17.3616</x:v>
      </x:c>
      <x:c r="M669" s="24" t="n">
        <x:v>78.4747</x:v>
      </x:c>
      <x:c r="N669" t="str">
        <x:f>IF(I669&gt;70,"70+ dB",IF(I669&gt;55,"56-70 dB","41-55 dB"))</x:f>
        <x:v>41-55 dB</x:v>
      </x:c>
      <x:c r="O669" t="str">
        <x:f>IF(I669&gt;70,"High",IF(I669&gt;55,"Moderate","Low"))</x:f>
        <x:v>Low</x:v>
      </x:c>
      <x:c r="P669" t="str">
        <x:f>IF(I669&gt;=70,"Yes","No")</x:f>
        <x:v>No</x:v>
      </x:c>
      <x:c r="Q669" t="str">
        <x:f>TEXT(B669,"yyyy-mm")</x:f>
        <x:v>2021-12</x:v>
      </x:c>
    </x:row>
    <x:row r="670">
      <x:c r="A670" t="str">
        <x:v>HYD04</x:v>
      </x:c>
      <x:c r="B670" s="22" t="n">
        <x:f>DATE(C670,D670,1)</x:f>
        <x:v>44562</x:v>
      </x:c>
      <x:c r="C670" t="n">
        <x:v>2022</x:v>
      </x:c>
      <x:c r="D670" t="n">
        <x:v>1</x:v>
      </x:c>
      <x:c r="E670" t="str">
        <x:f>TEXT(B670,"mmm")</x:f>
        <x:v>Jan</x:v>
      </x:c>
      <x:c r="F670" t="str">
        <x:f>"Q"&amp;ROUNDUP(D670/3,0)</x:f>
        <x:v>Q1</x:v>
      </x:c>
      <x:c r="G670" s="23" t="n">
        <x:v>53.97</x:v>
      </x:c>
      <x:c r="H670" s="23" t="n">
        <x:v>48.53</x:v>
      </x:c>
      <x:c r="I670" s="23" t="n">
        <x:v>51.2</x:v>
      </x:c>
      <x:c r="J670" s="23" t="n">
        <x:f>G670-H670</x:f>
        <x:v>5.439999999999998</x:v>
      </x:c>
      <x:c r="K670" t="str">
        <x:v>HINDCAST</x:v>
      </x:c>
      <x:c r="L670" s="24" t="n">
        <x:v>17.3616</x:v>
      </x:c>
      <x:c r="M670" s="24" t="n">
        <x:v>78.4747</x:v>
      </x:c>
      <x:c r="N670" t="str">
        <x:f>IF(I670&gt;70,"70+ dB",IF(I670&gt;55,"56-70 dB","41-55 dB"))</x:f>
        <x:v>41-55 dB</x:v>
      </x:c>
      <x:c r="O670" t="str">
        <x:f>IF(I670&gt;70,"High",IF(I670&gt;55,"Moderate","Low"))</x:f>
        <x:v>Low</x:v>
      </x:c>
      <x:c r="P670" t="str">
        <x:f>IF(I670&gt;=70,"Yes","No")</x:f>
        <x:v>No</x:v>
      </x:c>
      <x:c r="Q670" t="str">
        <x:f>TEXT(B670,"yyyy-mm")</x:f>
        <x:v>2022-01</x:v>
      </x:c>
    </x:row>
    <x:row r="671">
      <x:c r="A671" t="str">
        <x:v>HYD04</x:v>
      </x:c>
      <x:c r="B671" s="22" t="n">
        <x:f>DATE(C671,D671,1)</x:f>
        <x:v>44593</x:v>
      </x:c>
      <x:c r="C671" t="n">
        <x:v>2022</x:v>
      </x:c>
      <x:c r="D671" t="n">
        <x:v>2</x:v>
      </x:c>
      <x:c r="E671" t="str">
        <x:f>TEXT(B671,"mmm")</x:f>
        <x:v>Feb</x:v>
      </x:c>
      <x:c r="F671" t="str">
        <x:f>"Q"&amp;ROUNDUP(D671/3,0)</x:f>
        <x:v>Q1</x:v>
      </x:c>
      <x:c r="G671" s="23" t="n">
        <x:v>55.15</x:v>
      </x:c>
      <x:c r="H671" s="23" t="n">
        <x:v>48.97</x:v>
      </x:c>
      <x:c r="I671" s="23" t="n">
        <x:v>52.1</x:v>
      </x:c>
      <x:c r="J671" s="23" t="n">
        <x:f>G671-H671</x:f>
        <x:v>6.18</x:v>
      </x:c>
      <x:c r="K671" t="str">
        <x:v>HINDCAST</x:v>
      </x:c>
      <x:c r="L671" s="24" t="n">
        <x:v>17.3616</x:v>
      </x:c>
      <x:c r="M671" s="24" t="n">
        <x:v>78.4747</x:v>
      </x:c>
      <x:c r="N671" t="str">
        <x:f>IF(I671&gt;70,"70+ dB",IF(I671&gt;55,"56-70 dB","41-55 dB"))</x:f>
        <x:v>41-55 dB</x:v>
      </x:c>
      <x:c r="O671" t="str">
        <x:f>IF(I671&gt;70,"High",IF(I671&gt;55,"Moderate","Low"))</x:f>
        <x:v>Low</x:v>
      </x:c>
      <x:c r="P671" t="str">
        <x:f>IF(I671&gt;=70,"Yes","No")</x:f>
        <x:v>No</x:v>
      </x:c>
      <x:c r="Q671" t="str">
        <x:f>TEXT(B671,"yyyy-mm")</x:f>
        <x:v>2022-02</x:v>
      </x:c>
    </x:row>
    <x:row r="672">
      <x:c r="A672" t="str">
        <x:v>HYD04</x:v>
      </x:c>
      <x:c r="B672" s="22" t="n">
        <x:f>DATE(C672,D672,1)</x:f>
        <x:v>44621</x:v>
      </x:c>
      <x:c r="C672" t="n">
        <x:v>2022</x:v>
      </x:c>
      <x:c r="D672" t="n">
        <x:v>3</x:v>
      </x:c>
      <x:c r="E672" t="str">
        <x:f>TEXT(B672,"mmm")</x:f>
        <x:v>Mar</x:v>
      </x:c>
      <x:c r="F672" t="str">
        <x:f>"Q"&amp;ROUNDUP(D672/3,0)</x:f>
        <x:v>Q1</x:v>
      </x:c>
      <x:c r="G672" s="23" t="n">
        <x:v>54.54</x:v>
      </x:c>
      <x:c r="H672" s="23" t="n">
        <x:v>48.76</x:v>
      </x:c>
      <x:c r="I672" s="23" t="n">
        <x:v>51.6</x:v>
      </x:c>
      <x:c r="J672" s="23" t="n">
        <x:f>G672-H672</x:f>
        <x:v>5.780000000000001</x:v>
      </x:c>
      <x:c r="K672" t="str">
        <x:v>HINDCAST</x:v>
      </x:c>
      <x:c r="L672" s="24" t="n">
        <x:v>17.3616</x:v>
      </x:c>
      <x:c r="M672" s="24" t="n">
        <x:v>78.4747</x:v>
      </x:c>
      <x:c r="N672" t="str">
        <x:f>IF(I672&gt;70,"70+ dB",IF(I672&gt;55,"56-70 dB","41-55 dB"))</x:f>
        <x:v>41-55 dB</x:v>
      </x:c>
      <x:c r="O672" t="str">
        <x:f>IF(I672&gt;70,"High",IF(I672&gt;55,"Moderate","Low"))</x:f>
        <x:v>Low</x:v>
      </x:c>
      <x:c r="P672" t="str">
        <x:f>IF(I672&gt;=70,"Yes","No")</x:f>
        <x:v>No</x:v>
      </x:c>
      <x:c r="Q672" t="str">
        <x:f>TEXT(B672,"yyyy-mm")</x:f>
        <x:v>2022-03</x:v>
      </x:c>
    </x:row>
    <x:row r="673">
      <x:c r="A673" t="str">
        <x:v>HYD04</x:v>
      </x:c>
      <x:c r="B673" s="22" t="n">
        <x:f>DATE(C673,D673,1)</x:f>
        <x:v>44652</x:v>
      </x:c>
      <x:c r="C673" t="n">
        <x:v>2022</x:v>
      </x:c>
      <x:c r="D673" t="n">
        <x:v>4</x:v>
      </x:c>
      <x:c r="E673" t="str">
        <x:f>TEXT(B673,"mmm")</x:f>
        <x:v>Apr</x:v>
      </x:c>
      <x:c r="F673" t="str">
        <x:f>"Q"&amp;ROUNDUP(D673/3,0)</x:f>
        <x:v>Q2</x:v>
      </x:c>
      <x:c r="G673" s="23" t="n">
        <x:v>54.76</x:v>
      </x:c>
      <x:c r="H673" s="23" t="n">
        <x:v>50.49</x:v>
      </x:c>
      <x:c r="I673" s="23" t="n">
        <x:v>52.6</x:v>
      </x:c>
      <x:c r="J673" s="23" t="n">
        <x:f>G673-H673</x:f>
        <x:v>4.269999999999996</x:v>
      </x:c>
      <x:c r="K673" t="str">
        <x:v>HINDCAST</x:v>
      </x:c>
      <x:c r="L673" s="24" t="n">
        <x:v>17.3616</x:v>
      </x:c>
      <x:c r="M673" s="24" t="n">
        <x:v>78.4747</x:v>
      </x:c>
      <x:c r="N673" t="str">
        <x:f>IF(I673&gt;70,"70+ dB",IF(I673&gt;55,"56-70 dB","41-55 dB"))</x:f>
        <x:v>41-55 dB</x:v>
      </x:c>
      <x:c r="O673" t="str">
        <x:f>IF(I673&gt;70,"High",IF(I673&gt;55,"Moderate","Low"))</x:f>
        <x:v>Low</x:v>
      </x:c>
      <x:c r="P673" t="str">
        <x:f>IF(I673&gt;=70,"Yes","No")</x:f>
        <x:v>No</x:v>
      </x:c>
      <x:c r="Q673" t="str">
        <x:f>TEXT(B673,"yyyy-mm")</x:f>
        <x:v>2022-04</x:v>
      </x:c>
    </x:row>
    <x:row r="674">
      <x:c r="A674" t="str">
        <x:v>HYD04</x:v>
      </x:c>
      <x:c r="B674" s="22" t="n">
        <x:f>DATE(C674,D674,1)</x:f>
        <x:v>44682</x:v>
      </x:c>
      <x:c r="C674" t="n">
        <x:v>2022</x:v>
      </x:c>
      <x:c r="D674" t="n">
        <x:v>5</x:v>
      </x:c>
      <x:c r="E674" t="str">
        <x:f>TEXT(B674,"mmm")</x:f>
        <x:v>May</x:v>
      </x:c>
      <x:c r="F674" t="str">
        <x:f>"Q"&amp;ROUNDUP(D674/3,0)</x:f>
        <x:v>Q2</x:v>
      </x:c>
      <x:c r="G674" s="23" t="n">
        <x:v>55.89</x:v>
      </x:c>
      <x:c r="H674" s="23" t="n">
        <x:v>51.02</x:v>
      </x:c>
      <x:c r="I674" s="23" t="n">
        <x:v>53.5</x:v>
      </x:c>
      <x:c r="J674" s="23" t="n">
        <x:f>G674-H674</x:f>
        <x:v>4.869999999999997</x:v>
      </x:c>
      <x:c r="K674" t="str">
        <x:v>HINDCAST</x:v>
      </x:c>
      <x:c r="L674" s="24" t="n">
        <x:v>17.3616</x:v>
      </x:c>
      <x:c r="M674" s="24" t="n">
        <x:v>78.4747</x:v>
      </x:c>
      <x:c r="N674" t="str">
        <x:f>IF(I674&gt;70,"70+ dB",IF(I674&gt;55,"56-70 dB","41-55 dB"))</x:f>
        <x:v>41-55 dB</x:v>
      </x:c>
      <x:c r="O674" t="str">
        <x:f>IF(I674&gt;70,"High",IF(I674&gt;55,"Moderate","Low"))</x:f>
        <x:v>Low</x:v>
      </x:c>
      <x:c r="P674" t="str">
        <x:f>IF(I674&gt;=70,"Yes","No")</x:f>
        <x:v>No</x:v>
      </x:c>
      <x:c r="Q674" t="str">
        <x:f>TEXT(B674,"yyyy-mm")</x:f>
        <x:v>2022-05</x:v>
      </x:c>
    </x:row>
    <x:row r="675">
      <x:c r="A675" t="str">
        <x:v>HYD04</x:v>
      </x:c>
      <x:c r="B675" s="22" t="n">
        <x:f>DATE(C675,D675,1)</x:f>
        <x:v>44713</x:v>
      </x:c>
      <x:c r="C675" t="n">
        <x:v>2022</x:v>
      </x:c>
      <x:c r="D675" t="n">
        <x:v>6</x:v>
      </x:c>
      <x:c r="E675" t="str">
        <x:f>TEXT(B675,"mmm")</x:f>
        <x:v>Jun</x:v>
      </x:c>
      <x:c r="F675" t="str">
        <x:f>"Q"&amp;ROUNDUP(D675/3,0)</x:f>
        <x:v>Q2</x:v>
      </x:c>
      <x:c r="G675" s="23" t="n">
        <x:v>56.08</x:v>
      </x:c>
      <x:c r="H675" s="23" t="n">
        <x:v>51.51</x:v>
      </x:c>
      <x:c r="I675" s="23" t="n">
        <x:v>53.8</x:v>
      </x:c>
      <x:c r="J675" s="23" t="n">
        <x:f>G675-H675</x:f>
        <x:v>4.57</x:v>
      </x:c>
      <x:c r="K675" t="str">
        <x:v>HINDCAST</x:v>
      </x:c>
      <x:c r="L675" s="24" t="n">
        <x:v>17.3616</x:v>
      </x:c>
      <x:c r="M675" s="24" t="n">
        <x:v>78.4747</x:v>
      </x:c>
      <x:c r="N675" t="str">
        <x:f>IF(I675&gt;70,"70+ dB",IF(I675&gt;55,"56-70 dB","41-55 dB"))</x:f>
        <x:v>41-55 dB</x:v>
      </x:c>
      <x:c r="O675" t="str">
        <x:f>IF(I675&gt;70,"High",IF(I675&gt;55,"Moderate","Low"))</x:f>
        <x:v>Low</x:v>
      </x:c>
      <x:c r="P675" t="str">
        <x:f>IF(I675&gt;=70,"Yes","No")</x:f>
        <x:v>No</x:v>
      </x:c>
      <x:c r="Q675" t="str">
        <x:f>TEXT(B675,"yyyy-mm")</x:f>
        <x:v>2022-06</x:v>
      </x:c>
    </x:row>
    <x:row r="676">
      <x:c r="A676" t="str">
        <x:v>HYD04</x:v>
      </x:c>
      <x:c r="B676" s="22" t="n">
        <x:f>DATE(C676,D676,1)</x:f>
        <x:v>44743</x:v>
      </x:c>
      <x:c r="C676" t="n">
        <x:v>2022</x:v>
      </x:c>
      <x:c r="D676" t="n">
        <x:v>7</x:v>
      </x:c>
      <x:c r="E676" t="str">
        <x:f>TEXT(B676,"mmm")</x:f>
        <x:v>Jul</x:v>
      </x:c>
      <x:c r="F676" t="str">
        <x:f>"Q"&amp;ROUNDUP(D676/3,0)</x:f>
        <x:v>Q3</x:v>
      </x:c>
      <x:c r="G676" s="23" t="n">
        <x:v>54.97</x:v>
      </x:c>
      <x:c r="H676" s="23" t="n">
        <x:v>50.66</x:v>
      </x:c>
      <x:c r="I676" s="23" t="n">
        <x:v>52.8</x:v>
      </x:c>
      <x:c r="J676" s="23" t="n">
        <x:f>G676-H676</x:f>
        <x:v>4.310000000000002</x:v>
      </x:c>
      <x:c r="K676" t="str">
        <x:v>HINDCAST</x:v>
      </x:c>
      <x:c r="L676" s="24" t="n">
        <x:v>17.3616</x:v>
      </x:c>
      <x:c r="M676" s="24" t="n">
        <x:v>78.4747</x:v>
      </x:c>
      <x:c r="N676" t="str">
        <x:f>IF(I676&gt;70,"70+ dB",IF(I676&gt;55,"56-70 dB","41-55 dB"))</x:f>
        <x:v>41-55 dB</x:v>
      </x:c>
      <x:c r="O676" t="str">
        <x:f>IF(I676&gt;70,"High",IF(I676&gt;55,"Moderate","Low"))</x:f>
        <x:v>Low</x:v>
      </x:c>
      <x:c r="P676" t="str">
        <x:f>IF(I676&gt;=70,"Yes","No")</x:f>
        <x:v>No</x:v>
      </x:c>
      <x:c r="Q676" t="str">
        <x:f>TEXT(B676,"yyyy-mm")</x:f>
        <x:v>2022-07</x:v>
      </x:c>
    </x:row>
    <x:row r="677">
      <x:c r="A677" t="str">
        <x:v>HYD04</x:v>
      </x:c>
      <x:c r="B677" s="22" t="n">
        <x:f>DATE(C677,D677,1)</x:f>
        <x:v>44774</x:v>
      </x:c>
      <x:c r="C677" t="n">
        <x:v>2022</x:v>
      </x:c>
      <x:c r="D677" t="n">
        <x:v>8</x:v>
      </x:c>
      <x:c r="E677" t="str">
        <x:f>TEXT(B677,"mmm")</x:f>
        <x:v>Aug</x:v>
      </x:c>
      <x:c r="F677" t="str">
        <x:f>"Q"&amp;ROUNDUP(D677/3,0)</x:f>
        <x:v>Q3</x:v>
      </x:c>
      <x:c r="G677" s="23" t="n">
        <x:v>56.02</x:v>
      </x:c>
      <x:c r="H677" s="23" t="n">
        <x:v>51.23</x:v>
      </x:c>
      <x:c r="I677" s="23" t="n">
        <x:v>53.6</x:v>
      </x:c>
      <x:c r="J677" s="23" t="n">
        <x:f>G677-H677</x:f>
        <x:v>4.790000000000006</x:v>
      </x:c>
      <x:c r="K677" t="str">
        <x:v>HINDCAST</x:v>
      </x:c>
      <x:c r="L677" s="24" t="n">
        <x:v>17.3616</x:v>
      </x:c>
      <x:c r="M677" s="24" t="n">
        <x:v>78.4747</x:v>
      </x:c>
      <x:c r="N677" t="str">
        <x:f>IF(I677&gt;70,"70+ dB",IF(I677&gt;55,"56-70 dB","41-55 dB"))</x:f>
        <x:v>41-55 dB</x:v>
      </x:c>
      <x:c r="O677" t="str">
        <x:f>IF(I677&gt;70,"High",IF(I677&gt;55,"Moderate","Low"))</x:f>
        <x:v>Low</x:v>
      </x:c>
      <x:c r="P677" t="str">
        <x:f>IF(I677&gt;=70,"Yes","No")</x:f>
        <x:v>No</x:v>
      </x:c>
      <x:c r="Q677" t="str">
        <x:f>TEXT(B677,"yyyy-mm")</x:f>
        <x:v>2022-08</x:v>
      </x:c>
    </x:row>
    <x:row r="678">
      <x:c r="A678" t="str">
        <x:v>HYD04</x:v>
      </x:c>
      <x:c r="B678" s="22" t="n">
        <x:f>DATE(C678,D678,1)</x:f>
        <x:v>44805</x:v>
      </x:c>
      <x:c r="C678" t="n">
        <x:v>2022</x:v>
      </x:c>
      <x:c r="D678" t="n">
        <x:v>9</x:v>
      </x:c>
      <x:c r="E678" t="str">
        <x:f>TEXT(B678,"mmm")</x:f>
        <x:v>Sep</x:v>
      </x:c>
      <x:c r="F678" t="str">
        <x:f>"Q"&amp;ROUNDUP(D678/3,0)</x:f>
        <x:v>Q3</x:v>
      </x:c>
      <x:c r="G678" s="23" t="n">
        <x:v>55.65</x:v>
      </x:c>
      <x:c r="H678" s="23" t="n">
        <x:v>50.26</x:v>
      </x:c>
      <x:c r="I678" s="23" t="n">
        <x:v>53</x:v>
      </x:c>
      <x:c r="J678" s="23" t="n">
        <x:f>G678-H678</x:f>
        <x:v>5.390000000000001</x:v>
      </x:c>
      <x:c r="K678" t="str">
        <x:v>HINDCAST</x:v>
      </x:c>
      <x:c r="L678" s="24" t="n">
        <x:v>17.3616</x:v>
      </x:c>
      <x:c r="M678" s="24" t="n">
        <x:v>78.4747</x:v>
      </x:c>
      <x:c r="N678" t="str">
        <x:f>IF(I678&gt;70,"70+ dB",IF(I678&gt;55,"56-70 dB","41-55 dB"))</x:f>
        <x:v>41-55 dB</x:v>
      </x:c>
      <x:c r="O678" t="str">
        <x:f>IF(I678&gt;70,"High",IF(I678&gt;55,"Moderate","Low"))</x:f>
        <x:v>Low</x:v>
      </x:c>
      <x:c r="P678" t="str">
        <x:f>IF(I678&gt;=70,"Yes","No")</x:f>
        <x:v>No</x:v>
      </x:c>
      <x:c r="Q678" t="str">
        <x:f>TEXT(B678,"yyyy-mm")</x:f>
        <x:v>2022-09</x:v>
      </x:c>
    </x:row>
    <x:row r="679">
      <x:c r="A679" t="str">
        <x:v>HYD04</x:v>
      </x:c>
      <x:c r="B679" s="22" t="n">
        <x:f>DATE(C679,D679,1)</x:f>
        <x:v>44835</x:v>
      </x:c>
      <x:c r="C679" t="n">
        <x:v>2022</x:v>
      </x:c>
      <x:c r="D679" t="n">
        <x:v>10</x:v>
      </x:c>
      <x:c r="E679" t="str">
        <x:f>TEXT(B679,"mmm")</x:f>
        <x:v>Oct</x:v>
      </x:c>
      <x:c r="F679" t="str">
        <x:f>"Q"&amp;ROUNDUP(D679/3,0)</x:f>
        <x:v>Q4</x:v>
      </x:c>
      <x:c r="G679" s="23" t="n">
        <x:v>55.06</x:v>
      </x:c>
      <x:c r="H679" s="23" t="n">
        <x:v>49.18</x:v>
      </x:c>
      <x:c r="I679" s="23" t="n">
        <x:v>52.1</x:v>
      </x:c>
      <x:c r="J679" s="23" t="n">
        <x:f>G679-H679</x:f>
        <x:v>5.880000000000003</x:v>
      </x:c>
      <x:c r="K679" t="str">
        <x:v>HINDCAST</x:v>
      </x:c>
      <x:c r="L679" s="24" t="n">
        <x:v>17.3616</x:v>
      </x:c>
      <x:c r="M679" s="24" t="n">
        <x:v>78.4747</x:v>
      </x:c>
      <x:c r="N679" t="str">
        <x:f>IF(I679&gt;70,"70+ dB",IF(I679&gt;55,"56-70 dB","41-55 dB"))</x:f>
        <x:v>41-55 dB</x:v>
      </x:c>
      <x:c r="O679" t="str">
        <x:f>IF(I679&gt;70,"High",IF(I679&gt;55,"Moderate","Low"))</x:f>
        <x:v>Low</x:v>
      </x:c>
      <x:c r="P679" t="str">
        <x:f>IF(I679&gt;=70,"Yes","No")</x:f>
        <x:v>No</x:v>
      </x:c>
      <x:c r="Q679" t="str">
        <x:f>TEXT(B679,"yyyy-mm")</x:f>
        <x:v>2022-10</x:v>
      </x:c>
    </x:row>
    <x:row r="680">
      <x:c r="A680" t="str">
        <x:v>HYD04</x:v>
      </x:c>
      <x:c r="B680" s="22" t="n">
        <x:f>DATE(C680,D680,1)</x:f>
        <x:v>44866</x:v>
      </x:c>
      <x:c r="C680" t="n">
        <x:v>2022</x:v>
      </x:c>
      <x:c r="D680" t="n">
        <x:v>11</x:v>
      </x:c>
      <x:c r="E680" t="str">
        <x:f>TEXT(B680,"mmm")</x:f>
        <x:v>Nov</x:v>
      </x:c>
      <x:c r="F680" t="str">
        <x:f>"Q"&amp;ROUNDUP(D680/3,0)</x:f>
        <x:v>Q4</x:v>
      </x:c>
      <x:c r="G680" s="23" t="n">
        <x:v>54.36</x:v>
      </x:c>
      <x:c r="H680" s="23" t="n">
        <x:v>49.16</x:v>
      </x:c>
      <x:c r="I680" s="23" t="n">
        <x:v>51.8</x:v>
      </x:c>
      <x:c r="J680" s="23" t="n">
        <x:f>G680-H680</x:f>
        <x:v>5.200000000000003</x:v>
      </x:c>
      <x:c r="K680" t="str">
        <x:v>HINDCAST</x:v>
      </x:c>
      <x:c r="L680" s="24" t="n">
        <x:v>17.3616</x:v>
      </x:c>
      <x:c r="M680" s="24" t="n">
        <x:v>78.4747</x:v>
      </x:c>
      <x:c r="N680" t="str">
        <x:f>IF(I680&gt;70,"70+ dB",IF(I680&gt;55,"56-70 dB","41-55 dB"))</x:f>
        <x:v>41-55 dB</x:v>
      </x:c>
      <x:c r="O680" t="str">
        <x:f>IF(I680&gt;70,"High",IF(I680&gt;55,"Moderate","Low"))</x:f>
        <x:v>Low</x:v>
      </x:c>
      <x:c r="P680" t="str">
        <x:f>IF(I680&gt;=70,"Yes","No")</x:f>
        <x:v>No</x:v>
      </x:c>
      <x:c r="Q680" t="str">
        <x:f>TEXT(B680,"yyyy-mm")</x:f>
        <x:v>2022-11</x:v>
      </x:c>
    </x:row>
    <x:row r="681">
      <x:c r="A681" t="str">
        <x:v>HYD04</x:v>
      </x:c>
      <x:c r="B681" s="22" t="n">
        <x:f>DATE(C681,D681,1)</x:f>
        <x:v>44896</x:v>
      </x:c>
      <x:c r="C681" t="n">
        <x:v>2022</x:v>
      </x:c>
      <x:c r="D681" t="n">
        <x:v>12</x:v>
      </x:c>
      <x:c r="E681" t="str">
        <x:f>TEXT(B681,"mmm")</x:f>
        <x:v>Dec</x:v>
      </x:c>
      <x:c r="F681" t="str">
        <x:f>"Q"&amp;ROUNDUP(D681/3,0)</x:f>
        <x:v>Q4</x:v>
      </x:c>
      <x:c r="G681" s="23" t="n">
        <x:v>54.25</x:v>
      </x:c>
      <x:c r="H681" s="23" t="n">
        <x:v>49.24</x:v>
      </x:c>
      <x:c r="I681" s="23" t="n">
        <x:v>51.7</x:v>
      </x:c>
      <x:c r="J681" s="23" t="n">
        <x:f>G681-H681</x:f>
        <x:v>5.009999999999998</x:v>
      </x:c>
      <x:c r="K681" t="str">
        <x:v>HINDCAST</x:v>
      </x:c>
      <x:c r="L681" s="24" t="n">
        <x:v>17.3616</x:v>
      </x:c>
      <x:c r="M681" s="24" t="n">
        <x:v>78.4747</x:v>
      </x:c>
      <x:c r="N681" t="str">
        <x:f>IF(I681&gt;70,"70+ dB",IF(I681&gt;55,"56-70 dB","41-55 dB"))</x:f>
        <x:v>41-55 dB</x:v>
      </x:c>
      <x:c r="O681" t="str">
        <x:f>IF(I681&gt;70,"High",IF(I681&gt;55,"Moderate","Low"))</x:f>
        <x:v>Low</x:v>
      </x:c>
      <x:c r="P681" t="str">
        <x:f>IF(I681&gt;=70,"Yes","No")</x:f>
        <x:v>No</x:v>
      </x:c>
      <x:c r="Q681" t="str">
        <x:f>TEXT(B681,"yyyy-mm")</x:f>
        <x:v>2022-12</x:v>
      </x:c>
    </x:row>
    <x:row r="682">
      <x:c r="A682" t="str">
        <x:v>HYD04</x:v>
      </x:c>
      <x:c r="B682" s="22" t="n">
        <x:f>DATE(C682,D682,1)</x:f>
        <x:v>44927</x:v>
      </x:c>
      <x:c r="C682" t="n">
        <x:v>2023</x:v>
      </x:c>
      <x:c r="D682" t="n">
        <x:v>1</x:v>
      </x:c>
      <x:c r="E682" t="str">
        <x:f>TEXT(B682,"mmm")</x:f>
        <x:v>Jan</x:v>
      </x:c>
      <x:c r="F682" t="str">
        <x:f>"Q"&amp;ROUNDUP(D682/3,0)</x:f>
        <x:v>Q1</x:v>
      </x:c>
      <x:c r="G682" s="23" t="n">
        <x:v>53.99</x:v>
      </x:c>
      <x:c r="H682" s="23" t="n">
        <x:v>48.53</x:v>
      </x:c>
      <x:c r="I682" s="23" t="n">
        <x:v>51.3</x:v>
      </x:c>
      <x:c r="J682" s="23" t="n">
        <x:f>G682-H682</x:f>
        <x:v>5.460000000000001</x:v>
      </x:c>
      <x:c r="K682" t="str">
        <x:v>HINDCAST</x:v>
      </x:c>
      <x:c r="L682" s="24" t="n">
        <x:v>17.3616</x:v>
      </x:c>
      <x:c r="M682" s="24" t="n">
        <x:v>78.4747</x:v>
      </x:c>
      <x:c r="N682" t="str">
        <x:f>IF(I682&gt;70,"70+ dB",IF(I682&gt;55,"56-70 dB","41-55 dB"))</x:f>
        <x:v>41-55 dB</x:v>
      </x:c>
      <x:c r="O682" t="str">
        <x:f>IF(I682&gt;70,"High",IF(I682&gt;55,"Moderate","Low"))</x:f>
        <x:v>Low</x:v>
      </x:c>
      <x:c r="P682" t="str">
        <x:f>IF(I682&gt;=70,"Yes","No")</x:f>
        <x:v>No</x:v>
      </x:c>
      <x:c r="Q682" t="str">
        <x:f>TEXT(B682,"yyyy-mm")</x:f>
        <x:v>2023-01</x:v>
      </x:c>
    </x:row>
    <x:row r="683">
      <x:c r="A683" t="str">
        <x:v>HYD04</x:v>
      </x:c>
      <x:c r="B683" s="22" t="n">
        <x:f>DATE(C683,D683,1)</x:f>
        <x:v>44958</x:v>
      </x:c>
      <x:c r="C683" t="n">
        <x:v>2023</x:v>
      </x:c>
      <x:c r="D683" t="n">
        <x:v>2</x:v>
      </x:c>
      <x:c r="E683" t="str">
        <x:f>TEXT(B683,"mmm")</x:f>
        <x:v>Feb</x:v>
      </x:c>
      <x:c r="F683" t="str">
        <x:f>"Q"&amp;ROUNDUP(D683/3,0)</x:f>
        <x:v>Q1</x:v>
      </x:c>
      <x:c r="G683" s="23" t="n">
        <x:v>55.18</x:v>
      </x:c>
      <x:c r="H683" s="23" t="n">
        <x:v>48.97</x:v>
      </x:c>
      <x:c r="I683" s="23" t="n">
        <x:v>52.1</x:v>
      </x:c>
      <x:c r="J683" s="23" t="n">
        <x:f>G683-H683</x:f>
        <x:v>6.210000000000001</x:v>
      </x:c>
      <x:c r="K683" t="str">
        <x:v>HINDCAST</x:v>
      </x:c>
      <x:c r="L683" s="24" t="n">
        <x:v>17.3616</x:v>
      </x:c>
      <x:c r="M683" s="24" t="n">
        <x:v>78.4747</x:v>
      </x:c>
      <x:c r="N683" t="str">
        <x:f>IF(I683&gt;70,"70+ dB",IF(I683&gt;55,"56-70 dB","41-55 dB"))</x:f>
        <x:v>41-55 dB</x:v>
      </x:c>
      <x:c r="O683" t="str">
        <x:f>IF(I683&gt;70,"High",IF(I683&gt;55,"Moderate","Low"))</x:f>
        <x:v>Low</x:v>
      </x:c>
      <x:c r="P683" t="str">
        <x:f>IF(I683&gt;=70,"Yes","No")</x:f>
        <x:v>No</x:v>
      </x:c>
      <x:c r="Q683" t="str">
        <x:f>TEXT(B683,"yyyy-mm")</x:f>
        <x:v>2023-02</x:v>
      </x:c>
    </x:row>
    <x:row r="684">
      <x:c r="A684" t="str">
        <x:v>HYD04</x:v>
      </x:c>
      <x:c r="B684" s="22" t="n">
        <x:f>DATE(C684,D684,1)</x:f>
        <x:v>44986</x:v>
      </x:c>
      <x:c r="C684" t="n">
        <x:v>2023</x:v>
      </x:c>
      <x:c r="D684" t="n">
        <x:v>3</x:v>
      </x:c>
      <x:c r="E684" t="str">
        <x:f>TEXT(B684,"mmm")</x:f>
        <x:v>Mar</x:v>
      </x:c>
      <x:c r="F684" t="str">
        <x:f>"Q"&amp;ROUNDUP(D684/3,0)</x:f>
        <x:v>Q1</x:v>
      </x:c>
      <x:c r="G684" s="23" t="n">
        <x:v>54.57</x:v>
      </x:c>
      <x:c r="H684" s="23" t="n">
        <x:v>48.77</x:v>
      </x:c>
      <x:c r="I684" s="23" t="n">
        <x:v>51.7</x:v>
      </x:c>
      <x:c r="J684" s="23" t="n">
        <x:f>G684-H684</x:f>
        <x:v>5.799999999999997</x:v>
      </x:c>
      <x:c r="K684" t="str">
        <x:v>HINDCAST</x:v>
      </x:c>
      <x:c r="L684" s="24" t="n">
        <x:v>17.3616</x:v>
      </x:c>
      <x:c r="M684" s="24" t="n">
        <x:v>78.4747</x:v>
      </x:c>
      <x:c r="N684" t="str">
        <x:f>IF(I684&gt;70,"70+ dB",IF(I684&gt;55,"56-70 dB","41-55 dB"))</x:f>
        <x:v>41-55 dB</x:v>
      </x:c>
      <x:c r="O684" t="str">
        <x:f>IF(I684&gt;70,"High",IF(I684&gt;55,"Moderate","Low"))</x:f>
        <x:v>Low</x:v>
      </x:c>
      <x:c r="P684" t="str">
        <x:f>IF(I684&gt;=70,"Yes","No")</x:f>
        <x:v>No</x:v>
      </x:c>
      <x:c r="Q684" t="str">
        <x:f>TEXT(B684,"yyyy-mm")</x:f>
        <x:v>2023-03</x:v>
      </x:c>
    </x:row>
    <x:row r="685">
      <x:c r="A685" t="str">
        <x:v>HYD04</x:v>
      </x:c>
      <x:c r="B685" s="22" t="n">
        <x:f>DATE(C685,D685,1)</x:f>
        <x:v>45017</x:v>
      </x:c>
      <x:c r="C685" t="n">
        <x:v>2023</x:v>
      </x:c>
      <x:c r="D685" t="n">
        <x:v>4</x:v>
      </x:c>
      <x:c r="E685" t="str">
        <x:f>TEXT(B685,"mmm")</x:f>
        <x:v>Apr</x:v>
      </x:c>
      <x:c r="F685" t="str">
        <x:f>"Q"&amp;ROUNDUP(D685/3,0)</x:f>
        <x:v>Q2</x:v>
      </x:c>
      <x:c r="G685" s="23" t="n">
        <x:v>54.78</x:v>
      </x:c>
      <x:c r="H685" s="23" t="n">
        <x:v>50.5</x:v>
      </x:c>
      <x:c r="I685" s="23" t="n">
        <x:v>52.6</x:v>
      </x:c>
      <x:c r="J685" s="23" t="n">
        <x:f>G685-H685</x:f>
        <x:v>4.280000000000001</x:v>
      </x:c>
      <x:c r="K685" t="str">
        <x:v>HINDCAST</x:v>
      </x:c>
      <x:c r="L685" s="24" t="n">
        <x:v>17.3616</x:v>
      </x:c>
      <x:c r="M685" s="24" t="n">
        <x:v>78.4747</x:v>
      </x:c>
      <x:c r="N685" t="str">
        <x:f>IF(I685&gt;70,"70+ dB",IF(I685&gt;55,"56-70 dB","41-55 dB"))</x:f>
        <x:v>41-55 dB</x:v>
      </x:c>
      <x:c r="O685" t="str">
        <x:f>IF(I685&gt;70,"High",IF(I685&gt;55,"Moderate","Low"))</x:f>
        <x:v>Low</x:v>
      </x:c>
      <x:c r="P685" t="str">
        <x:f>IF(I685&gt;=70,"Yes","No")</x:f>
        <x:v>No</x:v>
      </x:c>
      <x:c r="Q685" t="str">
        <x:f>TEXT(B685,"yyyy-mm")</x:f>
        <x:v>2023-04</x:v>
      </x:c>
    </x:row>
    <x:row r="686">
      <x:c r="A686" t="str">
        <x:v>HYD04</x:v>
      </x:c>
      <x:c r="B686" s="22" t="n">
        <x:f>DATE(C686,D686,1)</x:f>
        <x:v>45047</x:v>
      </x:c>
      <x:c r="C686" t="n">
        <x:v>2023</x:v>
      </x:c>
      <x:c r="D686" t="n">
        <x:v>5</x:v>
      </x:c>
      <x:c r="E686" t="str">
        <x:f>TEXT(B686,"mmm")</x:f>
        <x:v>May</x:v>
      </x:c>
      <x:c r="F686" t="str">
        <x:f>"Q"&amp;ROUNDUP(D686/3,0)</x:f>
        <x:v>Q2</x:v>
      </x:c>
      <x:c r="G686" s="23" t="n">
        <x:v>55.92</x:v>
      </x:c>
      <x:c r="H686" s="23" t="n">
        <x:v>51.03</x:v>
      </x:c>
      <x:c r="I686" s="23" t="n">
        <x:v>53.5</x:v>
      </x:c>
      <x:c r="J686" s="23" t="n">
        <x:f>G686-H686</x:f>
        <x:v>4.890000000000001</x:v>
      </x:c>
      <x:c r="K686" t="str">
        <x:v>HINDCAST</x:v>
      </x:c>
      <x:c r="L686" s="24" t="n">
        <x:v>17.3616</x:v>
      </x:c>
      <x:c r="M686" s="24" t="n">
        <x:v>78.4747</x:v>
      </x:c>
      <x:c r="N686" t="str">
        <x:f>IF(I686&gt;70,"70+ dB",IF(I686&gt;55,"56-70 dB","41-55 dB"))</x:f>
        <x:v>41-55 dB</x:v>
      </x:c>
      <x:c r="O686" t="str">
        <x:f>IF(I686&gt;70,"High",IF(I686&gt;55,"Moderate","Low"))</x:f>
        <x:v>Low</x:v>
      </x:c>
      <x:c r="P686" t="str">
        <x:f>IF(I686&gt;=70,"Yes","No")</x:f>
        <x:v>No</x:v>
      </x:c>
      <x:c r="Q686" t="str">
        <x:f>TEXT(B686,"yyyy-mm")</x:f>
        <x:v>2023-05</x:v>
      </x:c>
    </x:row>
    <x:row r="687">
      <x:c r="A687" t="str">
        <x:v>HYD04</x:v>
      </x:c>
      <x:c r="B687" s="22" t="n">
        <x:f>DATE(C687,D687,1)</x:f>
        <x:v>45078</x:v>
      </x:c>
      <x:c r="C687" t="n">
        <x:v>2023</x:v>
      </x:c>
      <x:c r="D687" t="n">
        <x:v>6</x:v>
      </x:c>
      <x:c r="E687" t="str">
        <x:f>TEXT(B687,"mmm")</x:f>
        <x:v>Jun</x:v>
      </x:c>
      <x:c r="F687" t="str">
        <x:f>"Q"&amp;ROUNDUP(D687/3,0)</x:f>
        <x:v>Q2</x:v>
      </x:c>
      <x:c r="G687" s="23" t="n">
        <x:v>56.1</x:v>
      </x:c>
      <x:c r="H687" s="23" t="n">
        <x:v>51.51</x:v>
      </x:c>
      <x:c r="I687" s="23" t="n">
        <x:v>53.8</x:v>
      </x:c>
      <x:c r="J687" s="23" t="n">
        <x:f>G687-H687</x:f>
        <x:v>4.590000000000003</x:v>
      </x:c>
      <x:c r="K687" t="str">
        <x:v>HINDCAST</x:v>
      </x:c>
      <x:c r="L687" s="24" t="n">
        <x:v>17.3616</x:v>
      </x:c>
      <x:c r="M687" s="24" t="n">
        <x:v>78.4747</x:v>
      </x:c>
      <x:c r="N687" t="str">
        <x:f>IF(I687&gt;70,"70+ dB",IF(I687&gt;55,"56-70 dB","41-55 dB"))</x:f>
        <x:v>41-55 dB</x:v>
      </x:c>
      <x:c r="O687" t="str">
        <x:f>IF(I687&gt;70,"High",IF(I687&gt;55,"Moderate","Low"))</x:f>
        <x:v>Low</x:v>
      </x:c>
      <x:c r="P687" t="str">
        <x:f>IF(I687&gt;=70,"Yes","No")</x:f>
        <x:v>No</x:v>
      </x:c>
      <x:c r="Q687" t="str">
        <x:f>TEXT(B687,"yyyy-mm")</x:f>
        <x:v>2023-06</x:v>
      </x:c>
    </x:row>
    <x:row r="688">
      <x:c r="A688" t="str">
        <x:v>HYD04</x:v>
      </x:c>
      <x:c r="B688" s="22" t="n">
        <x:f>DATE(C688,D688,1)</x:f>
        <x:v>45108</x:v>
      </x:c>
      <x:c r="C688" t="n">
        <x:v>2023</x:v>
      </x:c>
      <x:c r="D688" t="n">
        <x:v>7</x:v>
      </x:c>
      <x:c r="E688" t="str">
        <x:f>TEXT(B688,"mmm")</x:f>
        <x:v>Jul</x:v>
      </x:c>
      <x:c r="F688" t="str">
        <x:f>"Q"&amp;ROUNDUP(D688/3,0)</x:f>
        <x:v>Q3</x:v>
      </x:c>
      <x:c r="G688" s="23" t="n">
        <x:v>54.99</x:v>
      </x:c>
      <x:c r="H688" s="23" t="n">
        <x:v>50.66</x:v>
      </x:c>
      <x:c r="I688" s="23" t="n">
        <x:v>52.8</x:v>
      </x:c>
      <x:c r="J688" s="23" t="n">
        <x:f>G688-H688</x:f>
        <x:v>4.330000000000005</x:v>
      </x:c>
      <x:c r="K688" t="str">
        <x:v>HINDCAST</x:v>
      </x:c>
      <x:c r="L688" s="24" t="n">
        <x:v>17.3616</x:v>
      </x:c>
      <x:c r="M688" s="24" t="n">
        <x:v>78.4747</x:v>
      </x:c>
      <x:c r="N688" t="str">
        <x:f>IF(I688&gt;70,"70+ dB",IF(I688&gt;55,"56-70 dB","41-55 dB"))</x:f>
        <x:v>41-55 dB</x:v>
      </x:c>
      <x:c r="O688" t="str">
        <x:f>IF(I688&gt;70,"High",IF(I688&gt;55,"Moderate","Low"))</x:f>
        <x:v>Low</x:v>
      </x:c>
      <x:c r="P688" t="str">
        <x:f>IF(I688&gt;=70,"Yes","No")</x:f>
        <x:v>No</x:v>
      </x:c>
      <x:c r="Q688" t="str">
        <x:f>TEXT(B688,"yyyy-mm")</x:f>
        <x:v>2023-07</x:v>
      </x:c>
    </x:row>
    <x:row r="689">
      <x:c r="A689" t="str">
        <x:v>HYD04</x:v>
      </x:c>
      <x:c r="B689" s="22" t="n">
        <x:f>DATE(C689,D689,1)</x:f>
        <x:v>45139</x:v>
      </x:c>
      <x:c r="C689" t="n">
        <x:v>2023</x:v>
      </x:c>
      <x:c r="D689" t="n">
        <x:v>8</x:v>
      </x:c>
      <x:c r="E689" t="str">
        <x:f>TEXT(B689,"mmm")</x:f>
        <x:v>Aug</x:v>
      </x:c>
      <x:c r="F689" t="str">
        <x:f>"Q"&amp;ROUNDUP(D689/3,0)</x:f>
        <x:v>Q3</x:v>
      </x:c>
      <x:c r="G689" s="23" t="n">
        <x:v>56.04</x:v>
      </x:c>
      <x:c r="H689" s="23" t="n">
        <x:v>51.24</x:v>
      </x:c>
      <x:c r="I689" s="23" t="n">
        <x:v>53.6</x:v>
      </x:c>
      <x:c r="J689" s="23" t="n">
        <x:f>G689-H689</x:f>
        <x:v>4.799999999999997</x:v>
      </x:c>
      <x:c r="K689" t="str">
        <x:v>HINDCAST</x:v>
      </x:c>
      <x:c r="L689" s="24" t="n">
        <x:v>17.3616</x:v>
      </x:c>
      <x:c r="M689" s="24" t="n">
        <x:v>78.4747</x:v>
      </x:c>
      <x:c r="N689" t="str">
        <x:f>IF(I689&gt;70,"70+ dB",IF(I689&gt;55,"56-70 dB","41-55 dB"))</x:f>
        <x:v>41-55 dB</x:v>
      </x:c>
      <x:c r="O689" t="str">
        <x:f>IF(I689&gt;70,"High",IF(I689&gt;55,"Moderate","Low"))</x:f>
        <x:v>Low</x:v>
      </x:c>
      <x:c r="P689" t="str">
        <x:f>IF(I689&gt;=70,"Yes","No")</x:f>
        <x:v>No</x:v>
      </x:c>
      <x:c r="Q689" t="str">
        <x:f>TEXT(B689,"yyyy-mm")</x:f>
        <x:v>2023-08</x:v>
      </x:c>
    </x:row>
    <x:row r="690">
      <x:c r="A690" t="str">
        <x:v>HYD04</x:v>
      </x:c>
      <x:c r="B690" s="22" t="n">
        <x:f>DATE(C690,D690,1)</x:f>
        <x:v>45170</x:v>
      </x:c>
      <x:c r="C690" t="n">
        <x:v>2023</x:v>
      </x:c>
      <x:c r="D690" t="n">
        <x:v>9</x:v>
      </x:c>
      <x:c r="E690" t="str">
        <x:f>TEXT(B690,"mmm")</x:f>
        <x:v>Sep</x:v>
      </x:c>
      <x:c r="F690" t="str">
        <x:f>"Q"&amp;ROUNDUP(D690/3,0)</x:f>
        <x:v>Q3</x:v>
      </x:c>
      <x:c r="G690" s="23" t="n">
        <x:v>55.68</x:v>
      </x:c>
      <x:c r="H690" s="23" t="n">
        <x:v>50.27</x:v>
      </x:c>
      <x:c r="I690" s="23" t="n">
        <x:v>53</x:v>
      </x:c>
      <x:c r="J690" s="23" t="n">
        <x:f>G690-H690</x:f>
        <x:v>5.409999999999997</x:v>
      </x:c>
      <x:c r="K690" t="str">
        <x:v>HINDCAST</x:v>
      </x:c>
      <x:c r="L690" s="24" t="n">
        <x:v>17.3616</x:v>
      </x:c>
      <x:c r="M690" s="24" t="n">
        <x:v>78.4747</x:v>
      </x:c>
      <x:c r="N690" t="str">
        <x:f>IF(I690&gt;70,"70+ dB",IF(I690&gt;55,"56-70 dB","41-55 dB"))</x:f>
        <x:v>41-55 dB</x:v>
      </x:c>
      <x:c r="O690" t="str">
        <x:f>IF(I690&gt;70,"High",IF(I690&gt;55,"Moderate","Low"))</x:f>
        <x:v>Low</x:v>
      </x:c>
      <x:c r="P690" t="str">
        <x:f>IF(I690&gt;=70,"Yes","No")</x:f>
        <x:v>No</x:v>
      </x:c>
      <x:c r="Q690" t="str">
        <x:f>TEXT(B690,"yyyy-mm")</x:f>
        <x:v>2023-09</x:v>
      </x:c>
    </x:row>
    <x:row r="691">
      <x:c r="A691" t="str">
        <x:v>HYD04</x:v>
      </x:c>
      <x:c r="B691" s="22" t="n">
        <x:f>DATE(C691,D691,1)</x:f>
        <x:v>45200</x:v>
      </x:c>
      <x:c r="C691" t="n">
        <x:v>2023</x:v>
      </x:c>
      <x:c r="D691" t="n">
        <x:v>10</x:v>
      </x:c>
      <x:c r="E691" t="str">
        <x:f>TEXT(B691,"mmm")</x:f>
        <x:v>Oct</x:v>
      </x:c>
      <x:c r="F691" t="str">
        <x:f>"Q"&amp;ROUNDUP(D691/3,0)</x:f>
        <x:v>Q4</x:v>
      </x:c>
      <x:c r="G691" s="23" t="n">
        <x:v>55.08</x:v>
      </x:c>
      <x:c r="H691" s="23" t="n">
        <x:v>49.19</x:v>
      </x:c>
      <x:c r="I691" s="23" t="n">
        <x:v>52.1</x:v>
      </x:c>
      <x:c r="J691" s="23" t="n">
        <x:f>G691-H691</x:f>
        <x:v>5.890000000000001</x:v>
      </x:c>
      <x:c r="K691" t="str">
        <x:v>HINDCAST</x:v>
      </x:c>
      <x:c r="L691" s="24" t="n">
        <x:v>17.3616</x:v>
      </x:c>
      <x:c r="M691" s="24" t="n">
        <x:v>78.4747</x:v>
      </x:c>
      <x:c r="N691" t="str">
        <x:f>IF(I691&gt;70,"70+ dB",IF(I691&gt;55,"56-70 dB","41-55 dB"))</x:f>
        <x:v>41-55 dB</x:v>
      </x:c>
      <x:c r="O691" t="str">
        <x:f>IF(I691&gt;70,"High",IF(I691&gt;55,"Moderate","Low"))</x:f>
        <x:v>Low</x:v>
      </x:c>
      <x:c r="P691" t="str">
        <x:f>IF(I691&gt;=70,"Yes","No")</x:f>
        <x:v>No</x:v>
      </x:c>
      <x:c r="Q691" t="str">
        <x:f>TEXT(B691,"yyyy-mm")</x:f>
        <x:v>2023-10</x:v>
      </x:c>
    </x:row>
    <x:row r="692">
      <x:c r="A692" t="str">
        <x:v>HYD04</x:v>
      </x:c>
      <x:c r="B692" s="22" t="n">
        <x:f>DATE(C692,D692,1)</x:f>
        <x:v>45231</x:v>
      </x:c>
      <x:c r="C692" t="n">
        <x:v>2023</x:v>
      </x:c>
      <x:c r="D692" t="n">
        <x:v>11</x:v>
      </x:c>
      <x:c r="E692" t="str">
        <x:f>TEXT(B692,"mmm")</x:f>
        <x:v>Nov</x:v>
      </x:c>
      <x:c r="F692" t="str">
        <x:f>"Q"&amp;ROUNDUP(D692/3,0)</x:f>
        <x:v>Q4</x:v>
      </x:c>
      <x:c r="G692" s="23" t="n">
        <x:v>54.39</x:v>
      </x:c>
      <x:c r="H692" s="23" t="n">
        <x:v>49.16</x:v>
      </x:c>
      <x:c r="I692" s="23" t="n">
        <x:v>51.8</x:v>
      </x:c>
      <x:c r="J692" s="23" t="n">
        <x:f>G692-H692</x:f>
        <x:v>5.230000000000004</x:v>
      </x:c>
      <x:c r="K692" t="str">
        <x:v>HINDCAST</x:v>
      </x:c>
      <x:c r="L692" s="24" t="n">
        <x:v>17.3616</x:v>
      </x:c>
      <x:c r="M692" s="24" t="n">
        <x:v>78.4747</x:v>
      </x:c>
      <x:c r="N692" t="str">
        <x:f>IF(I692&gt;70,"70+ dB",IF(I692&gt;55,"56-70 dB","41-55 dB"))</x:f>
        <x:v>41-55 dB</x:v>
      </x:c>
      <x:c r="O692" t="str">
        <x:f>IF(I692&gt;70,"High",IF(I692&gt;55,"Moderate","Low"))</x:f>
        <x:v>Low</x:v>
      </x:c>
      <x:c r="P692" t="str">
        <x:f>IF(I692&gt;=70,"Yes","No")</x:f>
        <x:v>No</x:v>
      </x:c>
      <x:c r="Q692" t="str">
        <x:f>TEXT(B692,"yyyy-mm")</x:f>
        <x:v>2023-11</x:v>
      </x:c>
    </x:row>
    <x:row r="693">
      <x:c r="A693" t="str">
        <x:v>HYD04</x:v>
      </x:c>
      <x:c r="B693" s="22" t="n">
        <x:f>DATE(C693,D693,1)</x:f>
        <x:v>45261</x:v>
      </x:c>
      <x:c r="C693" t="n">
        <x:v>2023</x:v>
      </x:c>
      <x:c r="D693" t="n">
        <x:v>12</x:v>
      </x:c>
      <x:c r="E693" t="str">
        <x:f>TEXT(B693,"mmm")</x:f>
        <x:v>Dec</x:v>
      </x:c>
      <x:c r="F693" t="str">
        <x:f>"Q"&amp;ROUNDUP(D693/3,0)</x:f>
        <x:v>Q4</x:v>
      </x:c>
      <x:c r="G693" s="23" t="n">
        <x:v>54.28</x:v>
      </x:c>
      <x:c r="H693" s="23" t="n">
        <x:v>49.25</x:v>
      </x:c>
      <x:c r="I693" s="23" t="n">
        <x:v>51.8</x:v>
      </x:c>
      <x:c r="J693" s="23" t="n">
        <x:f>G693-H693</x:f>
        <x:v>5.030000000000001</x:v>
      </x:c>
      <x:c r="K693" t="str">
        <x:v>HINDCAST</x:v>
      </x:c>
      <x:c r="L693" s="24" t="n">
        <x:v>17.3616</x:v>
      </x:c>
      <x:c r="M693" s="24" t="n">
        <x:v>78.4747</x:v>
      </x:c>
      <x:c r="N693" t="str">
        <x:f>IF(I693&gt;70,"70+ dB",IF(I693&gt;55,"56-70 dB","41-55 dB"))</x:f>
        <x:v>41-55 dB</x:v>
      </x:c>
      <x:c r="O693" t="str">
        <x:f>IF(I693&gt;70,"High",IF(I693&gt;55,"Moderate","Low"))</x:f>
        <x:v>Low</x:v>
      </x:c>
      <x:c r="P693" t="str">
        <x:f>IF(I693&gt;=70,"Yes","No")</x:f>
        <x:v>No</x:v>
      </x:c>
      <x:c r="Q693" t="str">
        <x:f>TEXT(B693,"yyyy-mm")</x:f>
        <x:v>2023-12</x:v>
      </x:c>
    </x:row>
    <x:row r="694">
      <x:c r="A694" t="str">
        <x:v>HYD04</x:v>
      </x:c>
      <x:c r="B694" s="22" t="n">
        <x:f>DATE(C694,D694,1)</x:f>
        <x:v>45292</x:v>
      </x:c>
      <x:c r="C694" t="n">
        <x:v>2024</x:v>
      </x:c>
      <x:c r="D694" t="n">
        <x:v>1</x:v>
      </x:c>
      <x:c r="E694" t="str">
        <x:f>TEXT(B694,"mmm")</x:f>
        <x:v>Jan</x:v>
      </x:c>
      <x:c r="F694" t="str">
        <x:f>"Q"&amp;ROUNDUP(D694/3,0)</x:f>
        <x:v>Q1</x:v>
      </x:c>
      <x:c r="G694" s="23" t="n">
        <x:v>54.02</x:v>
      </x:c>
      <x:c r="H694" s="23" t="n">
        <x:v>48.54</x:v>
      </x:c>
      <x:c r="I694" s="23" t="n">
        <x:v>51.3</x:v>
      </x:c>
      <x:c r="J694" s="23" t="n">
        <x:f>G694-H694</x:f>
        <x:v>5.480000000000004</x:v>
      </x:c>
      <x:c r="K694" t="str">
        <x:v>HINDCAST</x:v>
      </x:c>
      <x:c r="L694" s="24" t="n">
        <x:v>17.3616</x:v>
      </x:c>
      <x:c r="M694" s="24" t="n">
        <x:v>78.4747</x:v>
      </x:c>
      <x:c r="N694" t="str">
        <x:f>IF(I694&gt;70,"70+ dB",IF(I694&gt;55,"56-70 dB","41-55 dB"))</x:f>
        <x:v>41-55 dB</x:v>
      </x:c>
      <x:c r="O694" t="str">
        <x:f>IF(I694&gt;70,"High",IF(I694&gt;55,"Moderate","Low"))</x:f>
        <x:v>Low</x:v>
      </x:c>
      <x:c r="P694" t="str">
        <x:f>IF(I694&gt;=70,"Yes","No")</x:f>
        <x:v>No</x:v>
      </x:c>
      <x:c r="Q694" t="str">
        <x:f>TEXT(B694,"yyyy-mm")</x:f>
        <x:v>2024-01</x:v>
      </x:c>
    </x:row>
    <x:row r="695">
      <x:c r="A695" t="str">
        <x:v>HYD04</x:v>
      </x:c>
      <x:c r="B695" s="22" t="n">
        <x:f>DATE(C695,D695,1)</x:f>
        <x:v>45323</x:v>
      </x:c>
      <x:c r="C695" t="n">
        <x:v>2024</x:v>
      </x:c>
      <x:c r="D695" t="n">
        <x:v>2</x:v>
      </x:c>
      <x:c r="E695" t="str">
        <x:f>TEXT(B695,"mmm")</x:f>
        <x:v>Feb</x:v>
      </x:c>
      <x:c r="F695" t="str">
        <x:f>"Q"&amp;ROUNDUP(D695/3,0)</x:f>
        <x:v>Q1</x:v>
      </x:c>
      <x:c r="G695" s="23" t="n">
        <x:v>55.2</x:v>
      </x:c>
      <x:c r="H695" s="23" t="n">
        <x:v>48.98</x:v>
      </x:c>
      <x:c r="I695" s="23" t="n">
        <x:v>52.1</x:v>
      </x:c>
      <x:c r="J695" s="23" t="n">
        <x:f>G695-H695</x:f>
        <x:v>6.220000000000006</x:v>
      </x:c>
      <x:c r="K695" t="str">
        <x:v>HINDCAST</x:v>
      </x:c>
      <x:c r="L695" s="24" t="n">
        <x:v>17.3616</x:v>
      </x:c>
      <x:c r="M695" s="24" t="n">
        <x:v>78.4747</x:v>
      </x:c>
      <x:c r="N695" t="str">
        <x:f>IF(I695&gt;70,"70+ dB",IF(I695&gt;55,"56-70 dB","41-55 dB"))</x:f>
        <x:v>41-55 dB</x:v>
      </x:c>
      <x:c r="O695" t="str">
        <x:f>IF(I695&gt;70,"High",IF(I695&gt;55,"Moderate","Low"))</x:f>
        <x:v>Low</x:v>
      </x:c>
      <x:c r="P695" t="str">
        <x:f>IF(I695&gt;=70,"Yes","No")</x:f>
        <x:v>No</x:v>
      </x:c>
      <x:c r="Q695" t="str">
        <x:f>TEXT(B695,"yyyy-mm")</x:f>
        <x:v>2024-02</x:v>
      </x:c>
    </x:row>
    <x:row r="696">
      <x:c r="A696" t="str">
        <x:v>HYD04</x:v>
      </x:c>
      <x:c r="B696" s="22" t="n">
        <x:f>DATE(C696,D696,1)</x:f>
        <x:v>45352</x:v>
      </x:c>
      <x:c r="C696" t="n">
        <x:v>2024</x:v>
      </x:c>
      <x:c r="D696" t="n">
        <x:v>3</x:v>
      </x:c>
      <x:c r="E696" t="str">
        <x:f>TEXT(B696,"mmm")</x:f>
        <x:v>Mar</x:v>
      </x:c>
      <x:c r="F696" t="str">
        <x:f>"Q"&amp;ROUNDUP(D696/3,0)</x:f>
        <x:v>Q1</x:v>
      </x:c>
      <x:c r="G696" s="23" t="n">
        <x:v>54.59</x:v>
      </x:c>
      <x:c r="H696" s="23" t="n">
        <x:v>48.77</x:v>
      </x:c>
      <x:c r="I696" s="23" t="n">
        <x:v>51.7</x:v>
      </x:c>
      <x:c r="J696" s="23" t="n">
        <x:f>G696-H696</x:f>
        <x:v>5.82</x:v>
      </x:c>
      <x:c r="K696" t="str">
        <x:v>HINDCAST</x:v>
      </x:c>
      <x:c r="L696" s="24" t="n">
        <x:v>17.3616</x:v>
      </x:c>
      <x:c r="M696" s="24" t="n">
        <x:v>78.4747</x:v>
      </x:c>
      <x:c r="N696" t="str">
        <x:f>IF(I696&gt;70,"70+ dB",IF(I696&gt;55,"56-70 dB","41-55 dB"))</x:f>
        <x:v>41-55 dB</x:v>
      </x:c>
      <x:c r="O696" t="str">
        <x:f>IF(I696&gt;70,"High",IF(I696&gt;55,"Moderate","Low"))</x:f>
        <x:v>Low</x:v>
      </x:c>
      <x:c r="P696" t="str">
        <x:f>IF(I696&gt;=70,"Yes","No")</x:f>
        <x:v>No</x:v>
      </x:c>
      <x:c r="Q696" t="str">
        <x:f>TEXT(B696,"yyyy-mm")</x:f>
        <x:v>2024-03</x:v>
      </x:c>
    </x:row>
    <x:row r="697">
      <x:c r="A697" t="str">
        <x:v>HYD04</x:v>
      </x:c>
      <x:c r="B697" s="22" t="n">
        <x:f>DATE(C697,D697,1)</x:f>
        <x:v>45383</x:v>
      </x:c>
      <x:c r="C697" t="n">
        <x:v>2024</x:v>
      </x:c>
      <x:c r="D697" t="n">
        <x:v>4</x:v>
      </x:c>
      <x:c r="E697" t="str">
        <x:f>TEXT(B697,"mmm")</x:f>
        <x:v>Apr</x:v>
      </x:c>
      <x:c r="F697" t="str">
        <x:f>"Q"&amp;ROUNDUP(D697/3,0)</x:f>
        <x:v>Q2</x:v>
      </x:c>
      <x:c r="G697" s="23" t="n">
        <x:v>54.81</x:v>
      </x:c>
      <x:c r="H697" s="23" t="n">
        <x:v>50.51</x:v>
      </x:c>
      <x:c r="I697" s="23" t="n">
        <x:v>52.7</x:v>
      </x:c>
      <x:c r="J697" s="23" t="n">
        <x:f>G697-H697</x:f>
        <x:v>4.300000000000004</x:v>
      </x:c>
      <x:c r="K697" t="str">
        <x:v>HINDCAST</x:v>
      </x:c>
      <x:c r="L697" s="24" t="n">
        <x:v>17.3616</x:v>
      </x:c>
      <x:c r="M697" s="24" t="n">
        <x:v>78.4747</x:v>
      </x:c>
      <x:c r="N697" t="str">
        <x:f>IF(I697&gt;70,"70+ dB",IF(I697&gt;55,"56-70 dB","41-55 dB"))</x:f>
        <x:v>41-55 dB</x:v>
      </x:c>
      <x:c r="O697" t="str">
        <x:f>IF(I697&gt;70,"High",IF(I697&gt;55,"Moderate","Low"))</x:f>
        <x:v>Low</x:v>
      </x:c>
      <x:c r="P697" t="str">
        <x:f>IF(I697&gt;=70,"Yes","No")</x:f>
        <x:v>No</x:v>
      </x:c>
      <x:c r="Q697" t="str">
        <x:f>TEXT(B697,"yyyy-mm")</x:f>
        <x:v>2024-04</x:v>
      </x:c>
    </x:row>
    <x:row r="698">
      <x:c r="A698" t="str">
        <x:v>HYD04</x:v>
      </x:c>
      <x:c r="B698" s="22" t="n">
        <x:f>DATE(C698,D698,1)</x:f>
        <x:v>45413</x:v>
      </x:c>
      <x:c r="C698" t="n">
        <x:v>2024</x:v>
      </x:c>
      <x:c r="D698" t="n">
        <x:v>5</x:v>
      </x:c>
      <x:c r="E698" t="str">
        <x:f>TEXT(B698,"mmm")</x:f>
        <x:v>May</x:v>
      </x:c>
      <x:c r="F698" t="str">
        <x:f>"Q"&amp;ROUNDUP(D698/3,0)</x:f>
        <x:v>Q2</x:v>
      </x:c>
      <x:c r="G698" s="23" t="n">
        <x:v>55.94</x:v>
      </x:c>
      <x:c r="H698" s="23" t="n">
        <x:v>51.03</x:v>
      </x:c>
      <x:c r="I698" s="23" t="n">
        <x:v>53.5</x:v>
      </x:c>
      <x:c r="J698" s="23" t="n">
        <x:f>G698-H698</x:f>
        <x:v>4.909999999999997</x:v>
      </x:c>
      <x:c r="K698" t="str">
        <x:v>HINDCAST</x:v>
      </x:c>
      <x:c r="L698" s="24" t="n">
        <x:v>17.3616</x:v>
      </x:c>
      <x:c r="M698" s="24" t="n">
        <x:v>78.4747</x:v>
      </x:c>
      <x:c r="N698" t="str">
        <x:f>IF(I698&gt;70,"70+ dB",IF(I698&gt;55,"56-70 dB","41-55 dB"))</x:f>
        <x:v>41-55 dB</x:v>
      </x:c>
      <x:c r="O698" t="str">
        <x:f>IF(I698&gt;70,"High",IF(I698&gt;55,"Moderate","Low"))</x:f>
        <x:v>Low</x:v>
      </x:c>
      <x:c r="P698" t="str">
        <x:f>IF(I698&gt;=70,"Yes","No")</x:f>
        <x:v>No</x:v>
      </x:c>
      <x:c r="Q698" t="str">
        <x:f>TEXT(B698,"yyyy-mm")</x:f>
        <x:v>2024-05</x:v>
      </x:c>
    </x:row>
    <x:row r="699">
      <x:c r="A699" t="str">
        <x:v>HYD04</x:v>
      </x:c>
      <x:c r="B699" s="22" t="n">
        <x:f>DATE(C699,D699,1)</x:f>
        <x:v>45444</x:v>
      </x:c>
      <x:c r="C699" t="n">
        <x:v>2024</x:v>
      </x:c>
      <x:c r="D699" t="n">
        <x:v>6</x:v>
      </x:c>
      <x:c r="E699" t="str">
        <x:f>TEXT(B699,"mmm")</x:f>
        <x:v>Jun</x:v>
      </x:c>
      <x:c r="F699" t="str">
        <x:f>"Q"&amp;ROUNDUP(D699/3,0)</x:f>
        <x:v>Q2</x:v>
      </x:c>
      <x:c r="G699" s="23" t="n">
        <x:v>56.13</x:v>
      </x:c>
      <x:c r="H699" s="23" t="n">
        <x:v>51.52</x:v>
      </x:c>
      <x:c r="I699" s="23" t="n">
        <x:v>53.8</x:v>
      </x:c>
      <x:c r="J699" s="23" t="n">
        <x:f>G699-H699</x:f>
        <x:v>4.609999999999999</x:v>
      </x:c>
      <x:c r="K699" t="str">
        <x:v>HINDCAST</x:v>
      </x:c>
      <x:c r="L699" s="24" t="n">
        <x:v>17.3616</x:v>
      </x:c>
      <x:c r="M699" s="24" t="n">
        <x:v>78.4747</x:v>
      </x:c>
      <x:c r="N699" t="str">
        <x:f>IF(I699&gt;70,"70+ dB",IF(I699&gt;55,"56-70 dB","41-55 dB"))</x:f>
        <x:v>41-55 dB</x:v>
      </x:c>
      <x:c r="O699" t="str">
        <x:f>IF(I699&gt;70,"High",IF(I699&gt;55,"Moderate","Low"))</x:f>
        <x:v>Low</x:v>
      </x:c>
      <x:c r="P699" t="str">
        <x:f>IF(I699&gt;=70,"Yes","No")</x:f>
        <x:v>No</x:v>
      </x:c>
      <x:c r="Q699" t="str">
        <x:f>TEXT(B699,"yyyy-mm")</x:f>
        <x:v>2024-06</x:v>
      </x:c>
    </x:row>
    <x:row r="700">
      <x:c r="A700" t="str">
        <x:v>HYD04</x:v>
      </x:c>
      <x:c r="B700" s="22" t="n">
        <x:f>DATE(C700,D700,1)</x:f>
        <x:v>45474</x:v>
      </x:c>
      <x:c r="C700" t="n">
        <x:v>2024</x:v>
      </x:c>
      <x:c r="D700" t="n">
        <x:v>7</x:v>
      </x:c>
      <x:c r="E700" t="str">
        <x:f>TEXT(B700,"mmm")</x:f>
        <x:v>Jul</x:v>
      </x:c>
      <x:c r="F700" t="str">
        <x:f>"Q"&amp;ROUNDUP(D700/3,0)</x:f>
        <x:v>Q3</x:v>
      </x:c>
      <x:c r="G700" s="23" t="n">
        <x:v>55.02</x:v>
      </x:c>
      <x:c r="H700" s="23" t="n">
        <x:v>50.67</x:v>
      </x:c>
      <x:c r="I700" s="23" t="n">
        <x:v>52.8</x:v>
      </x:c>
      <x:c r="J700" s="23" t="n">
        <x:f>G700-H700</x:f>
        <x:v>4.350000000000001</x:v>
      </x:c>
      <x:c r="K700" t="str">
        <x:v>HINDCAST</x:v>
      </x:c>
      <x:c r="L700" s="24" t="n">
        <x:v>17.3616</x:v>
      </x:c>
      <x:c r="M700" s="24" t="n">
        <x:v>78.4747</x:v>
      </x:c>
      <x:c r="N700" t="str">
        <x:f>IF(I700&gt;70,"70+ dB",IF(I700&gt;55,"56-70 dB","41-55 dB"))</x:f>
        <x:v>41-55 dB</x:v>
      </x:c>
      <x:c r="O700" t="str">
        <x:f>IF(I700&gt;70,"High",IF(I700&gt;55,"Moderate","Low"))</x:f>
        <x:v>Low</x:v>
      </x:c>
      <x:c r="P700" t="str">
        <x:f>IF(I700&gt;=70,"Yes","No")</x:f>
        <x:v>No</x:v>
      </x:c>
      <x:c r="Q700" t="str">
        <x:f>TEXT(B700,"yyyy-mm")</x:f>
        <x:v>2024-07</x:v>
      </x:c>
    </x:row>
    <x:row r="701">
      <x:c r="A701" t="str">
        <x:v>HYD04</x:v>
      </x:c>
      <x:c r="B701" s="22" t="n">
        <x:f>DATE(C701,D701,1)</x:f>
        <x:v>45505</x:v>
      </x:c>
      <x:c r="C701" t="n">
        <x:v>2024</x:v>
      </x:c>
      <x:c r="D701" t="n">
        <x:v>8</x:v>
      </x:c>
      <x:c r="E701" t="str">
        <x:f>TEXT(B701,"mmm")</x:f>
        <x:v>Aug</x:v>
      </x:c>
      <x:c r="F701" t="str">
        <x:f>"Q"&amp;ROUNDUP(D701/3,0)</x:f>
        <x:v>Q3</x:v>
      </x:c>
      <x:c r="G701" s="23" t="n">
        <x:v>56.07</x:v>
      </x:c>
      <x:c r="H701" s="23" t="n">
        <x:v>51.25</x:v>
      </x:c>
      <x:c r="I701" s="23" t="n">
        <x:v>53.7</x:v>
      </x:c>
      <x:c r="J701" s="23" t="n">
        <x:f>G701-H701</x:f>
        <x:v>4.82</x:v>
      </x:c>
      <x:c r="K701" t="str">
        <x:v>HINDCAST</x:v>
      </x:c>
      <x:c r="L701" s="24" t="n">
        <x:v>17.3616</x:v>
      </x:c>
      <x:c r="M701" s="24" t="n">
        <x:v>78.4747</x:v>
      </x:c>
      <x:c r="N701" t="str">
        <x:f>IF(I701&gt;70,"70+ dB",IF(I701&gt;55,"56-70 dB","41-55 dB"))</x:f>
        <x:v>41-55 dB</x:v>
      </x:c>
      <x:c r="O701" t="str">
        <x:f>IF(I701&gt;70,"High",IF(I701&gt;55,"Moderate","Low"))</x:f>
        <x:v>Low</x:v>
      </x:c>
      <x:c r="P701" t="str">
        <x:f>IF(I701&gt;=70,"Yes","No")</x:f>
        <x:v>No</x:v>
      </x:c>
      <x:c r="Q701" t="str">
        <x:f>TEXT(B701,"yyyy-mm")</x:f>
        <x:v>2024-08</x:v>
      </x:c>
    </x:row>
    <x:row r="702">
      <x:c r="A702" t="str">
        <x:v>HYD04</x:v>
      </x:c>
      <x:c r="B702" s="22" t="n">
        <x:f>DATE(C702,D702,1)</x:f>
        <x:v>45536</x:v>
      </x:c>
      <x:c r="C702" t="n">
        <x:v>2024</x:v>
      </x:c>
      <x:c r="D702" t="n">
        <x:v>9</x:v>
      </x:c>
      <x:c r="E702" t="str">
        <x:f>TEXT(B702,"mmm")</x:f>
        <x:v>Sep</x:v>
      </x:c>
      <x:c r="F702" t="str">
        <x:f>"Q"&amp;ROUNDUP(D702/3,0)</x:f>
        <x:v>Q3</x:v>
      </x:c>
      <x:c r="G702" s="23" t="n">
        <x:v>55.7</x:v>
      </x:c>
      <x:c r="H702" s="23" t="n">
        <x:v>50.27</x:v>
      </x:c>
      <x:c r="I702" s="23" t="n">
        <x:v>53</x:v>
      </x:c>
      <x:c r="J702" s="23" t="n">
        <x:f>G702-H702</x:f>
        <x:v>5.43</x:v>
      </x:c>
      <x:c r="K702" t="str">
        <x:v>HINDCAST</x:v>
      </x:c>
      <x:c r="L702" s="24" t="n">
        <x:v>17.3616</x:v>
      </x:c>
      <x:c r="M702" s="24" t="n">
        <x:v>78.4747</x:v>
      </x:c>
      <x:c r="N702" t="str">
        <x:f>IF(I702&gt;70,"70+ dB",IF(I702&gt;55,"56-70 dB","41-55 dB"))</x:f>
        <x:v>41-55 dB</x:v>
      </x:c>
      <x:c r="O702" t="str">
        <x:f>IF(I702&gt;70,"High",IF(I702&gt;55,"Moderate","Low"))</x:f>
        <x:v>Low</x:v>
      </x:c>
      <x:c r="P702" t="str">
        <x:f>IF(I702&gt;=70,"Yes","No")</x:f>
        <x:v>No</x:v>
      </x:c>
      <x:c r="Q702" t="str">
        <x:f>TEXT(B702,"yyyy-mm")</x:f>
        <x:v>2024-09</x:v>
      </x:c>
    </x:row>
    <x:row r="703">
      <x:c r="A703" t="str">
        <x:v>HYD04</x:v>
      </x:c>
      <x:c r="B703" s="22" t="n">
        <x:f>DATE(C703,D703,1)</x:f>
        <x:v>45566</x:v>
      </x:c>
      <x:c r="C703" t="n">
        <x:v>2024</x:v>
      </x:c>
      <x:c r="D703" t="n">
        <x:v>10</x:v>
      </x:c>
      <x:c r="E703" t="str">
        <x:f>TEXT(B703,"mmm")</x:f>
        <x:v>Oct</x:v>
      </x:c>
      <x:c r="F703" t="str">
        <x:f>"Q"&amp;ROUNDUP(D703/3,0)</x:f>
        <x:v>Q4</x:v>
      </x:c>
      <x:c r="G703" s="23" t="n">
        <x:v>55.11</x:v>
      </x:c>
      <x:c r="H703" s="23" t="n">
        <x:v>49.2</x:v>
      </x:c>
      <x:c r="I703" s="23" t="n">
        <x:v>52.2</x:v>
      </x:c>
      <x:c r="J703" s="23" t="n">
        <x:f>G703-H703</x:f>
        <x:v>5.909999999999997</x:v>
      </x:c>
      <x:c r="K703" t="str">
        <x:v>HINDCAST</x:v>
      </x:c>
      <x:c r="L703" s="24" t="n">
        <x:v>17.3616</x:v>
      </x:c>
      <x:c r="M703" s="24" t="n">
        <x:v>78.4747</x:v>
      </x:c>
      <x:c r="N703" t="str">
        <x:f>IF(I703&gt;70,"70+ dB",IF(I703&gt;55,"56-70 dB","41-55 dB"))</x:f>
        <x:v>41-55 dB</x:v>
      </x:c>
      <x:c r="O703" t="str">
        <x:f>IF(I703&gt;70,"High",IF(I703&gt;55,"Moderate","Low"))</x:f>
        <x:v>Low</x:v>
      </x:c>
      <x:c r="P703" t="str">
        <x:f>IF(I703&gt;=70,"Yes","No")</x:f>
        <x:v>No</x:v>
      </x:c>
      <x:c r="Q703" t="str">
        <x:f>TEXT(B703,"yyyy-mm")</x:f>
        <x:v>2024-10</x:v>
      </x:c>
    </x:row>
    <x:row r="704">
      <x:c r="A704" t="str">
        <x:v>HYD04</x:v>
      </x:c>
      <x:c r="B704" s="22" t="n">
        <x:f>DATE(C704,D704,1)</x:f>
        <x:v>45597</x:v>
      </x:c>
      <x:c r="C704" t="n">
        <x:v>2024</x:v>
      </x:c>
      <x:c r="D704" t="n">
        <x:v>11</x:v>
      </x:c>
      <x:c r="E704" t="str">
        <x:f>TEXT(B704,"mmm")</x:f>
        <x:v>Nov</x:v>
      </x:c>
      <x:c r="F704" t="str">
        <x:f>"Q"&amp;ROUNDUP(D704/3,0)</x:f>
        <x:v>Q4</x:v>
      </x:c>
      <x:c r="G704" s="23" t="n">
        <x:v>54.41</x:v>
      </x:c>
      <x:c r="H704" s="23" t="n">
        <x:v>49.17</x:v>
      </x:c>
      <x:c r="I704" s="23" t="n">
        <x:v>51.8</x:v>
      </x:c>
      <x:c r="J704" s="23" t="n">
        <x:f>G704-H704</x:f>
        <x:v>5.239999999999995</x:v>
      </x:c>
      <x:c r="K704" t="str">
        <x:v>HINDCAST</x:v>
      </x:c>
      <x:c r="L704" s="24" t="n">
        <x:v>17.3616</x:v>
      </x:c>
      <x:c r="M704" s="24" t="n">
        <x:v>78.4747</x:v>
      </x:c>
      <x:c r="N704" t="str">
        <x:f>IF(I704&gt;70,"70+ dB",IF(I704&gt;55,"56-70 dB","41-55 dB"))</x:f>
        <x:v>41-55 dB</x:v>
      </x:c>
      <x:c r="O704" t="str">
        <x:f>IF(I704&gt;70,"High",IF(I704&gt;55,"Moderate","Low"))</x:f>
        <x:v>Low</x:v>
      </x:c>
      <x:c r="P704" t="str">
        <x:f>IF(I704&gt;=70,"Yes","No")</x:f>
        <x:v>No</x:v>
      </x:c>
      <x:c r="Q704" t="str">
        <x:f>TEXT(B704,"yyyy-mm")</x:f>
        <x:v>2024-11</x:v>
      </x:c>
    </x:row>
    <x:row r="705">
      <x:c r="A705" t="str">
        <x:v>HYD04</x:v>
      </x:c>
      <x:c r="B705" s="22" t="n">
        <x:f>DATE(C705,D705,1)</x:f>
        <x:v>45627</x:v>
      </x:c>
      <x:c r="C705" t="n">
        <x:v>2024</x:v>
      </x:c>
      <x:c r="D705" t="n">
        <x:v>12</x:v>
      </x:c>
      <x:c r="E705" t="str">
        <x:f>TEXT(B705,"mmm")</x:f>
        <x:v>Dec</x:v>
      </x:c>
      <x:c r="F705" t="str">
        <x:f>"Q"&amp;ROUNDUP(D705/3,0)</x:f>
        <x:v>Q4</x:v>
      </x:c>
      <x:c r="G705" s="23" t="n">
        <x:v>54.3</x:v>
      </x:c>
      <x:c r="H705" s="23" t="n">
        <x:v>49.25</x:v>
      </x:c>
      <x:c r="I705" s="23" t="n">
        <x:v>51.8</x:v>
      </x:c>
      <x:c r="J705" s="23" t="n">
        <x:f>G705-H705</x:f>
        <x:v>5.049999999999997</x:v>
      </x:c>
      <x:c r="K705" t="str">
        <x:v>HINDCAST</x:v>
      </x:c>
      <x:c r="L705" s="24" t="n">
        <x:v>17.3616</x:v>
      </x:c>
      <x:c r="M705" s="24" t="n">
        <x:v>78.4747</x:v>
      </x:c>
      <x:c r="N705" t="str">
        <x:f>IF(I705&gt;70,"70+ dB",IF(I705&gt;55,"56-70 dB","41-55 dB"))</x:f>
        <x:v>41-55 dB</x:v>
      </x:c>
      <x:c r="O705" t="str">
        <x:f>IF(I705&gt;70,"High",IF(I705&gt;55,"Moderate","Low"))</x:f>
        <x:v>Low</x:v>
      </x:c>
      <x:c r="P705" t="str">
        <x:f>IF(I705&gt;=70,"Yes","No")</x:f>
        <x:v>No</x:v>
      </x:c>
      <x:c r="Q705" t="str">
        <x:f>TEXT(B705,"yyyy-mm")</x:f>
        <x:v>2024-12</x:v>
      </x:c>
    </x:row>
    <x:row r="706">
      <x:c r="A706" t="str">
        <x:v>HYD04</x:v>
      </x:c>
      <x:c r="B706" s="22" t="n">
        <x:f>DATE(C706,D706,1)</x:f>
        <x:v>45658</x:v>
      </x:c>
      <x:c r="C706" t="n">
        <x:v>2025</x:v>
      </x:c>
      <x:c r="D706" t="n">
        <x:v>1</x:v>
      </x:c>
      <x:c r="E706" t="str">
        <x:f>TEXT(B706,"mmm")</x:f>
        <x:v>Jan</x:v>
      </x:c>
      <x:c r="F706" t="str">
        <x:f>"Q"&amp;ROUNDUP(D706/3,0)</x:f>
        <x:v>Q1</x:v>
      </x:c>
      <x:c r="G706" s="23" t="n">
        <x:v>54.04</x:v>
      </x:c>
      <x:c r="H706" s="23" t="n">
        <x:v>48.55</x:v>
      </x:c>
      <x:c r="I706" s="23" t="n">
        <x:v>51.3</x:v>
      </x:c>
      <x:c r="J706" s="23" t="n">
        <x:f>G706-H706</x:f>
        <x:v>5.490000000000002</x:v>
      </x:c>
      <x:c r="K706" t="str">
        <x:v>HINDCAST</x:v>
      </x:c>
      <x:c r="L706" s="24" t="n">
        <x:v>17.3616</x:v>
      </x:c>
      <x:c r="M706" s="24" t="n">
        <x:v>78.4747</x:v>
      </x:c>
      <x:c r="N706" t="str">
        <x:f>IF(I706&gt;70,"70+ dB",IF(I706&gt;55,"56-70 dB","41-55 dB"))</x:f>
        <x:v>41-55 dB</x:v>
      </x:c>
      <x:c r="O706" t="str">
        <x:f>IF(I706&gt;70,"High",IF(I706&gt;55,"Moderate","Low"))</x:f>
        <x:v>Low</x:v>
      </x:c>
      <x:c r="P706" t="str">
        <x:f>IF(I706&gt;=70,"Yes","No")</x:f>
        <x:v>No</x:v>
      </x:c>
      <x:c r="Q706" t="str">
        <x:f>TEXT(B706,"yyyy-mm")</x:f>
        <x:v>2025-01</x:v>
      </x:c>
    </x:row>
    <x:row r="707">
      <x:c r="A707" t="str">
        <x:v>HYD04</x:v>
      </x:c>
      <x:c r="B707" s="22" t="n">
        <x:f>DATE(C707,D707,1)</x:f>
        <x:v>45689</x:v>
      </x:c>
      <x:c r="C707" t="n">
        <x:v>2025</x:v>
      </x:c>
      <x:c r="D707" t="n">
        <x:v>2</x:v>
      </x:c>
      <x:c r="E707" t="str">
        <x:f>TEXT(B707,"mmm")</x:f>
        <x:v>Feb</x:v>
      </x:c>
      <x:c r="F707" t="str">
        <x:f>"Q"&amp;ROUNDUP(D707/3,0)</x:f>
        <x:v>Q1</x:v>
      </x:c>
      <x:c r="G707" s="23" t="n">
        <x:v>55.23</x:v>
      </x:c>
      <x:c r="H707" s="23" t="n">
        <x:v>48.98</x:v>
      </x:c>
      <x:c r="I707" s="23" t="n">
        <x:v>52.1</x:v>
      </x:c>
      <x:c r="J707" s="23" t="n">
        <x:f>G707-H707</x:f>
        <x:v>6.25</x:v>
      </x:c>
      <x:c r="K707" t="str">
        <x:v>HINDCAST</x:v>
      </x:c>
      <x:c r="L707" s="24" t="n">
        <x:v>17.3616</x:v>
      </x:c>
      <x:c r="M707" s="24" t="n">
        <x:v>78.4747</x:v>
      </x:c>
      <x:c r="N707" t="str">
        <x:f>IF(I707&gt;70,"70+ dB",IF(I707&gt;55,"56-70 dB","41-55 dB"))</x:f>
        <x:v>41-55 dB</x:v>
      </x:c>
      <x:c r="O707" t="str">
        <x:f>IF(I707&gt;70,"High",IF(I707&gt;55,"Moderate","Low"))</x:f>
        <x:v>Low</x:v>
      </x:c>
      <x:c r="P707" t="str">
        <x:f>IF(I707&gt;=70,"Yes","No")</x:f>
        <x:v>No</x:v>
      </x:c>
      <x:c r="Q707" t="str">
        <x:f>TEXT(B707,"yyyy-mm")</x:f>
        <x:v>2025-02</x:v>
      </x:c>
    </x:row>
    <x:row r="708">
      <x:c r="A708" t="str">
        <x:v>HYD04</x:v>
      </x:c>
      <x:c r="B708" s="22" t="n">
        <x:f>DATE(C708,D708,1)</x:f>
        <x:v>45717</x:v>
      </x:c>
      <x:c r="C708" t="n">
        <x:v>2025</x:v>
      </x:c>
      <x:c r="D708" t="n">
        <x:v>3</x:v>
      </x:c>
      <x:c r="E708" t="str">
        <x:f>TEXT(B708,"mmm")</x:f>
        <x:v>Mar</x:v>
      </x:c>
      <x:c r="F708" t="str">
        <x:f>"Q"&amp;ROUNDUP(D708/3,0)</x:f>
        <x:v>Q1</x:v>
      </x:c>
      <x:c r="G708" s="23" t="n">
        <x:v>54.62</x:v>
      </x:c>
      <x:c r="H708" s="23" t="n">
        <x:v>48.78</x:v>
      </x:c>
      <x:c r="I708" s="23" t="n">
        <x:v>51.7</x:v>
      </x:c>
      <x:c r="J708" s="23" t="n">
        <x:f>G708-H708</x:f>
        <x:v>5.839999999999996</x:v>
      </x:c>
      <x:c r="K708" t="str">
        <x:v>HINDCAST</x:v>
      </x:c>
      <x:c r="L708" s="24" t="n">
        <x:v>17.3616</x:v>
      </x:c>
      <x:c r="M708" s="24" t="n">
        <x:v>78.4747</x:v>
      </x:c>
      <x:c r="N708" t="str">
        <x:f>IF(I708&gt;70,"70+ dB",IF(I708&gt;55,"56-70 dB","41-55 dB"))</x:f>
        <x:v>41-55 dB</x:v>
      </x:c>
      <x:c r="O708" t="str">
        <x:f>IF(I708&gt;70,"High",IF(I708&gt;55,"Moderate","Low"))</x:f>
        <x:v>Low</x:v>
      </x:c>
      <x:c r="P708" t="str">
        <x:f>IF(I708&gt;=70,"Yes","No")</x:f>
        <x:v>No</x:v>
      </x:c>
      <x:c r="Q708" t="str">
        <x:f>TEXT(B708,"yyyy-mm")</x:f>
        <x:v>2025-03</x:v>
      </x:c>
    </x:row>
    <x:row r="709">
      <x:c r="A709" t="str">
        <x:v>HYD04</x:v>
      </x:c>
      <x:c r="B709" s="22" t="n">
        <x:f>DATE(C709,D709,1)</x:f>
        <x:v>45748</x:v>
      </x:c>
      <x:c r="C709" t="n">
        <x:v>2025</x:v>
      </x:c>
      <x:c r="D709" t="n">
        <x:v>4</x:v>
      </x:c>
      <x:c r="E709" t="str">
        <x:f>TEXT(B709,"mmm")</x:f>
        <x:v>Apr</x:v>
      </x:c>
      <x:c r="F709" t="str">
        <x:f>"Q"&amp;ROUNDUP(D709/3,0)</x:f>
        <x:v>Q2</x:v>
      </x:c>
      <x:c r="G709" s="23" t="n">
        <x:v>54.83</x:v>
      </x:c>
      <x:c r="H709" s="23" t="n">
        <x:v>50.51</x:v>
      </x:c>
      <x:c r="I709" s="23" t="n">
        <x:v>52.7</x:v>
      </x:c>
      <x:c r="J709" s="23" t="n">
        <x:f>G709-H709</x:f>
        <x:v>4.32</x:v>
      </x:c>
      <x:c r="K709" t="str">
        <x:v>HINDCAST</x:v>
      </x:c>
      <x:c r="L709" s="24" t="n">
        <x:v>17.3616</x:v>
      </x:c>
      <x:c r="M709" s="24" t="n">
        <x:v>78.4747</x:v>
      </x:c>
      <x:c r="N709" t="str">
        <x:f>IF(I709&gt;70,"70+ dB",IF(I709&gt;55,"56-70 dB","41-55 dB"))</x:f>
        <x:v>41-55 dB</x:v>
      </x:c>
      <x:c r="O709" t="str">
        <x:f>IF(I709&gt;70,"High",IF(I709&gt;55,"Moderate","Low"))</x:f>
        <x:v>Low</x:v>
      </x:c>
      <x:c r="P709" t="str">
        <x:f>IF(I709&gt;=70,"Yes","No")</x:f>
        <x:v>No</x:v>
      </x:c>
      <x:c r="Q709" t="str">
        <x:f>TEXT(B709,"yyyy-mm")</x:f>
        <x:v>2025-04</x:v>
      </x:c>
    </x:row>
    <x:row r="710">
      <x:c r="A710" t="str">
        <x:v>HYD04</x:v>
      </x:c>
      <x:c r="B710" s="22" t="n">
        <x:f>DATE(C710,D710,1)</x:f>
        <x:v>45778</x:v>
      </x:c>
      <x:c r="C710" t="n">
        <x:v>2025</x:v>
      </x:c>
      <x:c r="D710" t="n">
        <x:v>5</x:v>
      </x:c>
      <x:c r="E710" t="str">
        <x:f>TEXT(B710,"mmm")</x:f>
        <x:v>May</x:v>
      </x:c>
      <x:c r="F710" t="str">
        <x:f>"Q"&amp;ROUNDUP(D710/3,0)</x:f>
        <x:v>Q2</x:v>
      </x:c>
      <x:c r="G710" s="23" t="n">
        <x:v>55.97</x:v>
      </x:c>
      <x:c r="H710" s="23" t="n">
        <x:v>51.04</x:v>
      </x:c>
      <x:c r="I710" s="23" t="n">
        <x:v>53.5</x:v>
      </x:c>
      <x:c r="J710" s="23" t="n">
        <x:f>G710-H710</x:f>
        <x:v>4.93</x:v>
      </x:c>
      <x:c r="K710" t="str">
        <x:v>HINDCAST</x:v>
      </x:c>
      <x:c r="L710" s="24" t="n">
        <x:v>17.3616</x:v>
      </x:c>
      <x:c r="M710" s="24" t="n">
        <x:v>78.4747</x:v>
      </x:c>
      <x:c r="N710" t="str">
        <x:f>IF(I710&gt;70,"70+ dB",IF(I710&gt;55,"56-70 dB","41-55 dB"))</x:f>
        <x:v>41-55 dB</x:v>
      </x:c>
      <x:c r="O710" t="str">
        <x:f>IF(I710&gt;70,"High",IF(I710&gt;55,"Moderate","Low"))</x:f>
        <x:v>Low</x:v>
      </x:c>
      <x:c r="P710" t="str">
        <x:f>IF(I710&gt;=70,"Yes","No")</x:f>
        <x:v>No</x:v>
      </x:c>
      <x:c r="Q710" t="str">
        <x:f>TEXT(B710,"yyyy-mm")</x:f>
        <x:v>2025-05</x:v>
      </x:c>
    </x:row>
    <x:row r="711">
      <x:c r="A711" t="str">
        <x:v>HYD04</x:v>
      </x:c>
      <x:c r="B711" s="22" t="n">
        <x:f>DATE(C711,D711,1)</x:f>
        <x:v>45809</x:v>
      </x:c>
      <x:c r="C711" t="n">
        <x:v>2025</x:v>
      </x:c>
      <x:c r="D711" t="n">
        <x:v>6</x:v>
      </x:c>
      <x:c r="E711" t="str">
        <x:f>TEXT(B711,"mmm")</x:f>
        <x:v>Jun</x:v>
      </x:c>
      <x:c r="F711" t="str">
        <x:f>"Q"&amp;ROUNDUP(D711/3,0)</x:f>
        <x:v>Q2</x:v>
      </x:c>
      <x:c r="G711" s="23" t="n">
        <x:v>56.15</x:v>
      </x:c>
      <x:c r="H711" s="23" t="n">
        <x:v>51.53</x:v>
      </x:c>
      <x:c r="I711" s="23" t="n">
        <x:v>53.8</x:v>
      </x:c>
      <x:c r="J711" s="23" t="n">
        <x:f>G711-H711</x:f>
        <x:v>4.619999999999997</x:v>
      </x:c>
      <x:c r="K711" t="str">
        <x:v>HINDCAST</x:v>
      </x:c>
      <x:c r="L711" s="24" t="n">
        <x:v>17.3616</x:v>
      </x:c>
      <x:c r="M711" s="24" t="n">
        <x:v>78.4747</x:v>
      </x:c>
      <x:c r="N711" t="str">
        <x:f>IF(I711&gt;70,"70+ dB",IF(I711&gt;55,"56-70 dB","41-55 dB"))</x:f>
        <x:v>41-55 dB</x:v>
      </x:c>
      <x:c r="O711" t="str">
        <x:f>IF(I711&gt;70,"High",IF(I711&gt;55,"Moderate","Low"))</x:f>
        <x:v>Low</x:v>
      </x:c>
      <x:c r="P711" t="str">
        <x:f>IF(I711&gt;=70,"Yes","No")</x:f>
        <x:v>No</x:v>
      </x:c>
      <x:c r="Q711" t="str">
        <x:f>TEXT(B711,"yyyy-mm")</x:f>
        <x:v>2025-06</x:v>
      </x:c>
    </x:row>
    <x:row r="712">
      <x:c r="A712" t="str">
        <x:v>HYD04</x:v>
      </x:c>
      <x:c r="B712" s="22" t="n">
        <x:f>DATE(C712,D712,1)</x:f>
        <x:v>45839</x:v>
      </x:c>
      <x:c r="C712" t="n">
        <x:v>2025</x:v>
      </x:c>
      <x:c r="D712" t="n">
        <x:v>7</x:v>
      </x:c>
      <x:c r="E712" t="str">
        <x:f>TEXT(B712,"mmm")</x:f>
        <x:v>Jul</x:v>
      </x:c>
      <x:c r="F712" t="str">
        <x:f>"Q"&amp;ROUNDUP(D712/3,0)</x:f>
        <x:v>Q3</x:v>
      </x:c>
      <x:c r="G712" s="23" t="n">
        <x:v>55.04</x:v>
      </x:c>
      <x:c r="H712" s="23" t="n">
        <x:v>50.68</x:v>
      </x:c>
      <x:c r="I712" s="23" t="n">
        <x:v>52.9</x:v>
      </x:c>
      <x:c r="J712" s="23" t="n">
        <x:f>G712-H712</x:f>
        <x:v>4.359999999999999</x:v>
      </x:c>
      <x:c r="K712" t="str">
        <x:v>HINDCAST</x:v>
      </x:c>
      <x:c r="L712" s="24" t="n">
        <x:v>17.3616</x:v>
      </x:c>
      <x:c r="M712" s="24" t="n">
        <x:v>78.4747</x:v>
      </x:c>
      <x:c r="N712" t="str">
        <x:f>IF(I712&gt;70,"70+ dB",IF(I712&gt;55,"56-70 dB","41-55 dB"))</x:f>
        <x:v>41-55 dB</x:v>
      </x:c>
      <x:c r="O712" t="str">
        <x:f>IF(I712&gt;70,"High",IF(I712&gt;55,"Moderate","Low"))</x:f>
        <x:v>Low</x:v>
      </x:c>
      <x:c r="P712" t="str">
        <x:f>IF(I712&gt;=70,"Yes","No")</x:f>
        <x:v>No</x:v>
      </x:c>
      <x:c r="Q712" t="str">
        <x:f>TEXT(B712,"yyyy-mm")</x:f>
        <x:v>2025-07</x:v>
      </x:c>
    </x:row>
    <x:row r="713">
      <x:c r="A713" t="str">
        <x:v>HYD04</x:v>
      </x:c>
      <x:c r="B713" s="22" t="n">
        <x:f>DATE(C713,D713,1)</x:f>
        <x:v>45870</x:v>
      </x:c>
      <x:c r="C713" t="n">
        <x:v>2025</x:v>
      </x:c>
      <x:c r="D713" t="n">
        <x:v>8</x:v>
      </x:c>
      <x:c r="E713" t="str">
        <x:f>TEXT(B713,"mmm")</x:f>
        <x:v>Aug</x:v>
      </x:c>
      <x:c r="F713" t="str">
        <x:f>"Q"&amp;ROUNDUP(D713/3,0)</x:f>
        <x:v>Q3</x:v>
      </x:c>
      <x:c r="G713" s="23" t="n">
        <x:v>56.09</x:v>
      </x:c>
      <x:c r="H713" s="23" t="n">
        <x:v>51.25</x:v>
      </x:c>
      <x:c r="I713" s="23" t="n">
        <x:v>53.7</x:v>
      </x:c>
      <x:c r="J713" s="23" t="n">
        <x:f>G713-H713</x:f>
        <x:v>4.840000000000003</x:v>
      </x:c>
      <x:c r="K713" t="str">
        <x:v>HINDCAST</x:v>
      </x:c>
      <x:c r="L713" s="24" t="n">
        <x:v>17.3616</x:v>
      </x:c>
      <x:c r="M713" s="24" t="n">
        <x:v>78.4747</x:v>
      </x:c>
      <x:c r="N713" t="str">
        <x:f>IF(I713&gt;70,"70+ dB",IF(I713&gt;55,"56-70 dB","41-55 dB"))</x:f>
        <x:v>41-55 dB</x:v>
      </x:c>
      <x:c r="O713" t="str">
        <x:f>IF(I713&gt;70,"High",IF(I713&gt;55,"Moderate","Low"))</x:f>
        <x:v>Low</x:v>
      </x:c>
      <x:c r="P713" t="str">
        <x:f>IF(I713&gt;=70,"Yes","No")</x:f>
        <x:v>No</x:v>
      </x:c>
      <x:c r="Q713" t="str">
        <x:f>TEXT(B713,"yyyy-mm")</x:f>
        <x:v>2025-08</x:v>
      </x:c>
    </x:row>
    <x:row r="714">
      <x:c r="A714" t="str">
        <x:v>HYD04</x:v>
      </x:c>
      <x:c r="B714" s="22" t="n">
        <x:f>DATE(C714,D714,1)</x:f>
        <x:v>45901</x:v>
      </x:c>
      <x:c r="C714" t="n">
        <x:v>2025</x:v>
      </x:c>
      <x:c r="D714" t="n">
        <x:v>9</x:v>
      </x:c>
      <x:c r="E714" t="str">
        <x:f>TEXT(B714,"mmm")</x:f>
        <x:v>Sep</x:v>
      </x:c>
      <x:c r="F714" t="str">
        <x:f>"Q"&amp;ROUNDUP(D714/3,0)</x:f>
        <x:v>Q3</x:v>
      </x:c>
      <x:c r="G714" s="23" t="n">
        <x:v>55.73</x:v>
      </x:c>
      <x:c r="H714" s="23" t="n">
        <x:v>50.28</x:v>
      </x:c>
      <x:c r="I714" s="23" t="n">
        <x:v>53</x:v>
      </x:c>
      <x:c r="J714" s="23" t="n">
        <x:f>G714-H714</x:f>
        <x:v>5.449999999999996</x:v>
      </x:c>
      <x:c r="K714" t="str">
        <x:v>HINDCAST</x:v>
      </x:c>
      <x:c r="L714" s="24" t="n">
        <x:v>17.3616</x:v>
      </x:c>
      <x:c r="M714" s="24" t="n">
        <x:v>78.4747</x:v>
      </x:c>
      <x:c r="N714" t="str">
        <x:f>IF(I714&gt;70,"70+ dB",IF(I714&gt;55,"56-70 dB","41-55 dB"))</x:f>
        <x:v>41-55 dB</x:v>
      </x:c>
      <x:c r="O714" t="str">
        <x:f>IF(I714&gt;70,"High",IF(I714&gt;55,"Moderate","Low"))</x:f>
        <x:v>Low</x:v>
      </x:c>
      <x:c r="P714" t="str">
        <x:f>IF(I714&gt;=70,"Yes","No")</x:f>
        <x:v>No</x:v>
      </x:c>
      <x:c r="Q714" t="str">
        <x:f>TEXT(B714,"yyyy-mm")</x:f>
        <x:v>2025-09</x:v>
      </x:c>
    </x:row>
    <x:row r="715">
      <x:c r="A715" t="str">
        <x:v>HYD04</x:v>
      </x:c>
      <x:c r="B715" s="22" t="n">
        <x:f>DATE(C715,D715,1)</x:f>
        <x:v>45931</x:v>
      </x:c>
      <x:c r="C715" t="n">
        <x:v>2025</x:v>
      </x:c>
      <x:c r="D715" t="n">
        <x:v>10</x:v>
      </x:c>
      <x:c r="E715" t="str">
        <x:f>TEXT(B715,"mmm")</x:f>
        <x:v>Oct</x:v>
      </x:c>
      <x:c r="F715" t="str">
        <x:f>"Q"&amp;ROUNDUP(D715/3,0)</x:f>
        <x:v>Q4</x:v>
      </x:c>
      <x:c r="G715" s="23" t="n">
        <x:v>55.13</x:v>
      </x:c>
      <x:c r="H715" s="23" t="n">
        <x:v>49.2</x:v>
      </x:c>
      <x:c r="I715" s="23" t="n">
        <x:v>52.2</x:v>
      </x:c>
      <x:c r="J715" s="23" t="n">
        <x:f>G715-H715</x:f>
        <x:v>5.93</x:v>
      </x:c>
      <x:c r="K715" t="str">
        <x:v>HINDCAST</x:v>
      </x:c>
      <x:c r="L715" s="24" t="n">
        <x:v>17.3616</x:v>
      </x:c>
      <x:c r="M715" s="24" t="n">
        <x:v>78.4747</x:v>
      </x:c>
      <x:c r="N715" t="str">
        <x:f>IF(I715&gt;70,"70+ dB",IF(I715&gt;55,"56-70 dB","41-55 dB"))</x:f>
        <x:v>41-55 dB</x:v>
      </x:c>
      <x:c r="O715" t="str">
        <x:f>IF(I715&gt;70,"High",IF(I715&gt;55,"Moderate","Low"))</x:f>
        <x:v>Low</x:v>
      </x:c>
      <x:c r="P715" t="str">
        <x:f>IF(I715&gt;=70,"Yes","No")</x:f>
        <x:v>No</x:v>
      </x:c>
      <x:c r="Q715" t="str">
        <x:f>TEXT(B715,"yyyy-mm")</x:f>
        <x:v>2025-10</x:v>
      </x:c>
    </x:row>
    <x:row r="716">
      <x:c r="A716" t="str">
        <x:v>HYD04</x:v>
      </x:c>
      <x:c r="B716" s="22" t="n">
        <x:f>DATE(C716,D716,1)</x:f>
        <x:v>45962</x:v>
      </x:c>
      <x:c r="C716" t="n">
        <x:v>2025</x:v>
      </x:c>
      <x:c r="D716" t="n">
        <x:v>11</x:v>
      </x:c>
      <x:c r="E716" t="str">
        <x:f>TEXT(B716,"mmm")</x:f>
        <x:v>Nov</x:v>
      </x:c>
      <x:c r="F716" t="str">
        <x:f>"Q"&amp;ROUNDUP(D716/3,0)</x:f>
        <x:v>Q4</x:v>
      </x:c>
      <x:c r="G716" s="23" t="n">
        <x:v>54.44</x:v>
      </x:c>
      <x:c r="H716" s="23" t="n">
        <x:v>49.17</x:v>
      </x:c>
      <x:c r="I716" s="23" t="n">
        <x:v>51.8</x:v>
      </x:c>
      <x:c r="J716" s="23" t="n">
        <x:f>G716-H716</x:f>
        <x:v>5.269999999999996</x:v>
      </x:c>
      <x:c r="K716" t="str">
        <x:v>HINDCAST</x:v>
      </x:c>
      <x:c r="L716" s="24" t="n">
        <x:v>17.3616</x:v>
      </x:c>
      <x:c r="M716" s="24" t="n">
        <x:v>78.4747</x:v>
      </x:c>
      <x:c r="N716" t="str">
        <x:f>IF(I716&gt;70,"70+ dB",IF(I716&gt;55,"56-70 dB","41-55 dB"))</x:f>
        <x:v>41-55 dB</x:v>
      </x:c>
      <x:c r="O716" t="str">
        <x:f>IF(I716&gt;70,"High",IF(I716&gt;55,"Moderate","Low"))</x:f>
        <x:v>Low</x:v>
      </x:c>
      <x:c r="P716" t="str">
        <x:f>IF(I716&gt;=70,"Yes","No")</x:f>
        <x:v>No</x:v>
      </x:c>
      <x:c r="Q716" t="str">
        <x:f>TEXT(B716,"yyyy-mm")</x:f>
        <x:v>2025-11</x:v>
      </x:c>
    </x:row>
    <x:row r="717">
      <x:c r="A717" t="str">
        <x:v>HYD04</x:v>
      </x:c>
      <x:c r="B717" s="22" t="n">
        <x:f>DATE(C717,D717,1)</x:f>
        <x:v>45992</x:v>
      </x:c>
      <x:c r="C717" t="n">
        <x:v>2025</x:v>
      </x:c>
      <x:c r="D717" t="n">
        <x:v>12</x:v>
      </x:c>
      <x:c r="E717" t="str">
        <x:f>TEXT(B717,"mmm")</x:f>
        <x:v>Dec</x:v>
      </x:c>
      <x:c r="F717" t="str">
        <x:f>"Q"&amp;ROUNDUP(D717/3,0)</x:f>
        <x:v>Q4</x:v>
      </x:c>
      <x:c r="G717" s="23" t="n">
        <x:v>54.33</x:v>
      </x:c>
      <x:c r="H717" s="23" t="n">
        <x:v>49.26</x:v>
      </x:c>
      <x:c r="I717" s="23" t="n">
        <x:v>51.8</x:v>
      </x:c>
      <x:c r="J717" s="23" t="n">
        <x:f>G717-H717</x:f>
        <x:v>5.07</x:v>
      </x:c>
      <x:c r="K717" t="str">
        <x:v>HINDCAST</x:v>
      </x:c>
      <x:c r="L717" s="24" t="n">
        <x:v>17.3616</x:v>
      </x:c>
      <x:c r="M717" s="24" t="n">
        <x:v>78.4747</x:v>
      </x:c>
      <x:c r="N717" t="str">
        <x:f>IF(I717&gt;70,"70+ dB",IF(I717&gt;55,"56-70 dB","41-55 dB"))</x:f>
        <x:v>41-55 dB</x:v>
      </x:c>
      <x:c r="O717" t="str">
        <x:f>IF(I717&gt;70,"High",IF(I717&gt;55,"Moderate","Low"))</x:f>
        <x:v>Low</x:v>
      </x:c>
      <x:c r="P717" t="str">
        <x:f>IF(I717&gt;=70,"Yes","No")</x:f>
        <x:v>No</x:v>
      </x:c>
      <x:c r="Q717" t="str">
        <x:f>TEXT(B717,"yyyy-mm")</x:f>
        <x:v>2025-12</x:v>
      </x:c>
    </x:row>
    <x:row r="718">
      <x:c r="A718" t="str">
        <x:v>HYD05</x:v>
      </x:c>
      <x:c r="B718" s="22" t="n">
        <x:f>DATE(C718,D718,1)</x:f>
        <x:v>40575</x:v>
      </x:c>
      <x:c r="C718" t="n">
        <x:v>2011</x:v>
      </x:c>
      <x:c r="D718" t="n">
        <x:v>2</x:v>
      </x:c>
      <x:c r="E718" t="str">
        <x:f>TEXT(B718,"mmm")</x:f>
        <x:v>Feb</x:v>
      </x:c>
      <x:c r="F718" t="str">
        <x:f>"Q"&amp;ROUNDUP(D718/3,0)</x:f>
        <x:v>Q1</x:v>
      </x:c>
      <x:c r="G718" s="23" t="n">
        <x:v>53</x:v>
      </x:c>
      <x:c r="H718" s="23" t="n">
        <x:v>48</x:v>
      </x:c>
      <x:c r="I718" s="23" t="n">
        <x:v>50.5</x:v>
      </x:c>
      <x:c r="J718" s="23" t="n">
        <x:f>G718-H718</x:f>
        <x:v>5</x:v>
      </x:c>
      <x:c r="K718" t="str">
        <x:v>OBSERVED</x:v>
      </x:c>
      <x:c r="L718" s="24" t="n">
        <x:v>17.4474</x:v>
      </x:c>
      <x:c r="M718" s="24" t="n">
        <x:v>78.3762</x:v>
      </x:c>
      <x:c r="N718" t="str">
        <x:f>IF(I718&gt;70,"70+ dB",IF(I718&gt;55,"56-70 dB","41-55 dB"))</x:f>
        <x:v>41-55 dB</x:v>
      </x:c>
      <x:c r="O718" t="str">
        <x:f>IF(I718&gt;70,"High",IF(I718&gt;55,"Moderate","Low"))</x:f>
        <x:v>Low</x:v>
      </x:c>
      <x:c r="P718" t="str">
        <x:f>IF(I718&gt;=70,"Yes","No")</x:f>
        <x:v>No</x:v>
      </x:c>
      <x:c r="Q718" t="str">
        <x:f>TEXT(B718,"yyyy-mm")</x:f>
        <x:v>2011-02</x:v>
      </x:c>
    </x:row>
    <x:row r="719">
      <x:c r="A719" t="str">
        <x:v>HYD05</x:v>
      </x:c>
      <x:c r="B719" s="22" t="n">
        <x:f>DATE(C719,D719,1)</x:f>
        <x:v>40603</x:v>
      </x:c>
      <x:c r="C719" t="n">
        <x:v>2011</x:v>
      </x:c>
      <x:c r="D719" t="n">
        <x:v>3</x:v>
      </x:c>
      <x:c r="E719" t="str">
        <x:f>TEXT(B719,"mmm")</x:f>
        <x:v>Mar</x:v>
      </x:c>
      <x:c r="F719" t="str">
        <x:f>"Q"&amp;ROUNDUP(D719/3,0)</x:f>
        <x:v>Q1</x:v>
      </x:c>
      <x:c r="G719" s="23" t="n">
        <x:v>53</x:v>
      </x:c>
      <x:c r="H719" s="23" t="n">
        <x:v>48</x:v>
      </x:c>
      <x:c r="I719" s="23" t="n">
        <x:v>50.5</x:v>
      </x:c>
      <x:c r="J719" s="23" t="n">
        <x:f>G719-H719</x:f>
        <x:v>5</x:v>
      </x:c>
      <x:c r="K719" t="str">
        <x:v>OBSERVED</x:v>
      </x:c>
      <x:c r="L719" s="24" t="n">
        <x:v>17.4474</x:v>
      </x:c>
      <x:c r="M719" s="24" t="n">
        <x:v>78.3762</x:v>
      </x:c>
      <x:c r="N719" t="str">
        <x:f>IF(I719&gt;70,"70+ dB",IF(I719&gt;55,"56-70 dB","41-55 dB"))</x:f>
        <x:v>41-55 dB</x:v>
      </x:c>
      <x:c r="O719" t="str">
        <x:f>IF(I719&gt;70,"High",IF(I719&gt;55,"Moderate","Low"))</x:f>
        <x:v>Low</x:v>
      </x:c>
      <x:c r="P719" t="str">
        <x:f>IF(I719&gt;=70,"Yes","No")</x:f>
        <x:v>No</x:v>
      </x:c>
      <x:c r="Q719" t="str">
        <x:f>TEXT(B719,"yyyy-mm")</x:f>
        <x:v>2011-03</x:v>
      </x:c>
    </x:row>
    <x:row r="720">
      <x:c r="A720" t="str">
        <x:v>HYD05</x:v>
      </x:c>
      <x:c r="B720" s="22" t="n">
        <x:f>DATE(C720,D720,1)</x:f>
        <x:v>40634</x:v>
      </x:c>
      <x:c r="C720" t="n">
        <x:v>2011</x:v>
      </x:c>
      <x:c r="D720" t="n">
        <x:v>4</x:v>
      </x:c>
      <x:c r="E720" t="str">
        <x:f>TEXT(B720,"mmm")</x:f>
        <x:v>Apr</x:v>
      </x:c>
      <x:c r="F720" t="str">
        <x:f>"Q"&amp;ROUNDUP(D720/3,0)</x:f>
        <x:v>Q2</x:v>
      </x:c>
      <x:c r="G720" s="23" t="n">
        <x:v>53</x:v>
      </x:c>
      <x:c r="H720" s="23" t="n">
        <x:v>48</x:v>
      </x:c>
      <x:c r="I720" s="23" t="n">
        <x:v>50.5</x:v>
      </x:c>
      <x:c r="J720" s="23" t="n">
        <x:f>G720-H720</x:f>
        <x:v>5</x:v>
      </x:c>
      <x:c r="K720" t="str">
        <x:v>OBSERVED</x:v>
      </x:c>
      <x:c r="L720" s="24" t="n">
        <x:v>17.4474</x:v>
      </x:c>
      <x:c r="M720" s="24" t="n">
        <x:v>78.3762</x:v>
      </x:c>
      <x:c r="N720" t="str">
        <x:f>IF(I720&gt;70,"70+ dB",IF(I720&gt;55,"56-70 dB","41-55 dB"))</x:f>
        <x:v>41-55 dB</x:v>
      </x:c>
      <x:c r="O720" t="str">
        <x:f>IF(I720&gt;70,"High",IF(I720&gt;55,"Moderate","Low"))</x:f>
        <x:v>Low</x:v>
      </x:c>
      <x:c r="P720" t="str">
        <x:f>IF(I720&gt;=70,"Yes","No")</x:f>
        <x:v>No</x:v>
      </x:c>
      <x:c r="Q720" t="str">
        <x:f>TEXT(B720,"yyyy-mm")</x:f>
        <x:v>2011-04</x:v>
      </x:c>
    </x:row>
    <x:row r="721">
      <x:c r="A721" t="str">
        <x:v>HYD05</x:v>
      </x:c>
      <x:c r="B721" s="22" t="n">
        <x:f>DATE(C721,D721,1)</x:f>
        <x:v>40664</x:v>
      </x:c>
      <x:c r="C721" t="n">
        <x:v>2011</x:v>
      </x:c>
      <x:c r="D721" t="n">
        <x:v>5</x:v>
      </x:c>
      <x:c r="E721" t="str">
        <x:f>TEXT(B721,"mmm")</x:f>
        <x:v>May</x:v>
      </x:c>
      <x:c r="F721" t="str">
        <x:f>"Q"&amp;ROUNDUP(D721/3,0)</x:f>
        <x:v>Q2</x:v>
      </x:c>
      <x:c r="G721" s="23" t="n">
        <x:v>53</x:v>
      </x:c>
      <x:c r="H721" s="23" t="n">
        <x:v>48</x:v>
      </x:c>
      <x:c r="I721" s="23" t="n">
        <x:v>50.5</x:v>
      </x:c>
      <x:c r="J721" s="23" t="n">
        <x:f>G721-H721</x:f>
        <x:v>5</x:v>
      </x:c>
      <x:c r="K721" t="str">
        <x:v>OBSERVED</x:v>
      </x:c>
      <x:c r="L721" s="24" t="n">
        <x:v>17.4474</x:v>
      </x:c>
      <x:c r="M721" s="24" t="n">
        <x:v>78.3762</x:v>
      </x:c>
      <x:c r="N721" t="str">
        <x:f>IF(I721&gt;70,"70+ dB",IF(I721&gt;55,"56-70 dB","41-55 dB"))</x:f>
        <x:v>41-55 dB</x:v>
      </x:c>
      <x:c r="O721" t="str">
        <x:f>IF(I721&gt;70,"High",IF(I721&gt;55,"Moderate","Low"))</x:f>
        <x:v>Low</x:v>
      </x:c>
      <x:c r="P721" t="str">
        <x:f>IF(I721&gt;=70,"Yes","No")</x:f>
        <x:v>No</x:v>
      </x:c>
      <x:c r="Q721" t="str">
        <x:f>TEXT(B721,"yyyy-mm")</x:f>
        <x:v>2011-05</x:v>
      </x:c>
    </x:row>
    <x:row r="722">
      <x:c r="A722" t="str">
        <x:v>HYD05</x:v>
      </x:c>
      <x:c r="B722" s="22" t="n">
        <x:f>DATE(C722,D722,1)</x:f>
        <x:v>40695</x:v>
      </x:c>
      <x:c r="C722" t="n">
        <x:v>2011</x:v>
      </x:c>
      <x:c r="D722" t="n">
        <x:v>6</x:v>
      </x:c>
      <x:c r="E722" t="str">
        <x:f>TEXT(B722,"mmm")</x:f>
        <x:v>Jun</x:v>
      </x:c>
      <x:c r="F722" t="str">
        <x:f>"Q"&amp;ROUNDUP(D722/3,0)</x:f>
        <x:v>Q2</x:v>
      </x:c>
      <x:c r="G722" s="23" t="n">
        <x:v>53</x:v>
      </x:c>
      <x:c r="H722" s="23" t="n">
        <x:v>48</x:v>
      </x:c>
      <x:c r="I722" s="23" t="n">
        <x:v>50.5</x:v>
      </x:c>
      <x:c r="J722" s="23" t="n">
        <x:f>G722-H722</x:f>
        <x:v>5</x:v>
      </x:c>
      <x:c r="K722" t="str">
        <x:v>OBSERVED</x:v>
      </x:c>
      <x:c r="L722" s="24" t="n">
        <x:v>17.4474</x:v>
      </x:c>
      <x:c r="M722" s="24" t="n">
        <x:v>78.3762</x:v>
      </x:c>
      <x:c r="N722" t="str">
        <x:f>IF(I722&gt;70,"70+ dB",IF(I722&gt;55,"56-70 dB","41-55 dB"))</x:f>
        <x:v>41-55 dB</x:v>
      </x:c>
      <x:c r="O722" t="str">
        <x:f>IF(I722&gt;70,"High",IF(I722&gt;55,"Moderate","Low"))</x:f>
        <x:v>Low</x:v>
      </x:c>
      <x:c r="P722" t="str">
        <x:f>IF(I722&gt;=70,"Yes","No")</x:f>
        <x:v>No</x:v>
      </x:c>
      <x:c r="Q722" t="str">
        <x:f>TEXT(B722,"yyyy-mm")</x:f>
        <x:v>2011-06</x:v>
      </x:c>
    </x:row>
    <x:row r="723">
      <x:c r="A723" t="str">
        <x:v>HYD05</x:v>
      </x:c>
      <x:c r="B723" s="22" t="n">
        <x:f>DATE(C723,D723,1)</x:f>
        <x:v>40725</x:v>
      </x:c>
      <x:c r="C723" t="n">
        <x:v>2011</x:v>
      </x:c>
      <x:c r="D723" t="n">
        <x:v>7</x:v>
      </x:c>
      <x:c r="E723" t="str">
        <x:f>TEXT(B723,"mmm")</x:f>
        <x:v>Jul</x:v>
      </x:c>
      <x:c r="F723" t="str">
        <x:f>"Q"&amp;ROUNDUP(D723/3,0)</x:f>
        <x:v>Q3</x:v>
      </x:c>
      <x:c r="G723" s="23" t="n">
        <x:v>53</x:v>
      </x:c>
      <x:c r="H723" s="23" t="n">
        <x:v>49</x:v>
      </x:c>
      <x:c r="I723" s="23" t="n">
        <x:v>51</x:v>
      </x:c>
      <x:c r="J723" s="23" t="n">
        <x:f>G723-H723</x:f>
        <x:v>4</x:v>
      </x:c>
      <x:c r="K723" t="str">
        <x:v>OBSERVED</x:v>
      </x:c>
      <x:c r="L723" s="24" t="n">
        <x:v>17.4474</x:v>
      </x:c>
      <x:c r="M723" s="24" t="n">
        <x:v>78.3762</x:v>
      </x:c>
      <x:c r="N723" t="str">
        <x:f>IF(I723&gt;70,"70+ dB",IF(I723&gt;55,"56-70 dB","41-55 dB"))</x:f>
        <x:v>41-55 dB</x:v>
      </x:c>
      <x:c r="O723" t="str">
        <x:f>IF(I723&gt;70,"High",IF(I723&gt;55,"Moderate","Low"))</x:f>
        <x:v>Low</x:v>
      </x:c>
      <x:c r="P723" t="str">
        <x:f>IF(I723&gt;=70,"Yes","No")</x:f>
        <x:v>No</x:v>
      </x:c>
      <x:c r="Q723" t="str">
        <x:f>TEXT(B723,"yyyy-mm")</x:f>
        <x:v>2011-07</x:v>
      </x:c>
    </x:row>
    <x:row r="724">
      <x:c r="A724" t="str">
        <x:v>HYD05</x:v>
      </x:c>
      <x:c r="B724" s="22" t="n">
        <x:f>DATE(C724,D724,1)</x:f>
        <x:v>40756</x:v>
      </x:c>
      <x:c r="C724" t="n">
        <x:v>2011</x:v>
      </x:c>
      <x:c r="D724" t="n">
        <x:v>8</x:v>
      </x:c>
      <x:c r="E724" t="str">
        <x:f>TEXT(B724,"mmm")</x:f>
        <x:v>Aug</x:v>
      </x:c>
      <x:c r="F724" t="str">
        <x:f>"Q"&amp;ROUNDUP(D724/3,0)</x:f>
        <x:v>Q3</x:v>
      </x:c>
      <x:c r="G724" s="23" t="n">
        <x:v>55</x:v>
      </x:c>
      <x:c r="H724" s="23" t="n">
        <x:v>50</x:v>
      </x:c>
      <x:c r="I724" s="23" t="n">
        <x:v>52.5</x:v>
      </x:c>
      <x:c r="J724" s="23" t="n">
        <x:f>G724-H724</x:f>
        <x:v>5</x:v>
      </x:c>
      <x:c r="K724" t="str">
        <x:v>OBSERVED</x:v>
      </x:c>
      <x:c r="L724" s="24" t="n">
        <x:v>17.4474</x:v>
      </x:c>
      <x:c r="M724" s="24" t="n">
        <x:v>78.3762</x:v>
      </x:c>
      <x:c r="N724" t="str">
        <x:f>IF(I724&gt;70,"70+ dB",IF(I724&gt;55,"56-70 dB","41-55 dB"))</x:f>
        <x:v>41-55 dB</x:v>
      </x:c>
      <x:c r="O724" t="str">
        <x:f>IF(I724&gt;70,"High",IF(I724&gt;55,"Moderate","Low"))</x:f>
        <x:v>Low</x:v>
      </x:c>
      <x:c r="P724" t="str">
        <x:f>IF(I724&gt;=70,"Yes","No")</x:f>
        <x:v>No</x:v>
      </x:c>
      <x:c r="Q724" t="str">
        <x:f>TEXT(B724,"yyyy-mm")</x:f>
        <x:v>2011-08</x:v>
      </x:c>
    </x:row>
    <x:row r="725">
      <x:c r="A725" t="str">
        <x:v>HYD05</x:v>
      </x:c>
      <x:c r="B725" s="22" t="n">
        <x:f>DATE(C725,D725,1)</x:f>
        <x:v>40787</x:v>
      </x:c>
      <x:c r="C725" t="n">
        <x:v>2011</x:v>
      </x:c>
      <x:c r="D725" t="n">
        <x:v>9</x:v>
      </x:c>
      <x:c r="E725" t="str">
        <x:f>TEXT(B725,"mmm")</x:f>
        <x:v>Sep</x:v>
      </x:c>
      <x:c r="F725" t="str">
        <x:f>"Q"&amp;ROUNDUP(D725/3,0)</x:f>
        <x:v>Q3</x:v>
      </x:c>
      <x:c r="G725" s="23" t="n">
        <x:v>56</x:v>
      </x:c>
      <x:c r="H725" s="23" t="n">
        <x:v>55</x:v>
      </x:c>
      <x:c r="I725" s="23" t="n">
        <x:v>55.5</x:v>
      </x:c>
      <x:c r="J725" s="23" t="n">
        <x:f>G725-H725</x:f>
        <x:v>1</x:v>
      </x:c>
      <x:c r="K725" t="str">
        <x:v>OBSERVED</x:v>
      </x:c>
      <x:c r="L725" s="24" t="n">
        <x:v>17.4474</x:v>
      </x:c>
      <x:c r="M725" s="24" t="n">
        <x:v>78.3762</x:v>
      </x:c>
      <x:c r="N725" t="str">
        <x:f>IF(I725&gt;70,"70+ dB",IF(I725&gt;55,"56-70 dB","41-55 dB"))</x:f>
        <x:v>56-70 dB</x:v>
      </x:c>
      <x:c r="O725" t="str">
        <x:f>IF(I725&gt;70,"High",IF(I725&gt;55,"Moderate","Low"))</x:f>
        <x:v>Moderate</x:v>
      </x:c>
      <x:c r="P725" t="str">
        <x:f>IF(I725&gt;=70,"Yes","No")</x:f>
        <x:v>No</x:v>
      </x:c>
      <x:c r="Q725" t="str">
        <x:f>TEXT(B725,"yyyy-mm")</x:f>
        <x:v>2011-09</x:v>
      </x:c>
    </x:row>
    <x:row r="726">
      <x:c r="A726" t="str">
        <x:v>HYD05</x:v>
      </x:c>
      <x:c r="B726" s="22" t="n">
        <x:f>DATE(C726,D726,1)</x:f>
        <x:v>40817</x:v>
      </x:c>
      <x:c r="C726" t="n">
        <x:v>2011</x:v>
      </x:c>
      <x:c r="D726" t="n">
        <x:v>10</x:v>
      </x:c>
      <x:c r="E726" t="str">
        <x:f>TEXT(B726,"mmm")</x:f>
        <x:v>Oct</x:v>
      </x:c>
      <x:c r="F726" t="str">
        <x:f>"Q"&amp;ROUNDUP(D726/3,0)</x:f>
        <x:v>Q4</x:v>
      </x:c>
      <x:c r="G726" s="23" t="n">
        <x:v>57</x:v>
      </x:c>
      <x:c r="H726" s="23" t="n">
        <x:v>55</x:v>
      </x:c>
      <x:c r="I726" s="23" t="n">
        <x:v>56</x:v>
      </x:c>
      <x:c r="J726" s="23" t="n">
        <x:f>G726-H726</x:f>
        <x:v>2</x:v>
      </x:c>
      <x:c r="K726" t="str">
        <x:v>OBSERVED</x:v>
      </x:c>
      <x:c r="L726" s="24" t="n">
        <x:v>17.4474</x:v>
      </x:c>
      <x:c r="M726" s="24" t="n">
        <x:v>78.3762</x:v>
      </x:c>
      <x:c r="N726" t="str">
        <x:f>IF(I726&gt;70,"70+ dB",IF(I726&gt;55,"56-70 dB","41-55 dB"))</x:f>
        <x:v>56-70 dB</x:v>
      </x:c>
      <x:c r="O726" t="str">
        <x:f>IF(I726&gt;70,"High",IF(I726&gt;55,"Moderate","Low"))</x:f>
        <x:v>Moderate</x:v>
      </x:c>
      <x:c r="P726" t="str">
        <x:f>IF(I726&gt;=70,"Yes","No")</x:f>
        <x:v>No</x:v>
      </x:c>
      <x:c r="Q726" t="str">
        <x:f>TEXT(B726,"yyyy-mm")</x:f>
        <x:v>2011-10</x:v>
      </x:c>
    </x:row>
    <x:row r="727">
      <x:c r="A727" t="str">
        <x:v>HYD05</x:v>
      </x:c>
      <x:c r="B727" s="22" t="n">
        <x:f>DATE(C727,D727,1)</x:f>
        <x:v>40848</x:v>
      </x:c>
      <x:c r="C727" t="n">
        <x:v>2011</x:v>
      </x:c>
      <x:c r="D727" t="n">
        <x:v>11</x:v>
      </x:c>
      <x:c r="E727" t="str">
        <x:f>TEXT(B727,"mmm")</x:f>
        <x:v>Nov</x:v>
      </x:c>
      <x:c r="F727" t="str">
        <x:f>"Q"&amp;ROUNDUP(D727/3,0)</x:f>
        <x:v>Q4</x:v>
      </x:c>
      <x:c r="G727" s="23" t="n">
        <x:v>52</x:v>
      </x:c>
      <x:c r="H727" s="23" t="n">
        <x:v>48</x:v>
      </x:c>
      <x:c r="I727" s="23" t="n">
        <x:v>50</x:v>
      </x:c>
      <x:c r="J727" s="23" t="n">
        <x:f>G727-H727</x:f>
        <x:v>4</x:v>
      </x:c>
      <x:c r="K727" t="str">
        <x:v>OBSERVED</x:v>
      </x:c>
      <x:c r="L727" s="24" t="n">
        <x:v>17.4474</x:v>
      </x:c>
      <x:c r="M727" s="24" t="n">
        <x:v>78.3762</x:v>
      </x:c>
      <x:c r="N727" t="str">
        <x:f>IF(I727&gt;70,"70+ dB",IF(I727&gt;55,"56-70 dB","41-55 dB"))</x:f>
        <x:v>41-55 dB</x:v>
      </x:c>
      <x:c r="O727" t="str">
        <x:f>IF(I727&gt;70,"High",IF(I727&gt;55,"Moderate","Low"))</x:f>
        <x:v>Low</x:v>
      </x:c>
      <x:c r="P727" t="str">
        <x:f>IF(I727&gt;=70,"Yes","No")</x:f>
        <x:v>No</x:v>
      </x:c>
      <x:c r="Q727" t="str">
        <x:f>TEXT(B727,"yyyy-mm")</x:f>
        <x:v>2011-11</x:v>
      </x:c>
    </x:row>
    <x:row r="728">
      <x:c r="A728" t="str">
        <x:v>HYD05</x:v>
      </x:c>
      <x:c r="B728" s="22" t="n">
        <x:f>DATE(C728,D728,1)</x:f>
        <x:v>40878</x:v>
      </x:c>
      <x:c r="C728" t="n">
        <x:v>2011</x:v>
      </x:c>
      <x:c r="D728" t="n">
        <x:v>12</x:v>
      </x:c>
      <x:c r="E728" t="str">
        <x:f>TEXT(B728,"mmm")</x:f>
        <x:v>Dec</x:v>
      </x:c>
      <x:c r="F728" t="str">
        <x:f>"Q"&amp;ROUNDUP(D728/3,0)</x:f>
        <x:v>Q4</x:v>
      </x:c>
      <x:c r="G728" s="23" t="n">
        <x:v>52</x:v>
      </x:c>
      <x:c r="H728" s="23" t="n">
        <x:v>48</x:v>
      </x:c>
      <x:c r="I728" s="23" t="n">
        <x:v>50</x:v>
      </x:c>
      <x:c r="J728" s="23" t="n">
        <x:f>G728-H728</x:f>
        <x:v>4</x:v>
      </x:c>
      <x:c r="K728" t="str">
        <x:v>OBSERVED</x:v>
      </x:c>
      <x:c r="L728" s="24" t="n">
        <x:v>17.4474</x:v>
      </x:c>
      <x:c r="M728" s="24" t="n">
        <x:v>78.3762</x:v>
      </x:c>
      <x:c r="N728" t="str">
        <x:f>IF(I728&gt;70,"70+ dB",IF(I728&gt;55,"56-70 dB","41-55 dB"))</x:f>
        <x:v>41-55 dB</x:v>
      </x:c>
      <x:c r="O728" t="str">
        <x:f>IF(I728&gt;70,"High",IF(I728&gt;55,"Moderate","Low"))</x:f>
        <x:v>Low</x:v>
      </x:c>
      <x:c r="P728" t="str">
        <x:f>IF(I728&gt;=70,"Yes","No")</x:f>
        <x:v>No</x:v>
      </x:c>
      <x:c r="Q728" t="str">
        <x:f>TEXT(B728,"yyyy-mm")</x:f>
        <x:v>2011-12</x:v>
      </x:c>
    </x:row>
    <x:row r="729">
      <x:c r="A729" t="str">
        <x:v>HYD05</x:v>
      </x:c>
      <x:c r="B729" s="22" t="n">
        <x:f>DATE(C729,D729,1)</x:f>
        <x:v>40909</x:v>
      </x:c>
      <x:c r="C729" t="n">
        <x:v>2012</x:v>
      </x:c>
      <x:c r="D729" t="n">
        <x:v>1</x:v>
      </x:c>
      <x:c r="E729" t="str">
        <x:f>TEXT(B729,"mmm")</x:f>
        <x:v>Jan</x:v>
      </x:c>
      <x:c r="F729" t="str">
        <x:f>"Q"&amp;ROUNDUP(D729/3,0)</x:f>
        <x:v>Q1</x:v>
      </x:c>
      <x:c r="G729" s="23" t="n">
        <x:v>76</x:v>
      </x:c>
      <x:c r="H729" s="23" t="n">
        <x:v>70</x:v>
      </x:c>
      <x:c r="I729" s="23" t="n">
        <x:v>73</x:v>
      </x:c>
      <x:c r="J729" s="23" t="n">
        <x:f>G729-H729</x:f>
        <x:v>6</x:v>
      </x:c>
      <x:c r="K729" t="str">
        <x:v>OBSERVED</x:v>
      </x:c>
      <x:c r="L729" s="24" t="n">
        <x:v>17.4474</x:v>
      </x:c>
      <x:c r="M729" s="24" t="n">
        <x:v>78.3762</x:v>
      </x:c>
      <x:c r="N729" t="str">
        <x:f>IF(I729&gt;70,"70+ dB",IF(I729&gt;55,"56-70 dB","41-55 dB"))</x:f>
        <x:v>70+ dB</x:v>
      </x:c>
      <x:c r="O729" t="str">
        <x:f>IF(I729&gt;70,"High",IF(I729&gt;55,"Moderate","Low"))</x:f>
        <x:v>High</x:v>
      </x:c>
      <x:c r="P729" t="str">
        <x:f>IF(I729&gt;=70,"Yes","No")</x:f>
        <x:v>Yes</x:v>
      </x:c>
      <x:c r="Q729" t="str">
        <x:f>TEXT(B729,"yyyy-mm")</x:f>
        <x:v>2012-01</x:v>
      </x:c>
    </x:row>
    <x:row r="730">
      <x:c r="A730" t="str">
        <x:v>HYD05</x:v>
      </x:c>
      <x:c r="B730" s="22" t="n">
        <x:f>DATE(C730,D730,1)</x:f>
        <x:v>40940</x:v>
      </x:c>
      <x:c r="C730" t="n">
        <x:v>2012</x:v>
      </x:c>
      <x:c r="D730" t="n">
        <x:v>2</x:v>
      </x:c>
      <x:c r="E730" t="str">
        <x:f>TEXT(B730,"mmm")</x:f>
        <x:v>Feb</x:v>
      </x:c>
      <x:c r="F730" t="str">
        <x:f>"Q"&amp;ROUNDUP(D730/3,0)</x:f>
        <x:v>Q1</x:v>
      </x:c>
      <x:c r="G730" s="23" t="n">
        <x:v>75</x:v>
      </x:c>
      <x:c r="H730" s="23" t="n">
        <x:v>71</x:v>
      </x:c>
      <x:c r="I730" s="23" t="n">
        <x:v>73</x:v>
      </x:c>
      <x:c r="J730" s="23" t="n">
        <x:f>G730-H730</x:f>
        <x:v>4</x:v>
      </x:c>
      <x:c r="K730" t="str">
        <x:v>OBSERVED</x:v>
      </x:c>
      <x:c r="L730" s="24" t="n">
        <x:v>17.4474</x:v>
      </x:c>
      <x:c r="M730" s="24" t="n">
        <x:v>78.3762</x:v>
      </x:c>
      <x:c r="N730" t="str">
        <x:f>IF(I730&gt;70,"70+ dB",IF(I730&gt;55,"56-70 dB","41-55 dB"))</x:f>
        <x:v>70+ dB</x:v>
      </x:c>
      <x:c r="O730" t="str">
        <x:f>IF(I730&gt;70,"High",IF(I730&gt;55,"Moderate","Low"))</x:f>
        <x:v>High</x:v>
      </x:c>
      <x:c r="P730" t="str">
        <x:f>IF(I730&gt;=70,"Yes","No")</x:f>
        <x:v>Yes</x:v>
      </x:c>
      <x:c r="Q730" t="str">
        <x:f>TEXT(B730,"yyyy-mm")</x:f>
        <x:v>2012-02</x:v>
      </x:c>
    </x:row>
    <x:row r="731">
      <x:c r="A731" t="str">
        <x:v>HYD05</x:v>
      </x:c>
      <x:c r="B731" s="22" t="n">
        <x:f>DATE(C731,D731,1)</x:f>
        <x:v>40969</x:v>
      </x:c>
      <x:c r="C731" t="n">
        <x:v>2012</x:v>
      </x:c>
      <x:c r="D731" t="n">
        <x:v>3</x:v>
      </x:c>
      <x:c r="E731" t="str">
        <x:f>TEXT(B731,"mmm")</x:f>
        <x:v>Mar</x:v>
      </x:c>
      <x:c r="F731" t="str">
        <x:f>"Q"&amp;ROUNDUP(D731/3,0)</x:f>
        <x:v>Q1</x:v>
      </x:c>
      <x:c r="G731" s="23" t="n">
        <x:v>75</x:v>
      </x:c>
      <x:c r="H731" s="23" t="n">
        <x:v>70</x:v>
      </x:c>
      <x:c r="I731" s="23" t="n">
        <x:v>72.5</x:v>
      </x:c>
      <x:c r="J731" s="23" t="n">
        <x:f>G731-H731</x:f>
        <x:v>5</x:v>
      </x:c>
      <x:c r="K731" t="str">
        <x:v>OBSERVED</x:v>
      </x:c>
      <x:c r="L731" s="24" t="n">
        <x:v>17.4474</x:v>
      </x:c>
      <x:c r="M731" s="24" t="n">
        <x:v>78.3762</x:v>
      </x:c>
      <x:c r="N731" t="str">
        <x:f>IF(I731&gt;70,"70+ dB",IF(I731&gt;55,"56-70 dB","41-55 dB"))</x:f>
        <x:v>70+ dB</x:v>
      </x:c>
      <x:c r="O731" t="str">
        <x:f>IF(I731&gt;70,"High",IF(I731&gt;55,"Moderate","Low"))</x:f>
        <x:v>High</x:v>
      </x:c>
      <x:c r="P731" t="str">
        <x:f>IF(I731&gt;=70,"Yes","No")</x:f>
        <x:v>Yes</x:v>
      </x:c>
      <x:c r="Q731" t="str">
        <x:f>TEXT(B731,"yyyy-mm")</x:f>
        <x:v>2012-03</x:v>
      </x:c>
    </x:row>
    <x:row r="732">
      <x:c r="A732" t="str">
        <x:v>HYD05</x:v>
      </x:c>
      <x:c r="B732" s="22" t="n">
        <x:f>DATE(C732,D732,1)</x:f>
        <x:v>41000</x:v>
      </x:c>
      <x:c r="C732" t="n">
        <x:v>2012</x:v>
      </x:c>
      <x:c r="D732" t="n">
        <x:v>4</x:v>
      </x:c>
      <x:c r="E732" t="str">
        <x:f>TEXT(B732,"mmm")</x:f>
        <x:v>Apr</x:v>
      </x:c>
      <x:c r="F732" t="str">
        <x:f>"Q"&amp;ROUNDUP(D732/3,0)</x:f>
        <x:v>Q2</x:v>
      </x:c>
      <x:c r="G732" s="23" t="n">
        <x:v>75</x:v>
      </x:c>
      <x:c r="H732" s="23" t="n">
        <x:v>70</x:v>
      </x:c>
      <x:c r="I732" s="23" t="n">
        <x:v>72.5</x:v>
      </x:c>
      <x:c r="J732" s="23" t="n">
        <x:f>G732-H732</x:f>
        <x:v>5</x:v>
      </x:c>
      <x:c r="K732" t="str">
        <x:v>OBSERVED</x:v>
      </x:c>
      <x:c r="L732" s="24" t="n">
        <x:v>17.4474</x:v>
      </x:c>
      <x:c r="M732" s="24" t="n">
        <x:v>78.3762</x:v>
      </x:c>
      <x:c r="N732" t="str">
        <x:f>IF(I732&gt;70,"70+ dB",IF(I732&gt;55,"56-70 dB","41-55 dB"))</x:f>
        <x:v>70+ dB</x:v>
      </x:c>
      <x:c r="O732" t="str">
        <x:f>IF(I732&gt;70,"High",IF(I732&gt;55,"Moderate","Low"))</x:f>
        <x:v>High</x:v>
      </x:c>
      <x:c r="P732" t="str">
        <x:f>IF(I732&gt;=70,"Yes","No")</x:f>
        <x:v>Yes</x:v>
      </x:c>
      <x:c r="Q732" t="str">
        <x:f>TEXT(B732,"yyyy-mm")</x:f>
        <x:v>2012-04</x:v>
      </x:c>
    </x:row>
    <x:row r="733">
      <x:c r="A733" t="str">
        <x:v>HYD05</x:v>
      </x:c>
      <x:c r="B733" s="22" t="n">
        <x:f>DATE(C733,D733,1)</x:f>
        <x:v>41030</x:v>
      </x:c>
      <x:c r="C733" t="n">
        <x:v>2012</x:v>
      </x:c>
      <x:c r="D733" t="n">
        <x:v>5</x:v>
      </x:c>
      <x:c r="E733" t="str">
        <x:f>TEXT(B733,"mmm")</x:f>
        <x:v>May</x:v>
      </x:c>
      <x:c r="F733" t="str">
        <x:f>"Q"&amp;ROUNDUP(D733/3,0)</x:f>
        <x:v>Q2</x:v>
      </x:c>
      <x:c r="G733" s="23" t="n">
        <x:v>75</x:v>
      </x:c>
      <x:c r="H733" s="23" t="n">
        <x:v>70</x:v>
      </x:c>
      <x:c r="I733" s="23" t="n">
        <x:v>72.5</x:v>
      </x:c>
      <x:c r="J733" s="23" t="n">
        <x:f>G733-H733</x:f>
        <x:v>5</x:v>
      </x:c>
      <x:c r="K733" t="str">
        <x:v>OBSERVED</x:v>
      </x:c>
      <x:c r="L733" s="24" t="n">
        <x:v>17.4474</x:v>
      </x:c>
      <x:c r="M733" s="24" t="n">
        <x:v>78.3762</x:v>
      </x:c>
      <x:c r="N733" t="str">
        <x:f>IF(I733&gt;70,"70+ dB",IF(I733&gt;55,"56-70 dB","41-55 dB"))</x:f>
        <x:v>70+ dB</x:v>
      </x:c>
      <x:c r="O733" t="str">
        <x:f>IF(I733&gt;70,"High",IF(I733&gt;55,"Moderate","Low"))</x:f>
        <x:v>High</x:v>
      </x:c>
      <x:c r="P733" t="str">
        <x:f>IF(I733&gt;=70,"Yes","No")</x:f>
        <x:v>Yes</x:v>
      </x:c>
      <x:c r="Q733" t="str">
        <x:f>TEXT(B733,"yyyy-mm")</x:f>
        <x:v>2012-05</x:v>
      </x:c>
    </x:row>
    <x:row r="734">
      <x:c r="A734" t="str">
        <x:v>HYD05</x:v>
      </x:c>
      <x:c r="B734" s="22" t="n">
        <x:f>DATE(C734,D734,1)</x:f>
        <x:v>41061</x:v>
      </x:c>
      <x:c r="C734" t="n">
        <x:v>2012</x:v>
      </x:c>
      <x:c r="D734" t="n">
        <x:v>6</x:v>
      </x:c>
      <x:c r="E734" t="str">
        <x:f>TEXT(B734,"mmm")</x:f>
        <x:v>Jun</x:v>
      </x:c>
      <x:c r="F734" t="str">
        <x:f>"Q"&amp;ROUNDUP(D734/3,0)</x:f>
        <x:v>Q2</x:v>
      </x:c>
      <x:c r="G734" s="23" t="n">
        <x:v>75</x:v>
      </x:c>
      <x:c r="H734" s="23" t="n">
        <x:v>70</x:v>
      </x:c>
      <x:c r="I734" s="23" t="n">
        <x:v>72.5</x:v>
      </x:c>
      <x:c r="J734" s="23" t="n">
        <x:f>G734-H734</x:f>
        <x:v>5</x:v>
      </x:c>
      <x:c r="K734" t="str">
        <x:v>OBSERVED</x:v>
      </x:c>
      <x:c r="L734" s="24" t="n">
        <x:v>17.4474</x:v>
      </x:c>
      <x:c r="M734" s="24" t="n">
        <x:v>78.3762</x:v>
      </x:c>
      <x:c r="N734" t="str">
        <x:f>IF(I734&gt;70,"70+ dB",IF(I734&gt;55,"56-70 dB","41-55 dB"))</x:f>
        <x:v>70+ dB</x:v>
      </x:c>
      <x:c r="O734" t="str">
        <x:f>IF(I734&gt;70,"High",IF(I734&gt;55,"Moderate","Low"))</x:f>
        <x:v>High</x:v>
      </x:c>
      <x:c r="P734" t="str">
        <x:f>IF(I734&gt;=70,"Yes","No")</x:f>
        <x:v>Yes</x:v>
      </x:c>
      <x:c r="Q734" t="str">
        <x:f>TEXT(B734,"yyyy-mm")</x:f>
        <x:v>2012-06</x:v>
      </x:c>
    </x:row>
    <x:row r="735">
      <x:c r="A735" t="str">
        <x:v>HYD05</x:v>
      </x:c>
      <x:c r="B735" s="22" t="n">
        <x:f>DATE(C735,D735,1)</x:f>
        <x:v>41091</x:v>
      </x:c>
      <x:c r="C735" t="n">
        <x:v>2012</x:v>
      </x:c>
      <x:c r="D735" t="n">
        <x:v>7</x:v>
      </x:c>
      <x:c r="E735" t="str">
        <x:f>TEXT(B735,"mmm")</x:f>
        <x:v>Jul</x:v>
      </x:c>
      <x:c r="F735" t="str">
        <x:f>"Q"&amp;ROUNDUP(D735/3,0)</x:f>
        <x:v>Q3</x:v>
      </x:c>
      <x:c r="G735" s="23" t="n">
        <x:v>76</x:v>
      </x:c>
      <x:c r="H735" s="23" t="n">
        <x:v>70</x:v>
      </x:c>
      <x:c r="I735" s="23" t="n">
        <x:v>73</x:v>
      </x:c>
      <x:c r="J735" s="23" t="n">
        <x:f>G735-H735</x:f>
        <x:v>6</x:v>
      </x:c>
      <x:c r="K735" t="str">
        <x:v>OBSERVED</x:v>
      </x:c>
      <x:c r="L735" s="24" t="n">
        <x:v>17.4474</x:v>
      </x:c>
      <x:c r="M735" s="24" t="n">
        <x:v>78.3762</x:v>
      </x:c>
      <x:c r="N735" t="str">
        <x:f>IF(I735&gt;70,"70+ dB",IF(I735&gt;55,"56-70 dB","41-55 dB"))</x:f>
        <x:v>70+ dB</x:v>
      </x:c>
      <x:c r="O735" t="str">
        <x:f>IF(I735&gt;70,"High",IF(I735&gt;55,"Moderate","Low"))</x:f>
        <x:v>High</x:v>
      </x:c>
      <x:c r="P735" t="str">
        <x:f>IF(I735&gt;=70,"Yes","No")</x:f>
        <x:v>Yes</x:v>
      </x:c>
      <x:c r="Q735" t="str">
        <x:f>TEXT(B735,"yyyy-mm")</x:f>
        <x:v>2012-07</x:v>
      </x:c>
    </x:row>
    <x:row r="736">
      <x:c r="A736" t="str">
        <x:v>HYD05</x:v>
      </x:c>
      <x:c r="B736" s="22" t="n">
        <x:f>DATE(C736,D736,1)</x:f>
        <x:v>41122</x:v>
      </x:c>
      <x:c r="C736" t="n">
        <x:v>2012</x:v>
      </x:c>
      <x:c r="D736" t="n">
        <x:v>8</x:v>
      </x:c>
      <x:c r="E736" t="str">
        <x:f>TEXT(B736,"mmm")</x:f>
        <x:v>Aug</x:v>
      </x:c>
      <x:c r="F736" t="str">
        <x:f>"Q"&amp;ROUNDUP(D736/3,0)</x:f>
        <x:v>Q3</x:v>
      </x:c>
      <x:c r="G736" s="23" t="n">
        <x:v>76</x:v>
      </x:c>
      <x:c r="H736" s="23" t="n">
        <x:v>71</x:v>
      </x:c>
      <x:c r="I736" s="23" t="n">
        <x:v>73.5</x:v>
      </x:c>
      <x:c r="J736" s="23" t="n">
        <x:f>G736-H736</x:f>
        <x:v>5</x:v>
      </x:c>
      <x:c r="K736" t="str">
        <x:v>OBSERVED</x:v>
      </x:c>
      <x:c r="L736" s="24" t="n">
        <x:v>17.4474</x:v>
      </x:c>
      <x:c r="M736" s="24" t="n">
        <x:v>78.3762</x:v>
      </x:c>
      <x:c r="N736" t="str">
        <x:f>IF(I736&gt;70,"70+ dB",IF(I736&gt;55,"56-70 dB","41-55 dB"))</x:f>
        <x:v>70+ dB</x:v>
      </x:c>
      <x:c r="O736" t="str">
        <x:f>IF(I736&gt;70,"High",IF(I736&gt;55,"Moderate","Low"))</x:f>
        <x:v>High</x:v>
      </x:c>
      <x:c r="P736" t="str">
        <x:f>IF(I736&gt;=70,"Yes","No")</x:f>
        <x:v>Yes</x:v>
      </x:c>
      <x:c r="Q736" t="str">
        <x:f>TEXT(B736,"yyyy-mm")</x:f>
        <x:v>2012-08</x:v>
      </x:c>
    </x:row>
    <x:row r="737">
      <x:c r="A737" t="str">
        <x:v>HYD05</x:v>
      </x:c>
      <x:c r="B737" s="22" t="n">
        <x:f>DATE(C737,D737,1)</x:f>
        <x:v>41153</x:v>
      </x:c>
      <x:c r="C737" t="n">
        <x:v>2012</x:v>
      </x:c>
      <x:c r="D737" t="n">
        <x:v>9</x:v>
      </x:c>
      <x:c r="E737" t="str">
        <x:f>TEXT(B737,"mmm")</x:f>
        <x:v>Sep</x:v>
      </x:c>
      <x:c r="F737" t="str">
        <x:f>"Q"&amp;ROUNDUP(D737/3,0)</x:f>
        <x:v>Q3</x:v>
      </x:c>
      <x:c r="G737" s="23" t="n">
        <x:v>76</x:v>
      </x:c>
      <x:c r="H737" s="23" t="n">
        <x:v>70</x:v>
      </x:c>
      <x:c r="I737" s="23" t="n">
        <x:v>73</x:v>
      </x:c>
      <x:c r="J737" s="23" t="n">
        <x:f>G737-H737</x:f>
        <x:v>6</x:v>
      </x:c>
      <x:c r="K737" t="str">
        <x:v>OBSERVED</x:v>
      </x:c>
      <x:c r="L737" s="24" t="n">
        <x:v>17.4474</x:v>
      </x:c>
      <x:c r="M737" s="24" t="n">
        <x:v>78.3762</x:v>
      </x:c>
      <x:c r="N737" t="str">
        <x:f>IF(I737&gt;70,"70+ dB",IF(I737&gt;55,"56-70 dB","41-55 dB"))</x:f>
        <x:v>70+ dB</x:v>
      </x:c>
      <x:c r="O737" t="str">
        <x:f>IF(I737&gt;70,"High",IF(I737&gt;55,"Moderate","Low"))</x:f>
        <x:v>High</x:v>
      </x:c>
      <x:c r="P737" t="str">
        <x:f>IF(I737&gt;=70,"Yes","No")</x:f>
        <x:v>Yes</x:v>
      </x:c>
      <x:c r="Q737" t="str">
        <x:f>TEXT(B737,"yyyy-mm")</x:f>
        <x:v>2012-09</x:v>
      </x:c>
    </x:row>
    <x:row r="738">
      <x:c r="A738" t="str">
        <x:v>HYD05</x:v>
      </x:c>
      <x:c r="B738" s="22" t="n">
        <x:f>DATE(C738,D738,1)</x:f>
        <x:v>41183</x:v>
      </x:c>
      <x:c r="C738" t="n">
        <x:v>2012</x:v>
      </x:c>
      <x:c r="D738" t="n">
        <x:v>10</x:v>
      </x:c>
      <x:c r="E738" t="str">
        <x:f>TEXT(B738,"mmm")</x:f>
        <x:v>Oct</x:v>
      </x:c>
      <x:c r="F738" t="str">
        <x:f>"Q"&amp;ROUNDUP(D738/3,0)</x:f>
        <x:v>Q4</x:v>
      </x:c>
      <x:c r="G738" s="23" t="n">
        <x:v>75</x:v>
      </x:c>
      <x:c r="H738" s="23" t="n">
        <x:v>70</x:v>
      </x:c>
      <x:c r="I738" s="23" t="n">
        <x:v>72.5</x:v>
      </x:c>
      <x:c r="J738" s="23" t="n">
        <x:f>G738-H738</x:f>
        <x:v>5</x:v>
      </x:c>
      <x:c r="K738" t="str">
        <x:v>OBSERVED</x:v>
      </x:c>
      <x:c r="L738" s="24" t="n">
        <x:v>17.4474</x:v>
      </x:c>
      <x:c r="M738" s="24" t="n">
        <x:v>78.3762</x:v>
      </x:c>
      <x:c r="N738" t="str">
        <x:f>IF(I738&gt;70,"70+ dB",IF(I738&gt;55,"56-70 dB","41-55 dB"))</x:f>
        <x:v>70+ dB</x:v>
      </x:c>
      <x:c r="O738" t="str">
        <x:f>IF(I738&gt;70,"High",IF(I738&gt;55,"Moderate","Low"))</x:f>
        <x:v>High</x:v>
      </x:c>
      <x:c r="P738" t="str">
        <x:f>IF(I738&gt;=70,"Yes","No")</x:f>
        <x:v>Yes</x:v>
      </x:c>
      <x:c r="Q738" t="str">
        <x:f>TEXT(B738,"yyyy-mm")</x:f>
        <x:v>2012-10</x:v>
      </x:c>
    </x:row>
    <x:row r="739">
      <x:c r="A739" t="str">
        <x:v>HYD05</x:v>
      </x:c>
      <x:c r="B739" s="22" t="n">
        <x:f>DATE(C739,D739,1)</x:f>
        <x:v>41214</x:v>
      </x:c>
      <x:c r="C739" t="n">
        <x:v>2012</x:v>
      </x:c>
      <x:c r="D739" t="n">
        <x:v>11</x:v>
      </x:c>
      <x:c r="E739" t="str">
        <x:f>TEXT(B739,"mmm")</x:f>
        <x:v>Nov</x:v>
      </x:c>
      <x:c r="F739" t="str">
        <x:f>"Q"&amp;ROUNDUP(D739/3,0)</x:f>
        <x:v>Q4</x:v>
      </x:c>
      <x:c r="G739" s="23" t="n">
        <x:v>76</x:v>
      </x:c>
      <x:c r="H739" s="23" t="n">
        <x:v>71</x:v>
      </x:c>
      <x:c r="I739" s="23" t="n">
        <x:v>73.5</x:v>
      </x:c>
      <x:c r="J739" s="23" t="n">
        <x:f>G739-H739</x:f>
        <x:v>5</x:v>
      </x:c>
      <x:c r="K739" t="str">
        <x:v>OBSERVED</x:v>
      </x:c>
      <x:c r="L739" s="24" t="n">
        <x:v>17.4474</x:v>
      </x:c>
      <x:c r="M739" s="24" t="n">
        <x:v>78.3762</x:v>
      </x:c>
      <x:c r="N739" t="str">
        <x:f>IF(I739&gt;70,"70+ dB",IF(I739&gt;55,"56-70 dB","41-55 dB"))</x:f>
        <x:v>70+ dB</x:v>
      </x:c>
      <x:c r="O739" t="str">
        <x:f>IF(I739&gt;70,"High",IF(I739&gt;55,"Moderate","Low"))</x:f>
        <x:v>High</x:v>
      </x:c>
      <x:c r="P739" t="str">
        <x:f>IF(I739&gt;=70,"Yes","No")</x:f>
        <x:v>Yes</x:v>
      </x:c>
      <x:c r="Q739" t="str">
        <x:f>TEXT(B739,"yyyy-mm")</x:f>
        <x:v>2012-11</x:v>
      </x:c>
    </x:row>
    <x:row r="740">
      <x:c r="A740" t="str">
        <x:v>HYD05</x:v>
      </x:c>
      <x:c r="B740" s="22" t="n">
        <x:f>DATE(C740,D740,1)</x:f>
        <x:v>41244</x:v>
      </x:c>
      <x:c r="C740" t="n">
        <x:v>2012</x:v>
      </x:c>
      <x:c r="D740" t="n">
        <x:v>12</x:v>
      </x:c>
      <x:c r="E740" t="str">
        <x:f>TEXT(B740,"mmm")</x:f>
        <x:v>Dec</x:v>
      </x:c>
      <x:c r="F740" t="str">
        <x:f>"Q"&amp;ROUNDUP(D740/3,0)</x:f>
        <x:v>Q4</x:v>
      </x:c>
      <x:c r="G740" s="23" t="n">
        <x:v>76</x:v>
      </x:c>
      <x:c r="H740" s="23" t="n">
        <x:v>70</x:v>
      </x:c>
      <x:c r="I740" s="23" t="n">
        <x:v>73</x:v>
      </x:c>
      <x:c r="J740" s="23" t="n">
        <x:f>G740-H740</x:f>
        <x:v>6</x:v>
      </x:c>
      <x:c r="K740" t="str">
        <x:v>OBSERVED</x:v>
      </x:c>
      <x:c r="L740" s="24" t="n">
        <x:v>17.4474</x:v>
      </x:c>
      <x:c r="M740" s="24" t="n">
        <x:v>78.3762</x:v>
      </x:c>
      <x:c r="N740" t="str">
        <x:f>IF(I740&gt;70,"70+ dB",IF(I740&gt;55,"56-70 dB","41-55 dB"))</x:f>
        <x:v>70+ dB</x:v>
      </x:c>
      <x:c r="O740" t="str">
        <x:f>IF(I740&gt;70,"High",IF(I740&gt;55,"Moderate","Low"))</x:f>
        <x:v>High</x:v>
      </x:c>
      <x:c r="P740" t="str">
        <x:f>IF(I740&gt;=70,"Yes","No")</x:f>
        <x:v>Yes</x:v>
      </x:c>
      <x:c r="Q740" t="str">
        <x:f>TEXT(B740,"yyyy-mm")</x:f>
        <x:v>2012-12</x:v>
      </x:c>
    </x:row>
    <x:row r="741">
      <x:c r="A741" t="str">
        <x:v>HYD05</x:v>
      </x:c>
      <x:c r="B741" s="22" t="n">
        <x:f>DATE(C741,D741,1)</x:f>
        <x:v>41275</x:v>
      </x:c>
      <x:c r="C741" t="n">
        <x:v>2013</x:v>
      </x:c>
      <x:c r="D741" t="n">
        <x:v>1</x:v>
      </x:c>
      <x:c r="E741" t="str">
        <x:f>TEXT(B741,"mmm")</x:f>
        <x:v>Jan</x:v>
      </x:c>
      <x:c r="F741" t="str">
        <x:f>"Q"&amp;ROUNDUP(D741/3,0)</x:f>
        <x:v>Q1</x:v>
      </x:c>
      <x:c r="G741" s="23" t="n">
        <x:v>75</x:v>
      </x:c>
      <x:c r="H741" s="23" t="n">
        <x:v>70</x:v>
      </x:c>
      <x:c r="I741" s="23" t="n">
        <x:v>72.5</x:v>
      </x:c>
      <x:c r="J741" s="23" t="n">
        <x:f>G741-H741</x:f>
        <x:v>5</x:v>
      </x:c>
      <x:c r="K741" t="str">
        <x:v>OBSERVED</x:v>
      </x:c>
      <x:c r="L741" s="24" t="n">
        <x:v>17.4474</x:v>
      </x:c>
      <x:c r="M741" s="24" t="n">
        <x:v>78.3762</x:v>
      </x:c>
      <x:c r="N741" t="str">
        <x:f>IF(I741&gt;70,"70+ dB",IF(I741&gt;55,"56-70 dB","41-55 dB"))</x:f>
        <x:v>70+ dB</x:v>
      </x:c>
      <x:c r="O741" t="str">
        <x:f>IF(I741&gt;70,"High",IF(I741&gt;55,"Moderate","Low"))</x:f>
        <x:v>High</x:v>
      </x:c>
      <x:c r="P741" t="str">
        <x:f>IF(I741&gt;=70,"Yes","No")</x:f>
        <x:v>Yes</x:v>
      </x:c>
      <x:c r="Q741" t="str">
        <x:f>TEXT(B741,"yyyy-mm")</x:f>
        <x:v>2013-01</x:v>
      </x:c>
    </x:row>
    <x:row r="742">
      <x:c r="A742" t="str">
        <x:v>HYD05</x:v>
      </x:c>
      <x:c r="B742" s="22" t="n">
        <x:f>DATE(C742,D742,1)</x:f>
        <x:v>41306</x:v>
      </x:c>
      <x:c r="C742" t="n">
        <x:v>2013</x:v>
      </x:c>
      <x:c r="D742" t="n">
        <x:v>2</x:v>
      </x:c>
      <x:c r="E742" t="str">
        <x:f>TEXT(B742,"mmm")</x:f>
        <x:v>Feb</x:v>
      </x:c>
      <x:c r="F742" t="str">
        <x:f>"Q"&amp;ROUNDUP(D742/3,0)</x:f>
        <x:v>Q1</x:v>
      </x:c>
      <x:c r="G742" s="23" t="n">
        <x:v>76</x:v>
      </x:c>
      <x:c r="H742" s="23" t="n">
        <x:v>70</x:v>
      </x:c>
      <x:c r="I742" s="23" t="n">
        <x:v>73</x:v>
      </x:c>
      <x:c r="J742" s="23" t="n">
        <x:f>G742-H742</x:f>
        <x:v>6</x:v>
      </x:c>
      <x:c r="K742" t="str">
        <x:v>OBSERVED</x:v>
      </x:c>
      <x:c r="L742" s="24" t="n">
        <x:v>17.4474</x:v>
      </x:c>
      <x:c r="M742" s="24" t="n">
        <x:v>78.3762</x:v>
      </x:c>
      <x:c r="N742" t="str">
        <x:f>IF(I742&gt;70,"70+ dB",IF(I742&gt;55,"56-70 dB","41-55 dB"))</x:f>
        <x:v>70+ dB</x:v>
      </x:c>
      <x:c r="O742" t="str">
        <x:f>IF(I742&gt;70,"High",IF(I742&gt;55,"Moderate","Low"))</x:f>
        <x:v>High</x:v>
      </x:c>
      <x:c r="P742" t="str">
        <x:f>IF(I742&gt;=70,"Yes","No")</x:f>
        <x:v>Yes</x:v>
      </x:c>
      <x:c r="Q742" t="str">
        <x:f>TEXT(B742,"yyyy-mm")</x:f>
        <x:v>2013-02</x:v>
      </x:c>
    </x:row>
    <x:row r="743">
      <x:c r="A743" t="str">
        <x:v>HYD05</x:v>
      </x:c>
      <x:c r="B743" s="22" t="n">
        <x:f>DATE(C743,D743,1)</x:f>
        <x:v>41334</x:v>
      </x:c>
      <x:c r="C743" t="n">
        <x:v>2013</x:v>
      </x:c>
      <x:c r="D743" t="n">
        <x:v>3</x:v>
      </x:c>
      <x:c r="E743" t="str">
        <x:f>TEXT(B743,"mmm")</x:f>
        <x:v>Mar</x:v>
      </x:c>
      <x:c r="F743" t="str">
        <x:f>"Q"&amp;ROUNDUP(D743/3,0)</x:f>
        <x:v>Q1</x:v>
      </x:c>
      <x:c r="G743" s="23" t="n">
        <x:v>75</x:v>
      </x:c>
      <x:c r="H743" s="23" t="n">
        <x:v>70</x:v>
      </x:c>
      <x:c r="I743" s="23" t="n">
        <x:v>72.5</x:v>
      </x:c>
      <x:c r="J743" s="23" t="n">
        <x:f>G743-H743</x:f>
        <x:v>5</x:v>
      </x:c>
      <x:c r="K743" t="str">
        <x:v>OBSERVED</x:v>
      </x:c>
      <x:c r="L743" s="24" t="n">
        <x:v>17.4474</x:v>
      </x:c>
      <x:c r="M743" s="24" t="n">
        <x:v>78.3762</x:v>
      </x:c>
      <x:c r="N743" t="str">
        <x:f>IF(I743&gt;70,"70+ dB",IF(I743&gt;55,"56-70 dB","41-55 dB"))</x:f>
        <x:v>70+ dB</x:v>
      </x:c>
      <x:c r="O743" t="str">
        <x:f>IF(I743&gt;70,"High",IF(I743&gt;55,"Moderate","Low"))</x:f>
        <x:v>High</x:v>
      </x:c>
      <x:c r="P743" t="str">
        <x:f>IF(I743&gt;=70,"Yes","No")</x:f>
        <x:v>Yes</x:v>
      </x:c>
      <x:c r="Q743" t="str">
        <x:f>TEXT(B743,"yyyy-mm")</x:f>
        <x:v>2013-03</x:v>
      </x:c>
    </x:row>
    <x:row r="744">
      <x:c r="A744" t="str">
        <x:v>HYD05</x:v>
      </x:c>
      <x:c r="B744" s="22" t="n">
        <x:f>DATE(C744,D744,1)</x:f>
        <x:v>41365</x:v>
      </x:c>
      <x:c r="C744" t="n">
        <x:v>2013</x:v>
      </x:c>
      <x:c r="D744" t="n">
        <x:v>4</x:v>
      </x:c>
      <x:c r="E744" t="str">
        <x:f>TEXT(B744,"mmm")</x:f>
        <x:v>Apr</x:v>
      </x:c>
      <x:c r="F744" t="str">
        <x:f>"Q"&amp;ROUNDUP(D744/3,0)</x:f>
        <x:v>Q2</x:v>
      </x:c>
      <x:c r="G744" s="23" t="n">
        <x:v>75</x:v>
      </x:c>
      <x:c r="H744" s="23" t="n">
        <x:v>70</x:v>
      </x:c>
      <x:c r="I744" s="23" t="n">
        <x:v>72.5</x:v>
      </x:c>
      <x:c r="J744" s="23" t="n">
        <x:f>G744-H744</x:f>
        <x:v>5</x:v>
      </x:c>
      <x:c r="K744" t="str">
        <x:v>OBSERVED</x:v>
      </x:c>
      <x:c r="L744" s="24" t="n">
        <x:v>17.4474</x:v>
      </x:c>
      <x:c r="M744" s="24" t="n">
        <x:v>78.3762</x:v>
      </x:c>
      <x:c r="N744" t="str">
        <x:f>IF(I744&gt;70,"70+ dB",IF(I744&gt;55,"56-70 dB","41-55 dB"))</x:f>
        <x:v>70+ dB</x:v>
      </x:c>
      <x:c r="O744" t="str">
        <x:f>IF(I744&gt;70,"High",IF(I744&gt;55,"Moderate","Low"))</x:f>
        <x:v>High</x:v>
      </x:c>
      <x:c r="P744" t="str">
        <x:f>IF(I744&gt;=70,"Yes","No")</x:f>
        <x:v>Yes</x:v>
      </x:c>
      <x:c r="Q744" t="str">
        <x:f>TEXT(B744,"yyyy-mm")</x:f>
        <x:v>2013-04</x:v>
      </x:c>
    </x:row>
    <x:row r="745">
      <x:c r="A745" t="str">
        <x:v>HYD05</x:v>
      </x:c>
      <x:c r="B745" s="22" t="n">
        <x:f>DATE(C745,D745,1)</x:f>
        <x:v>41395</x:v>
      </x:c>
      <x:c r="C745" t="n">
        <x:v>2013</x:v>
      </x:c>
      <x:c r="D745" t="n">
        <x:v>5</x:v>
      </x:c>
      <x:c r="E745" t="str">
        <x:f>TEXT(B745,"mmm")</x:f>
        <x:v>May</x:v>
      </x:c>
      <x:c r="F745" t="str">
        <x:f>"Q"&amp;ROUNDUP(D745/3,0)</x:f>
        <x:v>Q2</x:v>
      </x:c>
      <x:c r="G745" s="23" t="n">
        <x:v>75</x:v>
      </x:c>
      <x:c r="H745" s="23" t="n">
        <x:v>70</x:v>
      </x:c>
      <x:c r="I745" s="23" t="n">
        <x:v>72.5</x:v>
      </x:c>
      <x:c r="J745" s="23" t="n">
        <x:f>G745-H745</x:f>
        <x:v>5</x:v>
      </x:c>
      <x:c r="K745" t="str">
        <x:v>OBSERVED</x:v>
      </x:c>
      <x:c r="L745" s="24" t="n">
        <x:v>17.4474</x:v>
      </x:c>
      <x:c r="M745" s="24" t="n">
        <x:v>78.3762</x:v>
      </x:c>
      <x:c r="N745" t="str">
        <x:f>IF(I745&gt;70,"70+ dB",IF(I745&gt;55,"56-70 dB","41-55 dB"))</x:f>
        <x:v>70+ dB</x:v>
      </x:c>
      <x:c r="O745" t="str">
        <x:f>IF(I745&gt;70,"High",IF(I745&gt;55,"Moderate","Low"))</x:f>
        <x:v>High</x:v>
      </x:c>
      <x:c r="P745" t="str">
        <x:f>IF(I745&gt;=70,"Yes","No")</x:f>
        <x:v>Yes</x:v>
      </x:c>
      <x:c r="Q745" t="str">
        <x:f>TEXT(B745,"yyyy-mm")</x:f>
        <x:v>2013-05</x:v>
      </x:c>
    </x:row>
    <x:row r="746">
      <x:c r="A746" t="str">
        <x:v>HYD05</x:v>
      </x:c>
      <x:c r="B746" s="22" t="n">
        <x:f>DATE(C746,D746,1)</x:f>
        <x:v>41426</x:v>
      </x:c>
      <x:c r="C746" t="n">
        <x:v>2013</x:v>
      </x:c>
      <x:c r="D746" t="n">
        <x:v>6</x:v>
      </x:c>
      <x:c r="E746" t="str">
        <x:f>TEXT(B746,"mmm")</x:f>
        <x:v>Jun</x:v>
      </x:c>
      <x:c r="F746" t="str">
        <x:f>"Q"&amp;ROUNDUP(D746/3,0)</x:f>
        <x:v>Q2</x:v>
      </x:c>
      <x:c r="G746" s="23" t="n">
        <x:v>75</x:v>
      </x:c>
      <x:c r="H746" s="23" t="n">
        <x:v>71</x:v>
      </x:c>
      <x:c r="I746" s="23" t="n">
        <x:v>73</x:v>
      </x:c>
      <x:c r="J746" s="23" t="n">
        <x:f>G746-H746</x:f>
        <x:v>4</x:v>
      </x:c>
      <x:c r="K746" t="str">
        <x:v>OBSERVED</x:v>
      </x:c>
      <x:c r="L746" s="24" t="n">
        <x:v>17.4474</x:v>
      </x:c>
      <x:c r="M746" s="24" t="n">
        <x:v>78.3762</x:v>
      </x:c>
      <x:c r="N746" t="str">
        <x:f>IF(I746&gt;70,"70+ dB",IF(I746&gt;55,"56-70 dB","41-55 dB"))</x:f>
        <x:v>70+ dB</x:v>
      </x:c>
      <x:c r="O746" t="str">
        <x:f>IF(I746&gt;70,"High",IF(I746&gt;55,"Moderate","Low"))</x:f>
        <x:v>High</x:v>
      </x:c>
      <x:c r="P746" t="str">
        <x:f>IF(I746&gt;=70,"Yes","No")</x:f>
        <x:v>Yes</x:v>
      </x:c>
      <x:c r="Q746" t="str">
        <x:f>TEXT(B746,"yyyy-mm")</x:f>
        <x:v>2013-06</x:v>
      </x:c>
    </x:row>
    <x:row r="747">
      <x:c r="A747" t="str">
        <x:v>HYD05</x:v>
      </x:c>
      <x:c r="B747" s="22" t="n">
        <x:f>DATE(C747,D747,1)</x:f>
        <x:v>41456</x:v>
      </x:c>
      <x:c r="C747" t="n">
        <x:v>2013</x:v>
      </x:c>
      <x:c r="D747" t="n">
        <x:v>7</x:v>
      </x:c>
      <x:c r="E747" t="str">
        <x:f>TEXT(B747,"mmm")</x:f>
        <x:v>Jul</x:v>
      </x:c>
      <x:c r="F747" t="str">
        <x:f>"Q"&amp;ROUNDUP(D747/3,0)</x:f>
        <x:v>Q3</x:v>
      </x:c>
      <x:c r="G747" s="23" t="n">
        <x:v>76</x:v>
      </x:c>
      <x:c r="H747" s="23" t="n">
        <x:v>70</x:v>
      </x:c>
      <x:c r="I747" s="23" t="n">
        <x:v>73</x:v>
      </x:c>
      <x:c r="J747" s="23" t="n">
        <x:f>G747-H747</x:f>
        <x:v>6</x:v>
      </x:c>
      <x:c r="K747" t="str">
        <x:v>OBSERVED</x:v>
      </x:c>
      <x:c r="L747" s="24" t="n">
        <x:v>17.4474</x:v>
      </x:c>
      <x:c r="M747" s="24" t="n">
        <x:v>78.3762</x:v>
      </x:c>
      <x:c r="N747" t="str">
        <x:f>IF(I747&gt;70,"70+ dB",IF(I747&gt;55,"56-70 dB","41-55 dB"))</x:f>
        <x:v>70+ dB</x:v>
      </x:c>
      <x:c r="O747" t="str">
        <x:f>IF(I747&gt;70,"High",IF(I747&gt;55,"Moderate","Low"))</x:f>
        <x:v>High</x:v>
      </x:c>
      <x:c r="P747" t="str">
        <x:f>IF(I747&gt;=70,"Yes","No")</x:f>
        <x:v>Yes</x:v>
      </x:c>
      <x:c r="Q747" t="str">
        <x:f>TEXT(B747,"yyyy-mm")</x:f>
        <x:v>2013-07</x:v>
      </x:c>
    </x:row>
    <x:row r="748">
      <x:c r="A748" t="str">
        <x:v>HYD05</x:v>
      </x:c>
      <x:c r="B748" s="22" t="n">
        <x:f>DATE(C748,D748,1)</x:f>
        <x:v>41487</x:v>
      </x:c>
      <x:c r="C748" t="n">
        <x:v>2013</x:v>
      </x:c>
      <x:c r="D748" t="n">
        <x:v>8</x:v>
      </x:c>
      <x:c r="E748" t="str">
        <x:f>TEXT(B748,"mmm")</x:f>
        <x:v>Aug</x:v>
      </x:c>
      <x:c r="F748" t="str">
        <x:f>"Q"&amp;ROUNDUP(D748/3,0)</x:f>
        <x:v>Q3</x:v>
      </x:c>
      <x:c r="G748" s="23" t="n">
        <x:v>75</x:v>
      </x:c>
      <x:c r="H748" s="23" t="n">
        <x:v>70</x:v>
      </x:c>
      <x:c r="I748" s="23" t="n">
        <x:v>72.5</x:v>
      </x:c>
      <x:c r="J748" s="23" t="n">
        <x:f>G748-H748</x:f>
        <x:v>5</x:v>
      </x:c>
      <x:c r="K748" t="str">
        <x:v>OBSERVED</x:v>
      </x:c>
      <x:c r="L748" s="24" t="n">
        <x:v>17.4474</x:v>
      </x:c>
      <x:c r="M748" s="24" t="n">
        <x:v>78.3762</x:v>
      </x:c>
      <x:c r="N748" t="str">
        <x:f>IF(I748&gt;70,"70+ dB",IF(I748&gt;55,"56-70 dB","41-55 dB"))</x:f>
        <x:v>70+ dB</x:v>
      </x:c>
      <x:c r="O748" t="str">
        <x:f>IF(I748&gt;70,"High",IF(I748&gt;55,"Moderate","Low"))</x:f>
        <x:v>High</x:v>
      </x:c>
      <x:c r="P748" t="str">
        <x:f>IF(I748&gt;=70,"Yes","No")</x:f>
        <x:v>Yes</x:v>
      </x:c>
      <x:c r="Q748" t="str">
        <x:f>TEXT(B748,"yyyy-mm")</x:f>
        <x:v>2013-08</x:v>
      </x:c>
    </x:row>
    <x:row r="749">
      <x:c r="A749" t="str">
        <x:v>HYD05</x:v>
      </x:c>
      <x:c r="B749" s="22" t="n">
        <x:f>DATE(C749,D749,1)</x:f>
        <x:v>41518</x:v>
      </x:c>
      <x:c r="C749" t="n">
        <x:v>2013</x:v>
      </x:c>
      <x:c r="D749" t="n">
        <x:v>9</x:v>
      </x:c>
      <x:c r="E749" t="str">
        <x:f>TEXT(B749,"mmm")</x:f>
        <x:v>Sep</x:v>
      </x:c>
      <x:c r="F749" t="str">
        <x:f>"Q"&amp;ROUNDUP(D749/3,0)</x:f>
        <x:v>Q3</x:v>
      </x:c>
      <x:c r="G749" s="23" t="n">
        <x:v>76</x:v>
      </x:c>
      <x:c r="H749" s="23" t="n">
        <x:v>71</x:v>
      </x:c>
      <x:c r="I749" s="23" t="n">
        <x:v>73.5</x:v>
      </x:c>
      <x:c r="J749" s="23" t="n">
        <x:f>G749-H749</x:f>
        <x:v>5</x:v>
      </x:c>
      <x:c r="K749" t="str">
        <x:v>OBSERVED</x:v>
      </x:c>
      <x:c r="L749" s="24" t="n">
        <x:v>17.4474</x:v>
      </x:c>
      <x:c r="M749" s="24" t="n">
        <x:v>78.3762</x:v>
      </x:c>
      <x:c r="N749" t="str">
        <x:f>IF(I749&gt;70,"70+ dB",IF(I749&gt;55,"56-70 dB","41-55 dB"))</x:f>
        <x:v>70+ dB</x:v>
      </x:c>
      <x:c r="O749" t="str">
        <x:f>IF(I749&gt;70,"High",IF(I749&gt;55,"Moderate","Low"))</x:f>
        <x:v>High</x:v>
      </x:c>
      <x:c r="P749" t="str">
        <x:f>IF(I749&gt;=70,"Yes","No")</x:f>
        <x:v>Yes</x:v>
      </x:c>
      <x:c r="Q749" t="str">
        <x:f>TEXT(B749,"yyyy-mm")</x:f>
        <x:v>2013-09</x:v>
      </x:c>
    </x:row>
    <x:row r="750">
      <x:c r="A750" t="str">
        <x:v>HYD05</x:v>
      </x:c>
      <x:c r="B750" s="22" t="n">
        <x:f>DATE(C750,D750,1)</x:f>
        <x:v>41548</x:v>
      </x:c>
      <x:c r="C750" t="n">
        <x:v>2013</x:v>
      </x:c>
      <x:c r="D750" t="n">
        <x:v>10</x:v>
      </x:c>
      <x:c r="E750" t="str">
        <x:f>TEXT(B750,"mmm")</x:f>
        <x:v>Oct</x:v>
      </x:c>
      <x:c r="F750" t="str">
        <x:f>"Q"&amp;ROUNDUP(D750/3,0)</x:f>
        <x:v>Q4</x:v>
      </x:c>
      <x:c r="G750" s="23" t="n">
        <x:v>79</x:v>
      </x:c>
      <x:c r="H750" s="23" t="n">
        <x:v>73</x:v>
      </x:c>
      <x:c r="I750" s="23" t="n">
        <x:v>76</x:v>
      </x:c>
      <x:c r="J750" s="23" t="n">
        <x:f>G750-H750</x:f>
        <x:v>6</x:v>
      </x:c>
      <x:c r="K750" t="str">
        <x:v>OBSERVED</x:v>
      </x:c>
      <x:c r="L750" s="24" t="n">
        <x:v>17.4474</x:v>
      </x:c>
      <x:c r="M750" s="24" t="n">
        <x:v>78.3762</x:v>
      </x:c>
      <x:c r="N750" t="str">
        <x:f>IF(I750&gt;70,"70+ dB",IF(I750&gt;55,"56-70 dB","41-55 dB"))</x:f>
        <x:v>70+ dB</x:v>
      </x:c>
      <x:c r="O750" t="str">
        <x:f>IF(I750&gt;70,"High",IF(I750&gt;55,"Moderate","Low"))</x:f>
        <x:v>High</x:v>
      </x:c>
      <x:c r="P750" t="str">
        <x:f>IF(I750&gt;=70,"Yes","No")</x:f>
        <x:v>Yes</x:v>
      </x:c>
      <x:c r="Q750" t="str">
        <x:f>TEXT(B750,"yyyy-mm")</x:f>
        <x:v>2013-10</x:v>
      </x:c>
    </x:row>
    <x:row r="751">
      <x:c r="A751" t="str">
        <x:v>HYD05</x:v>
      </x:c>
      <x:c r="B751" s="22" t="n">
        <x:f>DATE(C751,D751,1)</x:f>
        <x:v>41579</x:v>
      </x:c>
      <x:c r="C751" t="n">
        <x:v>2013</x:v>
      </x:c>
      <x:c r="D751" t="n">
        <x:v>11</x:v>
      </x:c>
      <x:c r="E751" t="str">
        <x:f>TEXT(B751,"mmm")</x:f>
        <x:v>Nov</x:v>
      </x:c>
      <x:c r="F751" t="str">
        <x:f>"Q"&amp;ROUNDUP(D751/3,0)</x:f>
        <x:v>Q4</x:v>
      </x:c>
      <x:c r="G751" s="23" t="n">
        <x:v>79</x:v>
      </x:c>
      <x:c r="H751" s="23" t="n">
        <x:v>73</x:v>
      </x:c>
      <x:c r="I751" s="23" t="n">
        <x:v>76</x:v>
      </x:c>
      <x:c r="J751" s="23" t="n">
        <x:f>G751-H751</x:f>
        <x:v>6</x:v>
      </x:c>
      <x:c r="K751" t="str">
        <x:v>OBSERVED</x:v>
      </x:c>
      <x:c r="L751" s="24" t="n">
        <x:v>17.4474</x:v>
      </x:c>
      <x:c r="M751" s="24" t="n">
        <x:v>78.3762</x:v>
      </x:c>
      <x:c r="N751" t="str">
        <x:f>IF(I751&gt;70,"70+ dB",IF(I751&gt;55,"56-70 dB","41-55 dB"))</x:f>
        <x:v>70+ dB</x:v>
      </x:c>
      <x:c r="O751" t="str">
        <x:f>IF(I751&gt;70,"High",IF(I751&gt;55,"Moderate","Low"))</x:f>
        <x:v>High</x:v>
      </x:c>
      <x:c r="P751" t="str">
        <x:f>IF(I751&gt;=70,"Yes","No")</x:f>
        <x:v>Yes</x:v>
      </x:c>
      <x:c r="Q751" t="str">
        <x:f>TEXT(B751,"yyyy-mm")</x:f>
        <x:v>2013-11</x:v>
      </x:c>
    </x:row>
    <x:row r="752">
      <x:c r="A752" t="str">
        <x:v>HYD05</x:v>
      </x:c>
      <x:c r="B752" s="22" t="n">
        <x:f>DATE(C752,D752,1)</x:f>
        <x:v>41609</x:v>
      </x:c>
      <x:c r="C752" t="n">
        <x:v>2013</x:v>
      </x:c>
      <x:c r="D752" t="n">
        <x:v>12</x:v>
      </x:c>
      <x:c r="E752" t="str">
        <x:f>TEXT(B752,"mmm")</x:f>
        <x:v>Dec</x:v>
      </x:c>
      <x:c r="F752" t="str">
        <x:f>"Q"&amp;ROUNDUP(D752/3,0)</x:f>
        <x:v>Q4</x:v>
      </x:c>
      <x:c r="G752" s="23" t="n">
        <x:v>79</x:v>
      </x:c>
      <x:c r="H752" s="23" t="n">
        <x:v>73</x:v>
      </x:c>
      <x:c r="I752" s="23" t="n">
        <x:v>76</x:v>
      </x:c>
      <x:c r="J752" s="23" t="n">
        <x:f>G752-H752</x:f>
        <x:v>6</x:v>
      </x:c>
      <x:c r="K752" t="str">
        <x:v>OBSERVED</x:v>
      </x:c>
      <x:c r="L752" s="24" t="n">
        <x:v>17.4474</x:v>
      </x:c>
      <x:c r="M752" s="24" t="n">
        <x:v>78.3762</x:v>
      </x:c>
      <x:c r="N752" t="str">
        <x:f>IF(I752&gt;70,"70+ dB",IF(I752&gt;55,"56-70 dB","41-55 dB"))</x:f>
        <x:v>70+ dB</x:v>
      </x:c>
      <x:c r="O752" t="str">
        <x:f>IF(I752&gt;70,"High",IF(I752&gt;55,"Moderate","Low"))</x:f>
        <x:v>High</x:v>
      </x:c>
      <x:c r="P752" t="str">
        <x:f>IF(I752&gt;=70,"Yes","No")</x:f>
        <x:v>Yes</x:v>
      </x:c>
      <x:c r="Q752" t="str">
        <x:f>TEXT(B752,"yyyy-mm")</x:f>
        <x:v>2013-12</x:v>
      </x:c>
    </x:row>
    <x:row r="753">
      <x:c r="A753" t="str">
        <x:v>HYD05</x:v>
      </x:c>
      <x:c r="B753" s="22" t="n">
        <x:f>DATE(C753,D753,1)</x:f>
        <x:v>41640</x:v>
      </x:c>
      <x:c r="C753" t="n">
        <x:v>2014</x:v>
      </x:c>
      <x:c r="D753" t="n">
        <x:v>1</x:v>
      </x:c>
      <x:c r="E753" t="str">
        <x:f>TEXT(B753,"mmm")</x:f>
        <x:v>Jan</x:v>
      </x:c>
      <x:c r="F753" t="str">
        <x:f>"Q"&amp;ROUNDUP(D753/3,0)</x:f>
        <x:v>Q1</x:v>
      </x:c>
      <x:c r="G753" s="23" t="n">
        <x:v>79</x:v>
      </x:c>
      <x:c r="H753" s="23" t="n">
        <x:v>73</x:v>
      </x:c>
      <x:c r="I753" s="23" t="n">
        <x:v>76</x:v>
      </x:c>
      <x:c r="J753" s="23" t="n">
        <x:f>G753-H753</x:f>
        <x:v>6</x:v>
      </x:c>
      <x:c r="K753" t="str">
        <x:v>OBSERVED</x:v>
      </x:c>
      <x:c r="L753" s="24" t="n">
        <x:v>17.4474</x:v>
      </x:c>
      <x:c r="M753" s="24" t="n">
        <x:v>78.3762</x:v>
      </x:c>
      <x:c r="N753" t="str">
        <x:f>IF(I753&gt;70,"70+ dB",IF(I753&gt;55,"56-70 dB","41-55 dB"))</x:f>
        <x:v>70+ dB</x:v>
      </x:c>
      <x:c r="O753" t="str">
        <x:f>IF(I753&gt;70,"High",IF(I753&gt;55,"Moderate","Low"))</x:f>
        <x:v>High</x:v>
      </x:c>
      <x:c r="P753" t="str">
        <x:f>IF(I753&gt;=70,"Yes","No")</x:f>
        <x:v>Yes</x:v>
      </x:c>
      <x:c r="Q753" t="str">
        <x:f>TEXT(B753,"yyyy-mm")</x:f>
        <x:v>2014-01</x:v>
      </x:c>
    </x:row>
    <x:row r="754">
      <x:c r="A754" t="str">
        <x:v>HYD05</x:v>
      </x:c>
      <x:c r="B754" s="22" t="n">
        <x:f>DATE(C754,D754,1)</x:f>
        <x:v>41671</x:v>
      </x:c>
      <x:c r="C754" t="n">
        <x:v>2014</x:v>
      </x:c>
      <x:c r="D754" t="n">
        <x:v>2</x:v>
      </x:c>
      <x:c r="E754" t="str">
        <x:f>TEXT(B754,"mmm")</x:f>
        <x:v>Feb</x:v>
      </x:c>
      <x:c r="F754" t="str">
        <x:f>"Q"&amp;ROUNDUP(D754/3,0)</x:f>
        <x:v>Q1</x:v>
      </x:c>
      <x:c r="G754" s="23" t="n">
        <x:v>79</x:v>
      </x:c>
      <x:c r="H754" s="23" t="n">
        <x:v>74</x:v>
      </x:c>
      <x:c r="I754" s="23" t="n">
        <x:v>76.5</x:v>
      </x:c>
      <x:c r="J754" s="23" t="n">
        <x:f>G754-H754</x:f>
        <x:v>5</x:v>
      </x:c>
      <x:c r="K754" t="str">
        <x:v>OBSERVED</x:v>
      </x:c>
      <x:c r="L754" s="24" t="n">
        <x:v>17.4474</x:v>
      </x:c>
      <x:c r="M754" s="24" t="n">
        <x:v>78.3762</x:v>
      </x:c>
      <x:c r="N754" t="str">
        <x:f>IF(I754&gt;70,"70+ dB",IF(I754&gt;55,"56-70 dB","41-55 dB"))</x:f>
        <x:v>70+ dB</x:v>
      </x:c>
      <x:c r="O754" t="str">
        <x:f>IF(I754&gt;70,"High",IF(I754&gt;55,"Moderate","Low"))</x:f>
        <x:v>High</x:v>
      </x:c>
      <x:c r="P754" t="str">
        <x:f>IF(I754&gt;=70,"Yes","No")</x:f>
        <x:v>Yes</x:v>
      </x:c>
      <x:c r="Q754" t="str">
        <x:f>TEXT(B754,"yyyy-mm")</x:f>
        <x:v>2014-02</x:v>
      </x:c>
    </x:row>
    <x:row r="755">
      <x:c r="A755" t="str">
        <x:v>HYD05</x:v>
      </x:c>
      <x:c r="B755" s="22" t="n">
        <x:f>DATE(C755,D755,1)</x:f>
        <x:v>41699</x:v>
      </x:c>
      <x:c r="C755" t="n">
        <x:v>2014</x:v>
      </x:c>
      <x:c r="D755" t="n">
        <x:v>3</x:v>
      </x:c>
      <x:c r="E755" t="str">
        <x:f>TEXT(B755,"mmm")</x:f>
        <x:v>Mar</x:v>
      </x:c>
      <x:c r="F755" t="str">
        <x:f>"Q"&amp;ROUNDUP(D755/3,0)</x:f>
        <x:v>Q1</x:v>
      </x:c>
      <x:c r="G755" s="23" t="n">
        <x:v>78</x:v>
      </x:c>
      <x:c r="H755" s="23" t="n">
        <x:v>73</x:v>
      </x:c>
      <x:c r="I755" s="23" t="n">
        <x:v>75.5</x:v>
      </x:c>
      <x:c r="J755" s="23" t="n">
        <x:f>G755-H755</x:f>
        <x:v>5</x:v>
      </x:c>
      <x:c r="K755" t="str">
        <x:v>OBSERVED</x:v>
      </x:c>
      <x:c r="L755" s="24" t="n">
        <x:v>17.4474</x:v>
      </x:c>
      <x:c r="M755" s="24" t="n">
        <x:v>78.3762</x:v>
      </x:c>
      <x:c r="N755" t="str">
        <x:f>IF(I755&gt;70,"70+ dB",IF(I755&gt;55,"56-70 dB","41-55 dB"))</x:f>
        <x:v>70+ dB</x:v>
      </x:c>
      <x:c r="O755" t="str">
        <x:f>IF(I755&gt;70,"High",IF(I755&gt;55,"Moderate","Low"))</x:f>
        <x:v>High</x:v>
      </x:c>
      <x:c r="P755" t="str">
        <x:f>IF(I755&gt;=70,"Yes","No")</x:f>
        <x:v>Yes</x:v>
      </x:c>
      <x:c r="Q755" t="str">
        <x:f>TEXT(B755,"yyyy-mm")</x:f>
        <x:v>2014-03</x:v>
      </x:c>
    </x:row>
    <x:row r="756">
      <x:c r="A756" t="str">
        <x:v>HYD05</x:v>
      </x:c>
      <x:c r="B756" s="22" t="n">
        <x:f>DATE(C756,D756,1)</x:f>
        <x:v>41730</x:v>
      </x:c>
      <x:c r="C756" t="n">
        <x:v>2014</x:v>
      </x:c>
      <x:c r="D756" t="n">
        <x:v>4</x:v>
      </x:c>
      <x:c r="E756" t="str">
        <x:f>TEXT(B756,"mmm")</x:f>
        <x:v>Apr</x:v>
      </x:c>
      <x:c r="F756" t="str">
        <x:f>"Q"&amp;ROUNDUP(D756/3,0)</x:f>
        <x:v>Q2</x:v>
      </x:c>
      <x:c r="G756" s="23" t="n">
        <x:v>78</x:v>
      </x:c>
      <x:c r="H756" s="23" t="n">
        <x:v>73</x:v>
      </x:c>
      <x:c r="I756" s="23" t="n">
        <x:v>75.5</x:v>
      </x:c>
      <x:c r="J756" s="23" t="n">
        <x:f>G756-H756</x:f>
        <x:v>5</x:v>
      </x:c>
      <x:c r="K756" t="str">
        <x:v>OBSERVED</x:v>
      </x:c>
      <x:c r="L756" s="24" t="n">
        <x:v>17.4474</x:v>
      </x:c>
      <x:c r="M756" s="24" t="n">
        <x:v>78.3762</x:v>
      </x:c>
      <x:c r="N756" t="str">
        <x:f>IF(I756&gt;70,"70+ dB",IF(I756&gt;55,"56-70 dB","41-55 dB"))</x:f>
        <x:v>70+ dB</x:v>
      </x:c>
      <x:c r="O756" t="str">
        <x:f>IF(I756&gt;70,"High",IF(I756&gt;55,"Moderate","Low"))</x:f>
        <x:v>High</x:v>
      </x:c>
      <x:c r="P756" t="str">
        <x:f>IF(I756&gt;=70,"Yes","No")</x:f>
        <x:v>Yes</x:v>
      </x:c>
      <x:c r="Q756" t="str">
        <x:f>TEXT(B756,"yyyy-mm")</x:f>
        <x:v>2014-04</x:v>
      </x:c>
    </x:row>
    <x:row r="757">
      <x:c r="A757" t="str">
        <x:v>HYD05</x:v>
      </x:c>
      <x:c r="B757" s="22" t="n">
        <x:f>DATE(C757,D757,1)</x:f>
        <x:v>41760</x:v>
      </x:c>
      <x:c r="C757" t="n">
        <x:v>2014</x:v>
      </x:c>
      <x:c r="D757" t="n">
        <x:v>5</x:v>
      </x:c>
      <x:c r="E757" t="str">
        <x:f>TEXT(B757,"mmm")</x:f>
        <x:v>May</x:v>
      </x:c>
      <x:c r="F757" t="str">
        <x:f>"Q"&amp;ROUNDUP(D757/3,0)</x:f>
        <x:v>Q2</x:v>
      </x:c>
      <x:c r="G757" s="23" t="n">
        <x:v>78</x:v>
      </x:c>
      <x:c r="H757" s="23" t="n">
        <x:v>73</x:v>
      </x:c>
      <x:c r="I757" s="23" t="n">
        <x:v>75.5</x:v>
      </x:c>
      <x:c r="J757" s="23" t="n">
        <x:f>G757-H757</x:f>
        <x:v>5</x:v>
      </x:c>
      <x:c r="K757" t="str">
        <x:v>OBSERVED</x:v>
      </x:c>
      <x:c r="L757" s="24" t="n">
        <x:v>17.4474</x:v>
      </x:c>
      <x:c r="M757" s="24" t="n">
        <x:v>78.3762</x:v>
      </x:c>
      <x:c r="N757" t="str">
        <x:f>IF(I757&gt;70,"70+ dB",IF(I757&gt;55,"56-70 dB","41-55 dB"))</x:f>
        <x:v>70+ dB</x:v>
      </x:c>
      <x:c r="O757" t="str">
        <x:f>IF(I757&gt;70,"High",IF(I757&gt;55,"Moderate","Low"))</x:f>
        <x:v>High</x:v>
      </x:c>
      <x:c r="P757" t="str">
        <x:f>IF(I757&gt;=70,"Yes","No")</x:f>
        <x:v>Yes</x:v>
      </x:c>
      <x:c r="Q757" t="str">
        <x:f>TEXT(B757,"yyyy-mm")</x:f>
        <x:v>2014-05</x:v>
      </x:c>
    </x:row>
    <x:row r="758">
      <x:c r="A758" t="str">
        <x:v>HYD05</x:v>
      </x:c>
      <x:c r="B758" s="22" t="n">
        <x:f>DATE(C758,D758,1)</x:f>
        <x:v>41791</x:v>
      </x:c>
      <x:c r="C758" t="n">
        <x:v>2014</x:v>
      </x:c>
      <x:c r="D758" t="n">
        <x:v>6</x:v>
      </x:c>
      <x:c r="E758" t="str">
        <x:f>TEXT(B758,"mmm")</x:f>
        <x:v>Jun</x:v>
      </x:c>
      <x:c r="F758" t="str">
        <x:f>"Q"&amp;ROUNDUP(D758/3,0)</x:f>
        <x:v>Q2</x:v>
      </x:c>
      <x:c r="G758" s="23" t="n">
        <x:v>78</x:v>
      </x:c>
      <x:c r="H758" s="23" t="n">
        <x:v>73</x:v>
      </x:c>
      <x:c r="I758" s="23" t="n">
        <x:v>75.5</x:v>
      </x:c>
      <x:c r="J758" s="23" t="n">
        <x:f>G758-H758</x:f>
        <x:v>5</x:v>
      </x:c>
      <x:c r="K758" t="str">
        <x:v>OBSERVED</x:v>
      </x:c>
      <x:c r="L758" s="24" t="n">
        <x:v>17.4474</x:v>
      </x:c>
      <x:c r="M758" s="24" t="n">
        <x:v>78.3762</x:v>
      </x:c>
      <x:c r="N758" t="str">
        <x:f>IF(I758&gt;70,"70+ dB",IF(I758&gt;55,"56-70 dB","41-55 dB"))</x:f>
        <x:v>70+ dB</x:v>
      </x:c>
      <x:c r="O758" t="str">
        <x:f>IF(I758&gt;70,"High",IF(I758&gt;55,"Moderate","Low"))</x:f>
        <x:v>High</x:v>
      </x:c>
      <x:c r="P758" t="str">
        <x:f>IF(I758&gt;=70,"Yes","No")</x:f>
        <x:v>Yes</x:v>
      </x:c>
      <x:c r="Q758" t="str">
        <x:f>TEXT(B758,"yyyy-mm")</x:f>
        <x:v>2014-06</x:v>
      </x:c>
    </x:row>
    <x:row r="759">
      <x:c r="A759" t="str">
        <x:v>HYD05</x:v>
      </x:c>
      <x:c r="B759" s="22" t="n">
        <x:f>DATE(C759,D759,1)</x:f>
        <x:v>41821</x:v>
      </x:c>
      <x:c r="C759" t="n">
        <x:v>2014</x:v>
      </x:c>
      <x:c r="D759" t="n">
        <x:v>7</x:v>
      </x:c>
      <x:c r="E759" t="str">
        <x:f>TEXT(B759,"mmm")</x:f>
        <x:v>Jul</x:v>
      </x:c>
      <x:c r="F759" t="str">
        <x:f>"Q"&amp;ROUNDUP(D759/3,0)</x:f>
        <x:v>Q3</x:v>
      </x:c>
      <x:c r="G759" s="23" t="n">
        <x:v>79</x:v>
      </x:c>
      <x:c r="H759" s="23" t="n">
        <x:v>74</x:v>
      </x:c>
      <x:c r="I759" s="23" t="n">
        <x:v>76.5</x:v>
      </x:c>
      <x:c r="J759" s="23" t="n">
        <x:f>G759-H759</x:f>
        <x:v>5</x:v>
      </x:c>
      <x:c r="K759" t="str">
        <x:v>OBSERVED</x:v>
      </x:c>
      <x:c r="L759" s="24" t="n">
        <x:v>17.4474</x:v>
      </x:c>
      <x:c r="M759" s="24" t="n">
        <x:v>78.3762</x:v>
      </x:c>
      <x:c r="N759" t="str">
        <x:f>IF(I759&gt;70,"70+ dB",IF(I759&gt;55,"56-70 dB","41-55 dB"))</x:f>
        <x:v>70+ dB</x:v>
      </x:c>
      <x:c r="O759" t="str">
        <x:f>IF(I759&gt;70,"High",IF(I759&gt;55,"Moderate","Low"))</x:f>
        <x:v>High</x:v>
      </x:c>
      <x:c r="P759" t="str">
        <x:f>IF(I759&gt;=70,"Yes","No")</x:f>
        <x:v>Yes</x:v>
      </x:c>
      <x:c r="Q759" t="str">
        <x:f>TEXT(B759,"yyyy-mm")</x:f>
        <x:v>2014-07</x:v>
      </x:c>
    </x:row>
    <x:row r="760">
      <x:c r="A760" t="str">
        <x:v>HYD05</x:v>
      </x:c>
      <x:c r="B760" s="22" t="n">
        <x:f>DATE(C760,D760,1)</x:f>
        <x:v>41852</x:v>
      </x:c>
      <x:c r="C760" t="n">
        <x:v>2014</x:v>
      </x:c>
      <x:c r="D760" t="n">
        <x:v>8</x:v>
      </x:c>
      <x:c r="E760" t="str">
        <x:f>TEXT(B760,"mmm")</x:f>
        <x:v>Aug</x:v>
      </x:c>
      <x:c r="F760" t="str">
        <x:f>"Q"&amp;ROUNDUP(D760/3,0)</x:f>
        <x:v>Q3</x:v>
      </x:c>
      <x:c r="G760" s="23" t="n">
        <x:v>79</x:v>
      </x:c>
      <x:c r="H760" s="23" t="n">
        <x:v>74</x:v>
      </x:c>
      <x:c r="I760" s="23" t="n">
        <x:v>76.5</x:v>
      </x:c>
      <x:c r="J760" s="23" t="n">
        <x:f>G760-H760</x:f>
        <x:v>5</x:v>
      </x:c>
      <x:c r="K760" t="str">
        <x:v>OBSERVED</x:v>
      </x:c>
      <x:c r="L760" s="24" t="n">
        <x:v>17.4474</x:v>
      </x:c>
      <x:c r="M760" s="24" t="n">
        <x:v>78.3762</x:v>
      </x:c>
      <x:c r="N760" t="str">
        <x:f>IF(I760&gt;70,"70+ dB",IF(I760&gt;55,"56-70 dB","41-55 dB"))</x:f>
        <x:v>70+ dB</x:v>
      </x:c>
      <x:c r="O760" t="str">
        <x:f>IF(I760&gt;70,"High",IF(I760&gt;55,"Moderate","Low"))</x:f>
        <x:v>High</x:v>
      </x:c>
      <x:c r="P760" t="str">
        <x:f>IF(I760&gt;=70,"Yes","No")</x:f>
        <x:v>Yes</x:v>
      </x:c>
      <x:c r="Q760" t="str">
        <x:f>TEXT(B760,"yyyy-mm")</x:f>
        <x:v>2014-08</x:v>
      </x:c>
    </x:row>
    <x:row r="761">
      <x:c r="A761" t="str">
        <x:v>HYD05</x:v>
      </x:c>
      <x:c r="B761" s="22" t="n">
        <x:f>DATE(C761,D761,1)</x:f>
        <x:v>41883</x:v>
      </x:c>
      <x:c r="C761" t="n">
        <x:v>2014</x:v>
      </x:c>
      <x:c r="D761" t="n">
        <x:v>9</x:v>
      </x:c>
      <x:c r="E761" t="str">
        <x:f>TEXT(B761,"mmm")</x:f>
        <x:v>Sep</x:v>
      </x:c>
      <x:c r="F761" t="str">
        <x:f>"Q"&amp;ROUNDUP(D761/3,0)</x:f>
        <x:v>Q3</x:v>
      </x:c>
      <x:c r="G761" s="23" t="n">
        <x:v>79</x:v>
      </x:c>
      <x:c r="H761" s="23" t="n">
        <x:v>74</x:v>
      </x:c>
      <x:c r="I761" s="23" t="n">
        <x:v>76.5</x:v>
      </x:c>
      <x:c r="J761" s="23" t="n">
        <x:f>G761-H761</x:f>
        <x:v>5</x:v>
      </x:c>
      <x:c r="K761" t="str">
        <x:v>OBSERVED</x:v>
      </x:c>
      <x:c r="L761" s="24" t="n">
        <x:v>17.4474</x:v>
      </x:c>
      <x:c r="M761" s="24" t="n">
        <x:v>78.3762</x:v>
      </x:c>
      <x:c r="N761" t="str">
        <x:f>IF(I761&gt;70,"70+ dB",IF(I761&gt;55,"56-70 dB","41-55 dB"))</x:f>
        <x:v>70+ dB</x:v>
      </x:c>
      <x:c r="O761" t="str">
        <x:f>IF(I761&gt;70,"High",IF(I761&gt;55,"Moderate","Low"))</x:f>
        <x:v>High</x:v>
      </x:c>
      <x:c r="P761" t="str">
        <x:f>IF(I761&gt;=70,"Yes","No")</x:f>
        <x:v>Yes</x:v>
      </x:c>
      <x:c r="Q761" t="str">
        <x:f>TEXT(B761,"yyyy-mm")</x:f>
        <x:v>2014-09</x:v>
      </x:c>
    </x:row>
    <x:row r="762">
      <x:c r="A762" t="str">
        <x:v>HYD05</x:v>
      </x:c>
      <x:c r="B762" s="22" t="n">
        <x:f>DATE(C762,D762,1)</x:f>
        <x:v>41913</x:v>
      </x:c>
      <x:c r="C762" t="n">
        <x:v>2014</x:v>
      </x:c>
      <x:c r="D762" t="n">
        <x:v>10</x:v>
      </x:c>
      <x:c r="E762" t="str">
        <x:f>TEXT(B762,"mmm")</x:f>
        <x:v>Oct</x:v>
      </x:c>
      <x:c r="F762" t="str">
        <x:f>"Q"&amp;ROUNDUP(D762/3,0)</x:f>
        <x:v>Q4</x:v>
      </x:c>
      <x:c r="G762" s="23" t="n">
        <x:v>77</x:v>
      </x:c>
      <x:c r="H762" s="23" t="n">
        <x:v>74</x:v>
      </x:c>
      <x:c r="I762" s="23" t="n">
        <x:v>75.5</x:v>
      </x:c>
      <x:c r="J762" s="23" t="n">
        <x:f>G762-H762</x:f>
        <x:v>3</x:v>
      </x:c>
      <x:c r="K762" t="str">
        <x:v>OBSERVED</x:v>
      </x:c>
      <x:c r="L762" s="24" t="n">
        <x:v>17.4474</x:v>
      </x:c>
      <x:c r="M762" s="24" t="n">
        <x:v>78.3762</x:v>
      </x:c>
      <x:c r="N762" t="str">
        <x:f>IF(I762&gt;70,"70+ dB",IF(I762&gt;55,"56-70 dB","41-55 dB"))</x:f>
        <x:v>70+ dB</x:v>
      </x:c>
      <x:c r="O762" t="str">
        <x:f>IF(I762&gt;70,"High",IF(I762&gt;55,"Moderate","Low"))</x:f>
        <x:v>High</x:v>
      </x:c>
      <x:c r="P762" t="str">
        <x:f>IF(I762&gt;=70,"Yes","No")</x:f>
        <x:v>Yes</x:v>
      </x:c>
      <x:c r="Q762" t="str">
        <x:f>TEXT(B762,"yyyy-mm")</x:f>
        <x:v>2014-10</x:v>
      </x:c>
    </x:row>
    <x:row r="763">
      <x:c r="A763" t="str">
        <x:v>HYD05</x:v>
      </x:c>
      <x:c r="B763" s="22" t="n">
        <x:f>DATE(C763,D763,1)</x:f>
        <x:v>41944</x:v>
      </x:c>
      <x:c r="C763" t="n">
        <x:v>2014</x:v>
      </x:c>
      <x:c r="D763" t="n">
        <x:v>11</x:v>
      </x:c>
      <x:c r="E763" t="str">
        <x:f>TEXT(B763,"mmm")</x:f>
        <x:v>Nov</x:v>
      </x:c>
      <x:c r="F763" t="str">
        <x:f>"Q"&amp;ROUNDUP(D763/3,0)</x:f>
        <x:v>Q4</x:v>
      </x:c>
      <x:c r="G763" s="23" t="n">
        <x:v>79</x:v>
      </x:c>
      <x:c r="H763" s="23" t="n">
        <x:v>73</x:v>
      </x:c>
      <x:c r="I763" s="23" t="n">
        <x:v>76</x:v>
      </x:c>
      <x:c r="J763" s="23" t="n">
        <x:f>G763-H763</x:f>
        <x:v>6</x:v>
      </x:c>
      <x:c r="K763" t="str">
        <x:v>OBSERVED</x:v>
      </x:c>
      <x:c r="L763" s="24" t="n">
        <x:v>17.4474</x:v>
      </x:c>
      <x:c r="M763" s="24" t="n">
        <x:v>78.3762</x:v>
      </x:c>
      <x:c r="N763" t="str">
        <x:f>IF(I763&gt;70,"70+ dB",IF(I763&gt;55,"56-70 dB","41-55 dB"))</x:f>
        <x:v>70+ dB</x:v>
      </x:c>
      <x:c r="O763" t="str">
        <x:f>IF(I763&gt;70,"High",IF(I763&gt;55,"Moderate","Low"))</x:f>
        <x:v>High</x:v>
      </x:c>
      <x:c r="P763" t="str">
        <x:f>IF(I763&gt;=70,"Yes","No")</x:f>
        <x:v>Yes</x:v>
      </x:c>
      <x:c r="Q763" t="str">
        <x:f>TEXT(B763,"yyyy-mm")</x:f>
        <x:v>2014-11</x:v>
      </x:c>
    </x:row>
    <x:row r="764">
      <x:c r="A764" t="str">
        <x:v>HYD05</x:v>
      </x:c>
      <x:c r="B764" s="22" t="n">
        <x:f>DATE(C764,D764,1)</x:f>
        <x:v>41974</x:v>
      </x:c>
      <x:c r="C764" t="n">
        <x:v>2014</x:v>
      </x:c>
      <x:c r="D764" t="n">
        <x:v>12</x:v>
      </x:c>
      <x:c r="E764" t="str">
        <x:f>TEXT(B764,"mmm")</x:f>
        <x:v>Dec</x:v>
      </x:c>
      <x:c r="F764" t="str">
        <x:f>"Q"&amp;ROUNDUP(D764/3,0)</x:f>
        <x:v>Q4</x:v>
      </x:c>
      <x:c r="G764" s="23" t="n">
        <x:v>79</x:v>
      </x:c>
      <x:c r="H764" s="23" t="n">
        <x:v>73</x:v>
      </x:c>
      <x:c r="I764" s="23" t="n">
        <x:v>76</x:v>
      </x:c>
      <x:c r="J764" s="23" t="n">
        <x:f>G764-H764</x:f>
        <x:v>6</x:v>
      </x:c>
      <x:c r="K764" t="str">
        <x:v>OBSERVED</x:v>
      </x:c>
      <x:c r="L764" s="24" t="n">
        <x:v>17.4474</x:v>
      </x:c>
      <x:c r="M764" s="24" t="n">
        <x:v>78.3762</x:v>
      </x:c>
      <x:c r="N764" t="str">
        <x:f>IF(I764&gt;70,"70+ dB",IF(I764&gt;55,"56-70 dB","41-55 dB"))</x:f>
        <x:v>70+ dB</x:v>
      </x:c>
      <x:c r="O764" t="str">
        <x:f>IF(I764&gt;70,"High",IF(I764&gt;55,"Moderate","Low"))</x:f>
        <x:v>High</x:v>
      </x:c>
      <x:c r="P764" t="str">
        <x:f>IF(I764&gt;=70,"Yes","No")</x:f>
        <x:v>Yes</x:v>
      </x:c>
      <x:c r="Q764" t="str">
        <x:f>TEXT(B764,"yyyy-mm")</x:f>
        <x:v>2014-12</x:v>
      </x:c>
    </x:row>
    <x:row r="765">
      <x:c r="A765" t="str">
        <x:v>HYD05</x:v>
      </x:c>
      <x:c r="B765" s="22" t="n">
        <x:f>DATE(C765,D765,1)</x:f>
        <x:v>42005</x:v>
      </x:c>
      <x:c r="C765" t="n">
        <x:v>2015</x:v>
      </x:c>
      <x:c r="D765" t="n">
        <x:v>1</x:v>
      </x:c>
      <x:c r="E765" t="str">
        <x:f>TEXT(B765,"mmm")</x:f>
        <x:v>Jan</x:v>
      </x:c>
      <x:c r="F765" t="str">
        <x:f>"Q"&amp;ROUNDUP(D765/3,0)</x:f>
        <x:v>Q1</x:v>
      </x:c>
      <x:c r="G765" s="23" t="n">
        <x:v>68</x:v>
      </x:c>
      <x:c r="H765" s="23" t="n">
        <x:v>59</x:v>
      </x:c>
      <x:c r="I765" s="23" t="n">
        <x:v>63.5</x:v>
      </x:c>
      <x:c r="J765" s="23" t="n">
        <x:f>G765-H765</x:f>
        <x:v>9</x:v>
      </x:c>
      <x:c r="K765" t="str">
        <x:v>OBSERVED</x:v>
      </x:c>
      <x:c r="L765" s="24" t="n">
        <x:v>17.4474</x:v>
      </x:c>
      <x:c r="M765" s="24" t="n">
        <x:v>78.3762</x:v>
      </x:c>
      <x:c r="N765" t="str">
        <x:f>IF(I765&gt;70,"70+ dB",IF(I765&gt;55,"56-70 dB","41-55 dB"))</x:f>
        <x:v>56-70 dB</x:v>
      </x:c>
      <x:c r="O765" t="str">
        <x:f>IF(I765&gt;70,"High",IF(I765&gt;55,"Moderate","Low"))</x:f>
        <x:v>Moderate</x:v>
      </x:c>
      <x:c r="P765" t="str">
        <x:f>IF(I765&gt;=70,"Yes","No")</x:f>
        <x:v>No</x:v>
      </x:c>
      <x:c r="Q765" t="str">
        <x:f>TEXT(B765,"yyyy-mm")</x:f>
        <x:v>2015-01</x:v>
      </x:c>
    </x:row>
    <x:row r="766">
      <x:c r="A766" t="str">
        <x:v>HYD05</x:v>
      </x:c>
      <x:c r="B766" s="22" t="n">
        <x:f>DATE(C766,D766,1)</x:f>
        <x:v>42036</x:v>
      </x:c>
      <x:c r="C766" t="n">
        <x:v>2015</x:v>
      </x:c>
      <x:c r="D766" t="n">
        <x:v>2</x:v>
      </x:c>
      <x:c r="E766" t="str">
        <x:f>TEXT(B766,"mmm")</x:f>
        <x:v>Feb</x:v>
      </x:c>
      <x:c r="F766" t="str">
        <x:f>"Q"&amp;ROUNDUP(D766/3,0)</x:f>
        <x:v>Q1</x:v>
      </x:c>
      <x:c r="G766" s="23" t="n">
        <x:v>67</x:v>
      </x:c>
      <x:c r="H766" s="23" t="n">
        <x:v>60</x:v>
      </x:c>
      <x:c r="I766" s="23" t="n">
        <x:v>63.5</x:v>
      </x:c>
      <x:c r="J766" s="23" t="n">
        <x:f>G766-H766</x:f>
        <x:v>7</x:v>
      </x:c>
      <x:c r="K766" t="str">
        <x:v>OBSERVED</x:v>
      </x:c>
      <x:c r="L766" s="24" t="n">
        <x:v>17.4474</x:v>
      </x:c>
      <x:c r="M766" s="24" t="n">
        <x:v>78.3762</x:v>
      </x:c>
      <x:c r="N766" t="str">
        <x:f>IF(I766&gt;70,"70+ dB",IF(I766&gt;55,"56-70 dB","41-55 dB"))</x:f>
        <x:v>56-70 dB</x:v>
      </x:c>
      <x:c r="O766" t="str">
        <x:f>IF(I766&gt;70,"High",IF(I766&gt;55,"Moderate","Low"))</x:f>
        <x:v>Moderate</x:v>
      </x:c>
      <x:c r="P766" t="str">
        <x:f>IF(I766&gt;=70,"Yes","No")</x:f>
        <x:v>No</x:v>
      </x:c>
      <x:c r="Q766" t="str">
        <x:f>TEXT(B766,"yyyy-mm")</x:f>
        <x:v>2015-02</x:v>
      </x:c>
    </x:row>
    <x:row r="767">
      <x:c r="A767" t="str">
        <x:v>HYD05</x:v>
      </x:c>
      <x:c r="B767" s="22" t="n">
        <x:f>DATE(C767,D767,1)</x:f>
        <x:v>42064</x:v>
      </x:c>
      <x:c r="C767" t="n">
        <x:v>2015</x:v>
      </x:c>
      <x:c r="D767" t="n">
        <x:v>3</x:v>
      </x:c>
      <x:c r="E767" t="str">
        <x:f>TEXT(B767,"mmm")</x:f>
        <x:v>Mar</x:v>
      </x:c>
      <x:c r="F767" t="str">
        <x:f>"Q"&amp;ROUNDUP(D767/3,0)</x:f>
        <x:v>Q1</x:v>
      </x:c>
      <x:c r="G767" s="23" t="n">
        <x:v>66</x:v>
      </x:c>
      <x:c r="H767" s="23" t="n">
        <x:v>61</x:v>
      </x:c>
      <x:c r="I767" s="23" t="n">
        <x:v>63.5</x:v>
      </x:c>
      <x:c r="J767" s="23" t="n">
        <x:f>G767-H767</x:f>
        <x:v>5</x:v>
      </x:c>
      <x:c r="K767" t="str">
        <x:v>OBSERVED</x:v>
      </x:c>
      <x:c r="L767" s="24" t="n">
        <x:v>17.4474</x:v>
      </x:c>
      <x:c r="M767" s="24" t="n">
        <x:v>78.3762</x:v>
      </x:c>
      <x:c r="N767" t="str">
        <x:f>IF(I767&gt;70,"70+ dB",IF(I767&gt;55,"56-70 dB","41-55 dB"))</x:f>
        <x:v>56-70 dB</x:v>
      </x:c>
      <x:c r="O767" t="str">
        <x:f>IF(I767&gt;70,"High",IF(I767&gt;55,"Moderate","Low"))</x:f>
        <x:v>Moderate</x:v>
      </x:c>
      <x:c r="P767" t="str">
        <x:f>IF(I767&gt;=70,"Yes","No")</x:f>
        <x:v>No</x:v>
      </x:c>
      <x:c r="Q767" t="str">
        <x:f>TEXT(B767,"yyyy-mm")</x:f>
        <x:v>2015-03</x:v>
      </x:c>
    </x:row>
    <x:row r="768">
      <x:c r="A768" t="str">
        <x:v>HYD05</x:v>
      </x:c>
      <x:c r="B768" s="22" t="n">
        <x:f>DATE(C768,D768,1)</x:f>
        <x:v>42095</x:v>
      </x:c>
      <x:c r="C768" t="n">
        <x:v>2015</x:v>
      </x:c>
      <x:c r="D768" t="n">
        <x:v>4</x:v>
      </x:c>
      <x:c r="E768" t="str">
        <x:f>TEXT(B768,"mmm")</x:f>
        <x:v>Apr</x:v>
      </x:c>
      <x:c r="F768" t="str">
        <x:f>"Q"&amp;ROUNDUP(D768/3,0)</x:f>
        <x:v>Q2</x:v>
      </x:c>
      <x:c r="G768" s="23" t="n">
        <x:v>68</x:v>
      </x:c>
      <x:c r="H768" s="23" t="n">
        <x:v>62</x:v>
      </x:c>
      <x:c r="I768" s="23" t="n">
        <x:v>65</x:v>
      </x:c>
      <x:c r="J768" s="23" t="n">
        <x:f>G768-H768</x:f>
        <x:v>6</x:v>
      </x:c>
      <x:c r="K768" t="str">
        <x:v>OBSERVED</x:v>
      </x:c>
      <x:c r="L768" s="24" t="n">
        <x:v>17.4474</x:v>
      </x:c>
      <x:c r="M768" s="24" t="n">
        <x:v>78.3762</x:v>
      </x:c>
      <x:c r="N768" t="str">
        <x:f>IF(I768&gt;70,"70+ dB",IF(I768&gt;55,"56-70 dB","41-55 dB"))</x:f>
        <x:v>56-70 dB</x:v>
      </x:c>
      <x:c r="O768" t="str">
        <x:f>IF(I768&gt;70,"High",IF(I768&gt;55,"Moderate","Low"))</x:f>
        <x:v>Moderate</x:v>
      </x:c>
      <x:c r="P768" t="str">
        <x:f>IF(I768&gt;=70,"Yes","No")</x:f>
        <x:v>No</x:v>
      </x:c>
      <x:c r="Q768" t="str">
        <x:f>TEXT(B768,"yyyy-mm")</x:f>
        <x:v>2015-04</x:v>
      </x:c>
    </x:row>
    <x:row r="769">
      <x:c r="A769" t="str">
        <x:v>HYD05</x:v>
      </x:c>
      <x:c r="B769" s="22" t="n">
        <x:f>DATE(C769,D769,1)</x:f>
        <x:v>42125</x:v>
      </x:c>
      <x:c r="C769" t="n">
        <x:v>2015</x:v>
      </x:c>
      <x:c r="D769" t="n">
        <x:v>5</x:v>
      </x:c>
      <x:c r="E769" t="str">
        <x:f>TEXT(B769,"mmm")</x:f>
        <x:v>May</x:v>
      </x:c>
      <x:c r="F769" t="str">
        <x:f>"Q"&amp;ROUNDUP(D769/3,0)</x:f>
        <x:v>Q2</x:v>
      </x:c>
      <x:c r="G769" s="23" t="n">
        <x:v>68</x:v>
      </x:c>
      <x:c r="H769" s="23" t="n">
        <x:v>64</x:v>
      </x:c>
      <x:c r="I769" s="23" t="n">
        <x:v>66</x:v>
      </x:c>
      <x:c r="J769" s="23" t="n">
        <x:f>G769-H769</x:f>
        <x:v>4</x:v>
      </x:c>
      <x:c r="K769" t="str">
        <x:v>OBSERVED</x:v>
      </x:c>
      <x:c r="L769" s="24" t="n">
        <x:v>17.4474</x:v>
      </x:c>
      <x:c r="M769" s="24" t="n">
        <x:v>78.3762</x:v>
      </x:c>
      <x:c r="N769" t="str">
        <x:f>IF(I769&gt;70,"70+ dB",IF(I769&gt;55,"56-70 dB","41-55 dB"))</x:f>
        <x:v>56-70 dB</x:v>
      </x:c>
      <x:c r="O769" t="str">
        <x:f>IF(I769&gt;70,"High",IF(I769&gt;55,"Moderate","Low"))</x:f>
        <x:v>Moderate</x:v>
      </x:c>
      <x:c r="P769" t="str">
        <x:f>IF(I769&gt;=70,"Yes","No")</x:f>
        <x:v>No</x:v>
      </x:c>
      <x:c r="Q769" t="str">
        <x:f>TEXT(B769,"yyyy-mm")</x:f>
        <x:v>2015-05</x:v>
      </x:c>
    </x:row>
    <x:row r="770">
      <x:c r="A770" t="str">
        <x:v>HYD05</x:v>
      </x:c>
      <x:c r="B770" s="22" t="n">
        <x:f>DATE(C770,D770,1)</x:f>
        <x:v>42156</x:v>
      </x:c>
      <x:c r="C770" t="n">
        <x:v>2015</x:v>
      </x:c>
      <x:c r="D770" t="n">
        <x:v>6</x:v>
      </x:c>
      <x:c r="E770" t="str">
        <x:f>TEXT(B770,"mmm")</x:f>
        <x:v>Jun</x:v>
      </x:c>
      <x:c r="F770" t="str">
        <x:f>"Q"&amp;ROUNDUP(D770/3,0)</x:f>
        <x:v>Q2</x:v>
      </x:c>
      <x:c r="G770" s="23" t="n">
        <x:v>71</x:v>
      </x:c>
      <x:c r="H770" s="23" t="n">
        <x:v>68</x:v>
      </x:c>
      <x:c r="I770" s="23" t="n">
        <x:v>69.5</x:v>
      </x:c>
      <x:c r="J770" s="23" t="n">
        <x:f>G770-H770</x:f>
        <x:v>3</x:v>
      </x:c>
      <x:c r="K770" t="str">
        <x:v>OBSERVED</x:v>
      </x:c>
      <x:c r="L770" s="24" t="n">
        <x:v>17.4474</x:v>
      </x:c>
      <x:c r="M770" s="24" t="n">
        <x:v>78.3762</x:v>
      </x:c>
      <x:c r="N770" t="str">
        <x:f>IF(I770&gt;70,"70+ dB",IF(I770&gt;55,"56-70 dB","41-55 dB"))</x:f>
        <x:v>56-70 dB</x:v>
      </x:c>
      <x:c r="O770" t="str">
        <x:f>IF(I770&gt;70,"High",IF(I770&gt;55,"Moderate","Low"))</x:f>
        <x:v>Moderate</x:v>
      </x:c>
      <x:c r="P770" t="str">
        <x:f>IF(I770&gt;=70,"Yes","No")</x:f>
        <x:v>No</x:v>
      </x:c>
      <x:c r="Q770" t="str">
        <x:f>TEXT(B770,"yyyy-mm")</x:f>
        <x:v>2015-06</x:v>
      </x:c>
    </x:row>
    <x:row r="771">
      <x:c r="A771" t="str">
        <x:v>HYD05</x:v>
      </x:c>
      <x:c r="B771" s="22" t="n">
        <x:f>DATE(C771,D771,1)</x:f>
        <x:v>42186</x:v>
      </x:c>
      <x:c r="C771" t="n">
        <x:v>2015</x:v>
      </x:c>
      <x:c r="D771" t="n">
        <x:v>7</x:v>
      </x:c>
      <x:c r="E771" t="str">
        <x:f>TEXT(B771,"mmm")</x:f>
        <x:v>Jul</x:v>
      </x:c>
      <x:c r="F771" t="str">
        <x:f>"Q"&amp;ROUNDUP(D771/3,0)</x:f>
        <x:v>Q3</x:v>
      </x:c>
      <x:c r="G771" s="23" t="n">
        <x:v>72</x:v>
      </x:c>
      <x:c r="H771" s="23" t="n">
        <x:v>68</x:v>
      </x:c>
      <x:c r="I771" s="23" t="n">
        <x:v>70</x:v>
      </x:c>
      <x:c r="J771" s="23" t="n">
        <x:f>G771-H771</x:f>
        <x:v>4</x:v>
      </x:c>
      <x:c r="K771" t="str">
        <x:v>OBSERVED</x:v>
      </x:c>
      <x:c r="L771" s="24" t="n">
        <x:v>17.4474</x:v>
      </x:c>
      <x:c r="M771" s="24" t="n">
        <x:v>78.3762</x:v>
      </x:c>
      <x:c r="N771" t="str">
        <x:f>IF(I771&gt;70,"70+ dB",IF(I771&gt;55,"56-70 dB","41-55 dB"))</x:f>
        <x:v>56-70 dB</x:v>
      </x:c>
      <x:c r="O771" t="str">
        <x:f>IF(I771&gt;70,"High",IF(I771&gt;55,"Moderate","Low"))</x:f>
        <x:v>Moderate</x:v>
      </x:c>
      <x:c r="P771" t="str">
        <x:f>IF(I771&gt;=70,"Yes","No")</x:f>
        <x:v>Yes</x:v>
      </x:c>
      <x:c r="Q771" t="str">
        <x:f>TEXT(B771,"yyyy-mm")</x:f>
        <x:v>2015-07</x:v>
      </x:c>
    </x:row>
    <x:row r="772">
      <x:c r="A772" t="str">
        <x:v>HYD05</x:v>
      </x:c>
      <x:c r="B772" s="22" t="n">
        <x:f>DATE(C772,D772,1)</x:f>
        <x:v>42217</x:v>
      </x:c>
      <x:c r="C772" t="n">
        <x:v>2015</x:v>
      </x:c>
      <x:c r="D772" t="n">
        <x:v>8</x:v>
      </x:c>
      <x:c r="E772" t="str">
        <x:f>TEXT(B772,"mmm")</x:f>
        <x:v>Aug</x:v>
      </x:c>
      <x:c r="F772" t="str">
        <x:f>"Q"&amp;ROUNDUP(D772/3,0)</x:f>
        <x:v>Q3</x:v>
      </x:c>
      <x:c r="G772" s="23" t="n">
        <x:v>70</x:v>
      </x:c>
      <x:c r="H772" s="23" t="n">
        <x:v>64</x:v>
      </x:c>
      <x:c r="I772" s="23" t="n">
        <x:v>67</x:v>
      </x:c>
      <x:c r="J772" s="23" t="n">
        <x:f>G772-H772</x:f>
        <x:v>6</x:v>
      </x:c>
      <x:c r="K772" t="str">
        <x:v>OBSERVED</x:v>
      </x:c>
      <x:c r="L772" s="24" t="n">
        <x:v>17.4474</x:v>
      </x:c>
      <x:c r="M772" s="24" t="n">
        <x:v>78.3762</x:v>
      </x:c>
      <x:c r="N772" t="str">
        <x:f>IF(I772&gt;70,"70+ dB",IF(I772&gt;55,"56-70 dB","41-55 dB"))</x:f>
        <x:v>56-70 dB</x:v>
      </x:c>
      <x:c r="O772" t="str">
        <x:f>IF(I772&gt;70,"High",IF(I772&gt;55,"Moderate","Low"))</x:f>
        <x:v>Moderate</x:v>
      </x:c>
      <x:c r="P772" t="str">
        <x:f>IF(I772&gt;=70,"Yes","No")</x:f>
        <x:v>No</x:v>
      </x:c>
      <x:c r="Q772" t="str">
        <x:f>TEXT(B772,"yyyy-mm")</x:f>
        <x:v>2015-08</x:v>
      </x:c>
    </x:row>
    <x:row r="773">
      <x:c r="A773" t="str">
        <x:v>HYD05</x:v>
      </x:c>
      <x:c r="B773" s="22" t="n">
        <x:f>DATE(C773,D773,1)</x:f>
        <x:v>42248</x:v>
      </x:c>
      <x:c r="C773" t="n">
        <x:v>2015</x:v>
      </x:c>
      <x:c r="D773" t="n">
        <x:v>9</x:v>
      </x:c>
      <x:c r="E773" t="str">
        <x:f>TEXT(B773,"mmm")</x:f>
        <x:v>Sep</x:v>
      </x:c>
      <x:c r="F773" t="str">
        <x:f>"Q"&amp;ROUNDUP(D773/3,0)</x:f>
        <x:v>Q3</x:v>
      </x:c>
      <x:c r="G773" s="23" t="n">
        <x:v>68</x:v>
      </x:c>
      <x:c r="H773" s="23" t="n">
        <x:v>63</x:v>
      </x:c>
      <x:c r="I773" s="23" t="n">
        <x:v>65.5</x:v>
      </x:c>
      <x:c r="J773" s="23" t="n">
        <x:f>G773-H773</x:f>
        <x:v>5</x:v>
      </x:c>
      <x:c r="K773" t="str">
        <x:v>OBSERVED</x:v>
      </x:c>
      <x:c r="L773" s="24" t="n">
        <x:v>17.4474</x:v>
      </x:c>
      <x:c r="M773" s="24" t="n">
        <x:v>78.3762</x:v>
      </x:c>
      <x:c r="N773" t="str">
        <x:f>IF(I773&gt;70,"70+ dB",IF(I773&gt;55,"56-70 dB","41-55 dB"))</x:f>
        <x:v>56-70 dB</x:v>
      </x:c>
      <x:c r="O773" t="str">
        <x:f>IF(I773&gt;70,"High",IF(I773&gt;55,"Moderate","Low"))</x:f>
        <x:v>Moderate</x:v>
      </x:c>
      <x:c r="P773" t="str">
        <x:f>IF(I773&gt;=70,"Yes","No")</x:f>
        <x:v>No</x:v>
      </x:c>
      <x:c r="Q773" t="str">
        <x:f>TEXT(B773,"yyyy-mm")</x:f>
        <x:v>2015-09</x:v>
      </x:c>
    </x:row>
    <x:row r="774">
      <x:c r="A774" t="str">
        <x:v>HYD05</x:v>
      </x:c>
      <x:c r="B774" s="22" t="n">
        <x:f>DATE(C774,D774,1)</x:f>
        <x:v>42278</x:v>
      </x:c>
      <x:c r="C774" t="n">
        <x:v>2015</x:v>
      </x:c>
      <x:c r="D774" t="n">
        <x:v>10</x:v>
      </x:c>
      <x:c r="E774" t="str">
        <x:f>TEXT(B774,"mmm")</x:f>
        <x:v>Oct</x:v>
      </x:c>
      <x:c r="F774" t="str">
        <x:f>"Q"&amp;ROUNDUP(D774/3,0)</x:f>
        <x:v>Q4</x:v>
      </x:c>
      <x:c r="G774" s="23" t="n">
        <x:v>67</x:v>
      </x:c>
      <x:c r="H774" s="23" t="n">
        <x:v>62</x:v>
      </x:c>
      <x:c r="I774" s="23" t="n">
        <x:v>64.5</x:v>
      </x:c>
      <x:c r="J774" s="23" t="n">
        <x:f>G774-H774</x:f>
        <x:v>5</x:v>
      </x:c>
      <x:c r="K774" t="str">
        <x:v>OBSERVED</x:v>
      </x:c>
      <x:c r="L774" s="24" t="n">
        <x:v>17.4474</x:v>
      </x:c>
      <x:c r="M774" s="24" t="n">
        <x:v>78.3762</x:v>
      </x:c>
      <x:c r="N774" t="str">
        <x:f>IF(I774&gt;70,"70+ dB",IF(I774&gt;55,"56-70 dB","41-55 dB"))</x:f>
        <x:v>56-70 dB</x:v>
      </x:c>
      <x:c r="O774" t="str">
        <x:f>IF(I774&gt;70,"High",IF(I774&gt;55,"Moderate","Low"))</x:f>
        <x:v>Moderate</x:v>
      </x:c>
      <x:c r="P774" t="str">
        <x:f>IF(I774&gt;=70,"Yes","No")</x:f>
        <x:v>No</x:v>
      </x:c>
      <x:c r="Q774" t="str">
        <x:f>TEXT(B774,"yyyy-mm")</x:f>
        <x:v>2015-10</x:v>
      </x:c>
    </x:row>
    <x:row r="775">
      <x:c r="A775" t="str">
        <x:v>HYD05</x:v>
      </x:c>
      <x:c r="B775" s="22" t="n">
        <x:f>DATE(C775,D775,1)</x:f>
        <x:v>42309</x:v>
      </x:c>
      <x:c r="C775" t="n">
        <x:v>2015</x:v>
      </x:c>
      <x:c r="D775" t="n">
        <x:v>11</x:v>
      </x:c>
      <x:c r="E775" t="str">
        <x:f>TEXT(B775,"mmm")</x:f>
        <x:v>Nov</x:v>
      </x:c>
      <x:c r="F775" t="str">
        <x:f>"Q"&amp;ROUNDUP(D775/3,0)</x:f>
        <x:v>Q4</x:v>
      </x:c>
      <x:c r="G775" s="23" t="n">
        <x:v>67</x:v>
      </x:c>
      <x:c r="H775" s="23" t="n">
        <x:v>60</x:v>
      </x:c>
      <x:c r="I775" s="23" t="n">
        <x:v>63.5</x:v>
      </x:c>
      <x:c r="J775" s="23" t="n">
        <x:f>G775-H775</x:f>
        <x:v>7</x:v>
      </x:c>
      <x:c r="K775" t="str">
        <x:v>OBSERVED</x:v>
      </x:c>
      <x:c r="L775" s="24" t="n">
        <x:v>17.4474</x:v>
      </x:c>
      <x:c r="M775" s="24" t="n">
        <x:v>78.3762</x:v>
      </x:c>
      <x:c r="N775" t="str">
        <x:f>IF(I775&gt;70,"70+ dB",IF(I775&gt;55,"56-70 dB","41-55 dB"))</x:f>
        <x:v>56-70 dB</x:v>
      </x:c>
      <x:c r="O775" t="str">
        <x:f>IF(I775&gt;70,"High",IF(I775&gt;55,"Moderate","Low"))</x:f>
        <x:v>Moderate</x:v>
      </x:c>
      <x:c r="P775" t="str">
        <x:f>IF(I775&gt;=70,"Yes","No")</x:f>
        <x:v>No</x:v>
      </x:c>
      <x:c r="Q775" t="str">
        <x:f>TEXT(B775,"yyyy-mm")</x:f>
        <x:v>2015-11</x:v>
      </x:c>
    </x:row>
    <x:row r="776">
      <x:c r="A776" t="str">
        <x:v>HYD05</x:v>
      </x:c>
      <x:c r="B776" s="22" t="n">
        <x:f>DATE(C776,D776,1)</x:f>
        <x:v>42339</x:v>
      </x:c>
      <x:c r="C776" t="n">
        <x:v>2015</x:v>
      </x:c>
      <x:c r="D776" t="n">
        <x:v>12</x:v>
      </x:c>
      <x:c r="E776" t="str">
        <x:f>TEXT(B776,"mmm")</x:f>
        <x:v>Dec</x:v>
      </x:c>
      <x:c r="F776" t="str">
        <x:f>"Q"&amp;ROUNDUP(D776/3,0)</x:f>
        <x:v>Q4</x:v>
      </x:c>
      <x:c r="G776" s="23" t="n">
        <x:v>67</x:v>
      </x:c>
      <x:c r="H776" s="23" t="n">
        <x:v>60</x:v>
      </x:c>
      <x:c r="I776" s="23" t="n">
        <x:v>63.5</x:v>
      </x:c>
      <x:c r="J776" s="23" t="n">
        <x:f>G776-H776</x:f>
        <x:v>7</x:v>
      </x:c>
      <x:c r="K776" t="str">
        <x:v>OBSERVED</x:v>
      </x:c>
      <x:c r="L776" s="24" t="n">
        <x:v>17.4474</x:v>
      </x:c>
      <x:c r="M776" s="24" t="n">
        <x:v>78.3762</x:v>
      </x:c>
      <x:c r="N776" t="str">
        <x:f>IF(I776&gt;70,"70+ dB",IF(I776&gt;55,"56-70 dB","41-55 dB"))</x:f>
        <x:v>56-70 dB</x:v>
      </x:c>
      <x:c r="O776" t="str">
        <x:f>IF(I776&gt;70,"High",IF(I776&gt;55,"Moderate","Low"))</x:f>
        <x:v>Moderate</x:v>
      </x:c>
      <x:c r="P776" t="str">
        <x:f>IF(I776&gt;=70,"Yes","No")</x:f>
        <x:v>No</x:v>
      </x:c>
      <x:c r="Q776" t="str">
        <x:f>TEXT(B776,"yyyy-mm")</x:f>
        <x:v>2015-12</x:v>
      </x:c>
    </x:row>
    <x:row r="777">
      <x:c r="A777" t="str">
        <x:v>HYD05</x:v>
      </x:c>
      <x:c r="B777" s="22" t="n">
        <x:f>DATE(C777,D777,1)</x:f>
        <x:v>42370</x:v>
      </x:c>
      <x:c r="C777" t="n">
        <x:v>2016</x:v>
      </x:c>
      <x:c r="D777" t="n">
        <x:v>1</x:v>
      </x:c>
      <x:c r="E777" t="str">
        <x:f>TEXT(B777,"mmm")</x:f>
        <x:v>Jan</x:v>
      </x:c>
      <x:c r="F777" t="str">
        <x:f>"Q"&amp;ROUNDUP(D777/3,0)</x:f>
        <x:v>Q1</x:v>
      </x:c>
      <x:c r="G777" s="23" t="n">
        <x:v>67</x:v>
      </x:c>
      <x:c r="H777" s="23" t="n">
        <x:v>60</x:v>
      </x:c>
      <x:c r="I777" s="23" t="n">
        <x:v>63.5</x:v>
      </x:c>
      <x:c r="J777" s="23" t="n">
        <x:f>G777-H777</x:f>
        <x:v>7</x:v>
      </x:c>
      <x:c r="K777" t="str">
        <x:v>OBSERVED</x:v>
      </x:c>
      <x:c r="L777" s="24" t="n">
        <x:v>17.4474</x:v>
      </x:c>
      <x:c r="M777" s="24" t="n">
        <x:v>78.3762</x:v>
      </x:c>
      <x:c r="N777" t="str">
        <x:f>IF(I777&gt;70,"70+ dB",IF(I777&gt;55,"56-70 dB","41-55 dB"))</x:f>
        <x:v>56-70 dB</x:v>
      </x:c>
      <x:c r="O777" t="str">
        <x:f>IF(I777&gt;70,"High",IF(I777&gt;55,"Moderate","Low"))</x:f>
        <x:v>Moderate</x:v>
      </x:c>
      <x:c r="P777" t="str">
        <x:f>IF(I777&gt;=70,"Yes","No")</x:f>
        <x:v>No</x:v>
      </x:c>
      <x:c r="Q777" t="str">
        <x:f>TEXT(B777,"yyyy-mm")</x:f>
        <x:v>2016-01</x:v>
      </x:c>
    </x:row>
    <x:row r="778">
      <x:c r="A778" t="str">
        <x:v>HYD05</x:v>
      </x:c>
      <x:c r="B778" s="22" t="n">
        <x:f>DATE(C778,D778,1)</x:f>
        <x:v>42401</x:v>
      </x:c>
      <x:c r="C778" t="n">
        <x:v>2016</x:v>
      </x:c>
      <x:c r="D778" t="n">
        <x:v>2</x:v>
      </x:c>
      <x:c r="E778" t="str">
        <x:f>TEXT(B778,"mmm")</x:f>
        <x:v>Feb</x:v>
      </x:c>
      <x:c r="F778" t="str">
        <x:f>"Q"&amp;ROUNDUP(D778/3,0)</x:f>
        <x:v>Q1</x:v>
      </x:c>
      <x:c r="G778" s="23" t="n">
        <x:v>68</x:v>
      </x:c>
      <x:c r="H778" s="23" t="n">
        <x:v>61</x:v>
      </x:c>
      <x:c r="I778" s="23" t="n">
        <x:v>64.5</x:v>
      </x:c>
      <x:c r="J778" s="23" t="n">
        <x:f>G778-H778</x:f>
        <x:v>7</x:v>
      </x:c>
      <x:c r="K778" t="str">
        <x:v>OBSERVED</x:v>
      </x:c>
      <x:c r="L778" s="24" t="n">
        <x:v>17.4474</x:v>
      </x:c>
      <x:c r="M778" s="24" t="n">
        <x:v>78.3762</x:v>
      </x:c>
      <x:c r="N778" t="str">
        <x:f>IF(I778&gt;70,"70+ dB",IF(I778&gt;55,"56-70 dB","41-55 dB"))</x:f>
        <x:v>56-70 dB</x:v>
      </x:c>
      <x:c r="O778" t="str">
        <x:f>IF(I778&gt;70,"High",IF(I778&gt;55,"Moderate","Low"))</x:f>
        <x:v>Moderate</x:v>
      </x:c>
      <x:c r="P778" t="str">
        <x:f>IF(I778&gt;=70,"Yes","No")</x:f>
        <x:v>No</x:v>
      </x:c>
      <x:c r="Q778" t="str">
        <x:f>TEXT(B778,"yyyy-mm")</x:f>
        <x:v>2016-02</x:v>
      </x:c>
    </x:row>
    <x:row r="779">
      <x:c r="A779" t="str">
        <x:v>HYD05</x:v>
      </x:c>
      <x:c r="B779" s="22" t="n">
        <x:f>DATE(C779,D779,1)</x:f>
        <x:v>42430</x:v>
      </x:c>
      <x:c r="C779" t="n">
        <x:v>2016</x:v>
      </x:c>
      <x:c r="D779" t="n">
        <x:v>3</x:v>
      </x:c>
      <x:c r="E779" t="str">
        <x:f>TEXT(B779,"mmm")</x:f>
        <x:v>Mar</x:v>
      </x:c>
      <x:c r="F779" t="str">
        <x:f>"Q"&amp;ROUNDUP(D779/3,0)</x:f>
        <x:v>Q1</x:v>
      </x:c>
      <x:c r="G779" s="23" t="n">
        <x:v>68</x:v>
      </x:c>
      <x:c r="H779" s="23" t="n">
        <x:v>60</x:v>
      </x:c>
      <x:c r="I779" s="23" t="n">
        <x:v>64</x:v>
      </x:c>
      <x:c r="J779" s="23" t="n">
        <x:f>G779-H779</x:f>
        <x:v>8</x:v>
      </x:c>
      <x:c r="K779" t="str">
        <x:v>OBSERVED</x:v>
      </x:c>
      <x:c r="L779" s="24" t="n">
        <x:v>17.4474</x:v>
      </x:c>
      <x:c r="M779" s="24" t="n">
        <x:v>78.3762</x:v>
      </x:c>
      <x:c r="N779" t="str">
        <x:f>IF(I779&gt;70,"70+ dB",IF(I779&gt;55,"56-70 dB","41-55 dB"))</x:f>
        <x:v>56-70 dB</x:v>
      </x:c>
      <x:c r="O779" t="str">
        <x:f>IF(I779&gt;70,"High",IF(I779&gt;55,"Moderate","Low"))</x:f>
        <x:v>Moderate</x:v>
      </x:c>
      <x:c r="P779" t="str">
        <x:f>IF(I779&gt;=70,"Yes","No")</x:f>
        <x:v>No</x:v>
      </x:c>
      <x:c r="Q779" t="str">
        <x:f>TEXT(B779,"yyyy-mm")</x:f>
        <x:v>2016-03</x:v>
      </x:c>
    </x:row>
    <x:row r="780">
      <x:c r="A780" t="str">
        <x:v>HYD05</x:v>
      </x:c>
      <x:c r="B780" s="22" t="n">
        <x:f>DATE(C780,D780,1)</x:f>
        <x:v>42461</x:v>
      </x:c>
      <x:c r="C780" t="n">
        <x:v>2016</x:v>
      </x:c>
      <x:c r="D780" t="n">
        <x:v>4</x:v>
      </x:c>
      <x:c r="E780" t="str">
        <x:f>TEXT(B780,"mmm")</x:f>
        <x:v>Apr</x:v>
      </x:c>
      <x:c r="F780" t="str">
        <x:f>"Q"&amp;ROUNDUP(D780/3,0)</x:f>
        <x:v>Q2</x:v>
      </x:c>
      <x:c r="G780" s="23" t="n">
        <x:v>69</x:v>
      </x:c>
      <x:c r="H780" s="23" t="n">
        <x:v>62</x:v>
      </x:c>
      <x:c r="I780" s="23" t="n">
        <x:v>65.5</x:v>
      </x:c>
      <x:c r="J780" s="23" t="n">
        <x:f>G780-H780</x:f>
        <x:v>7</x:v>
      </x:c>
      <x:c r="K780" t="str">
        <x:v>OBSERVED</x:v>
      </x:c>
      <x:c r="L780" s="24" t="n">
        <x:v>17.4474</x:v>
      </x:c>
      <x:c r="M780" s="24" t="n">
        <x:v>78.3762</x:v>
      </x:c>
      <x:c r="N780" t="str">
        <x:f>IF(I780&gt;70,"70+ dB",IF(I780&gt;55,"56-70 dB","41-55 dB"))</x:f>
        <x:v>56-70 dB</x:v>
      </x:c>
      <x:c r="O780" t="str">
        <x:f>IF(I780&gt;70,"High",IF(I780&gt;55,"Moderate","Low"))</x:f>
        <x:v>Moderate</x:v>
      </x:c>
      <x:c r="P780" t="str">
        <x:f>IF(I780&gt;=70,"Yes","No")</x:f>
        <x:v>No</x:v>
      </x:c>
      <x:c r="Q780" t="str">
        <x:f>TEXT(B780,"yyyy-mm")</x:f>
        <x:v>2016-04</x:v>
      </x:c>
    </x:row>
    <x:row r="781">
      <x:c r="A781" t="str">
        <x:v>HYD05</x:v>
      </x:c>
      <x:c r="B781" s="22" t="n">
        <x:f>DATE(C781,D781,1)</x:f>
        <x:v>42491</x:v>
      </x:c>
      <x:c r="C781" t="n">
        <x:v>2016</x:v>
      </x:c>
      <x:c r="D781" t="n">
        <x:v>5</x:v>
      </x:c>
      <x:c r="E781" t="str">
        <x:f>TEXT(B781,"mmm")</x:f>
        <x:v>May</x:v>
      </x:c>
      <x:c r="F781" t="str">
        <x:f>"Q"&amp;ROUNDUP(D781/3,0)</x:f>
        <x:v>Q2</x:v>
      </x:c>
      <x:c r="G781" s="23" t="n">
        <x:v>71</x:v>
      </x:c>
      <x:c r="H781" s="23" t="n">
        <x:v>66</x:v>
      </x:c>
      <x:c r="I781" s="23" t="n">
        <x:v>68.5</x:v>
      </x:c>
      <x:c r="J781" s="23" t="n">
        <x:f>G781-H781</x:f>
        <x:v>5</x:v>
      </x:c>
      <x:c r="K781" t="str">
        <x:v>OBSERVED</x:v>
      </x:c>
      <x:c r="L781" s="24" t="n">
        <x:v>17.4474</x:v>
      </x:c>
      <x:c r="M781" s="24" t="n">
        <x:v>78.3762</x:v>
      </x:c>
      <x:c r="N781" t="str">
        <x:f>IF(I781&gt;70,"70+ dB",IF(I781&gt;55,"56-70 dB","41-55 dB"))</x:f>
        <x:v>56-70 dB</x:v>
      </x:c>
      <x:c r="O781" t="str">
        <x:f>IF(I781&gt;70,"High",IF(I781&gt;55,"Moderate","Low"))</x:f>
        <x:v>Moderate</x:v>
      </x:c>
      <x:c r="P781" t="str">
        <x:f>IF(I781&gt;=70,"Yes","No")</x:f>
        <x:v>No</x:v>
      </x:c>
      <x:c r="Q781" t="str">
        <x:f>TEXT(B781,"yyyy-mm")</x:f>
        <x:v>2016-05</x:v>
      </x:c>
    </x:row>
    <x:row r="782">
      <x:c r="A782" t="str">
        <x:v>HYD05</x:v>
      </x:c>
      <x:c r="B782" s="22" t="n">
        <x:f>DATE(C782,D782,1)</x:f>
        <x:v>42522</x:v>
      </x:c>
      <x:c r="C782" t="n">
        <x:v>2016</x:v>
      </x:c>
      <x:c r="D782" t="n">
        <x:v>6</x:v>
      </x:c>
      <x:c r="E782" t="str">
        <x:f>TEXT(B782,"mmm")</x:f>
        <x:v>Jun</x:v>
      </x:c>
      <x:c r="F782" t="str">
        <x:f>"Q"&amp;ROUNDUP(D782/3,0)</x:f>
        <x:v>Q2</x:v>
      </x:c>
      <x:c r="G782" s="23" t="n">
        <x:v>71</x:v>
      </x:c>
      <x:c r="H782" s="23" t="n">
        <x:v>66</x:v>
      </x:c>
      <x:c r="I782" s="23" t="n">
        <x:v>68.5</x:v>
      </x:c>
      <x:c r="J782" s="23" t="n">
        <x:f>G782-H782</x:f>
        <x:v>5</x:v>
      </x:c>
      <x:c r="K782" t="str">
        <x:v>OBSERVED</x:v>
      </x:c>
      <x:c r="L782" s="24" t="n">
        <x:v>17.4474</x:v>
      </x:c>
      <x:c r="M782" s="24" t="n">
        <x:v>78.3762</x:v>
      </x:c>
      <x:c r="N782" t="str">
        <x:f>IF(I782&gt;70,"70+ dB",IF(I782&gt;55,"56-70 dB","41-55 dB"))</x:f>
        <x:v>56-70 dB</x:v>
      </x:c>
      <x:c r="O782" t="str">
        <x:f>IF(I782&gt;70,"High",IF(I782&gt;55,"Moderate","Low"))</x:f>
        <x:v>Moderate</x:v>
      </x:c>
      <x:c r="P782" t="str">
        <x:f>IF(I782&gt;=70,"Yes","No")</x:f>
        <x:v>No</x:v>
      </x:c>
      <x:c r="Q782" t="str">
        <x:f>TEXT(B782,"yyyy-mm")</x:f>
        <x:v>2016-06</x:v>
      </x:c>
    </x:row>
    <x:row r="783">
      <x:c r="A783" t="str">
        <x:v>HYD05</x:v>
      </x:c>
      <x:c r="B783" s="22" t="n">
        <x:f>DATE(C783,D783,1)</x:f>
        <x:v>42552</x:v>
      </x:c>
      <x:c r="C783" t="n">
        <x:v>2016</x:v>
      </x:c>
      <x:c r="D783" t="n">
        <x:v>7</x:v>
      </x:c>
      <x:c r="E783" t="str">
        <x:f>TEXT(B783,"mmm")</x:f>
        <x:v>Jul</x:v>
      </x:c>
      <x:c r="F783" t="str">
        <x:f>"Q"&amp;ROUNDUP(D783/3,0)</x:f>
        <x:v>Q3</x:v>
      </x:c>
      <x:c r="G783" s="23" t="n">
        <x:v>71</x:v>
      </x:c>
      <x:c r="H783" s="23" t="n">
        <x:v>67</x:v>
      </x:c>
      <x:c r="I783" s="23" t="n">
        <x:v>69</x:v>
      </x:c>
      <x:c r="J783" s="23" t="n">
        <x:f>G783-H783</x:f>
        <x:v>4</x:v>
      </x:c>
      <x:c r="K783" t="str">
        <x:v>OBSERVED</x:v>
      </x:c>
      <x:c r="L783" s="24" t="n">
        <x:v>17.4474</x:v>
      </x:c>
      <x:c r="M783" s="24" t="n">
        <x:v>78.3762</x:v>
      </x:c>
      <x:c r="N783" t="str">
        <x:f>IF(I783&gt;70,"70+ dB",IF(I783&gt;55,"56-70 dB","41-55 dB"))</x:f>
        <x:v>56-70 dB</x:v>
      </x:c>
      <x:c r="O783" t="str">
        <x:f>IF(I783&gt;70,"High",IF(I783&gt;55,"Moderate","Low"))</x:f>
        <x:v>Moderate</x:v>
      </x:c>
      <x:c r="P783" t="str">
        <x:f>IF(I783&gt;=70,"Yes","No")</x:f>
        <x:v>No</x:v>
      </x:c>
      <x:c r="Q783" t="str">
        <x:f>TEXT(B783,"yyyy-mm")</x:f>
        <x:v>2016-07</x:v>
      </x:c>
    </x:row>
    <x:row r="784">
      <x:c r="A784" t="str">
        <x:v>HYD05</x:v>
      </x:c>
      <x:c r="B784" s="22" t="n">
        <x:f>DATE(C784,D784,1)</x:f>
        <x:v>42583</x:v>
      </x:c>
      <x:c r="C784" t="n">
        <x:v>2016</x:v>
      </x:c>
      <x:c r="D784" t="n">
        <x:v>8</x:v>
      </x:c>
      <x:c r="E784" t="str">
        <x:f>TEXT(B784,"mmm")</x:f>
        <x:v>Aug</x:v>
      </x:c>
      <x:c r="F784" t="str">
        <x:f>"Q"&amp;ROUNDUP(D784/3,0)</x:f>
        <x:v>Q3</x:v>
      </x:c>
      <x:c r="G784" s="23" t="n">
        <x:v>72</x:v>
      </x:c>
      <x:c r="H784" s="23" t="n">
        <x:v>67</x:v>
      </x:c>
      <x:c r="I784" s="23" t="n">
        <x:v>69.5</x:v>
      </x:c>
      <x:c r="J784" s="23" t="n">
        <x:f>G784-H784</x:f>
        <x:v>5</x:v>
      </x:c>
      <x:c r="K784" t="str">
        <x:v>OBSERVED</x:v>
      </x:c>
      <x:c r="L784" s="24" t="n">
        <x:v>17.4474</x:v>
      </x:c>
      <x:c r="M784" s="24" t="n">
        <x:v>78.3762</x:v>
      </x:c>
      <x:c r="N784" t="str">
        <x:f>IF(I784&gt;70,"70+ dB",IF(I784&gt;55,"56-70 dB","41-55 dB"))</x:f>
        <x:v>56-70 dB</x:v>
      </x:c>
      <x:c r="O784" t="str">
        <x:f>IF(I784&gt;70,"High",IF(I784&gt;55,"Moderate","Low"))</x:f>
        <x:v>Moderate</x:v>
      </x:c>
      <x:c r="P784" t="str">
        <x:f>IF(I784&gt;=70,"Yes","No")</x:f>
        <x:v>No</x:v>
      </x:c>
      <x:c r="Q784" t="str">
        <x:f>TEXT(B784,"yyyy-mm")</x:f>
        <x:v>2016-08</x:v>
      </x:c>
    </x:row>
    <x:row r="785">
      <x:c r="A785" t="str">
        <x:v>HYD05</x:v>
      </x:c>
      <x:c r="B785" s="22" t="n">
        <x:f>DATE(C785,D785,1)</x:f>
        <x:v>42614</x:v>
      </x:c>
      <x:c r="C785" t="n">
        <x:v>2016</x:v>
      </x:c>
      <x:c r="D785" t="n">
        <x:v>9</x:v>
      </x:c>
      <x:c r="E785" t="str">
        <x:f>TEXT(B785,"mmm")</x:f>
        <x:v>Sep</x:v>
      </x:c>
      <x:c r="F785" t="str">
        <x:f>"Q"&amp;ROUNDUP(D785/3,0)</x:f>
        <x:v>Q3</x:v>
      </x:c>
      <x:c r="G785" s="23" t="n">
        <x:v>71</x:v>
      </x:c>
      <x:c r="H785" s="23" t="n">
        <x:v>63</x:v>
      </x:c>
      <x:c r="I785" s="23" t="n">
        <x:v>67</x:v>
      </x:c>
      <x:c r="J785" s="23" t="n">
        <x:f>G785-H785</x:f>
        <x:v>8</x:v>
      </x:c>
      <x:c r="K785" t="str">
        <x:v>OBSERVED</x:v>
      </x:c>
      <x:c r="L785" s="24" t="n">
        <x:v>17.4474</x:v>
      </x:c>
      <x:c r="M785" s="24" t="n">
        <x:v>78.3762</x:v>
      </x:c>
      <x:c r="N785" t="str">
        <x:f>IF(I785&gt;70,"70+ dB",IF(I785&gt;55,"56-70 dB","41-55 dB"))</x:f>
        <x:v>56-70 dB</x:v>
      </x:c>
      <x:c r="O785" t="str">
        <x:f>IF(I785&gt;70,"High",IF(I785&gt;55,"Moderate","Low"))</x:f>
        <x:v>Moderate</x:v>
      </x:c>
      <x:c r="P785" t="str">
        <x:f>IF(I785&gt;=70,"Yes","No")</x:f>
        <x:v>No</x:v>
      </x:c>
      <x:c r="Q785" t="str">
        <x:f>TEXT(B785,"yyyy-mm")</x:f>
        <x:v>2016-09</x:v>
      </x:c>
    </x:row>
    <x:row r="786">
      <x:c r="A786" t="str">
        <x:v>HYD05</x:v>
      </x:c>
      <x:c r="B786" s="22" t="n">
        <x:f>DATE(C786,D786,1)</x:f>
        <x:v>42644</x:v>
      </x:c>
      <x:c r="C786" t="n">
        <x:v>2016</x:v>
      </x:c>
      <x:c r="D786" t="n">
        <x:v>10</x:v>
      </x:c>
      <x:c r="E786" t="str">
        <x:f>TEXT(B786,"mmm")</x:f>
        <x:v>Oct</x:v>
      </x:c>
      <x:c r="F786" t="str">
        <x:f>"Q"&amp;ROUNDUP(D786/3,0)</x:f>
        <x:v>Q4</x:v>
      </x:c>
      <x:c r="G786" s="23" t="n">
        <x:v>68</x:v>
      </x:c>
      <x:c r="H786" s="23" t="n">
        <x:v>61</x:v>
      </x:c>
      <x:c r="I786" s="23" t="n">
        <x:v>64.5</x:v>
      </x:c>
      <x:c r="J786" s="23" t="n">
        <x:f>G786-H786</x:f>
        <x:v>7</x:v>
      </x:c>
      <x:c r="K786" t="str">
        <x:v>OBSERVED</x:v>
      </x:c>
      <x:c r="L786" s="24" t="n">
        <x:v>17.4474</x:v>
      </x:c>
      <x:c r="M786" s="24" t="n">
        <x:v>78.3762</x:v>
      </x:c>
      <x:c r="N786" t="str">
        <x:f>IF(I786&gt;70,"70+ dB",IF(I786&gt;55,"56-70 dB","41-55 dB"))</x:f>
        <x:v>56-70 dB</x:v>
      </x:c>
      <x:c r="O786" t="str">
        <x:f>IF(I786&gt;70,"High",IF(I786&gt;55,"Moderate","Low"))</x:f>
        <x:v>Moderate</x:v>
      </x:c>
      <x:c r="P786" t="str">
        <x:f>IF(I786&gt;=70,"Yes","No")</x:f>
        <x:v>No</x:v>
      </x:c>
      <x:c r="Q786" t="str">
        <x:f>TEXT(B786,"yyyy-mm")</x:f>
        <x:v>2016-10</x:v>
      </x:c>
    </x:row>
    <x:row r="787">
      <x:c r="A787" t="str">
        <x:v>HYD05</x:v>
      </x:c>
      <x:c r="B787" s="22" t="n">
        <x:f>DATE(C787,D787,1)</x:f>
        <x:v>42675</x:v>
      </x:c>
      <x:c r="C787" t="n">
        <x:v>2016</x:v>
      </x:c>
      <x:c r="D787" t="n">
        <x:v>11</x:v>
      </x:c>
      <x:c r="E787" t="str">
        <x:f>TEXT(B787,"mmm")</x:f>
        <x:v>Nov</x:v>
      </x:c>
      <x:c r="F787" t="str">
        <x:f>"Q"&amp;ROUNDUP(D787/3,0)</x:f>
        <x:v>Q4</x:v>
      </x:c>
      <x:c r="G787" s="23" t="n">
        <x:v>65</x:v>
      </x:c>
      <x:c r="H787" s="23" t="n">
        <x:v>58</x:v>
      </x:c>
      <x:c r="I787" s="23" t="n">
        <x:v>61.5</x:v>
      </x:c>
      <x:c r="J787" s="23" t="n">
        <x:f>G787-H787</x:f>
        <x:v>7</x:v>
      </x:c>
      <x:c r="K787" t="str">
        <x:v>OBSERVED</x:v>
      </x:c>
      <x:c r="L787" s="24" t="n">
        <x:v>17.4474</x:v>
      </x:c>
      <x:c r="M787" s="24" t="n">
        <x:v>78.3762</x:v>
      </x:c>
      <x:c r="N787" t="str">
        <x:f>IF(I787&gt;70,"70+ dB",IF(I787&gt;55,"56-70 dB","41-55 dB"))</x:f>
        <x:v>56-70 dB</x:v>
      </x:c>
      <x:c r="O787" t="str">
        <x:f>IF(I787&gt;70,"High",IF(I787&gt;55,"Moderate","Low"))</x:f>
        <x:v>Moderate</x:v>
      </x:c>
      <x:c r="P787" t="str">
        <x:f>IF(I787&gt;=70,"Yes","No")</x:f>
        <x:v>No</x:v>
      </x:c>
      <x:c r="Q787" t="str">
        <x:f>TEXT(B787,"yyyy-mm")</x:f>
        <x:v>2016-11</x:v>
      </x:c>
    </x:row>
    <x:row r="788">
      <x:c r="A788" t="str">
        <x:v>HYD05</x:v>
      </x:c>
      <x:c r="B788" s="22" t="n">
        <x:f>DATE(C788,D788,1)</x:f>
        <x:v>42705</x:v>
      </x:c>
      <x:c r="C788" t="n">
        <x:v>2016</x:v>
      </x:c>
      <x:c r="D788" t="n">
        <x:v>12</x:v>
      </x:c>
      <x:c r="E788" t="str">
        <x:f>TEXT(B788,"mmm")</x:f>
        <x:v>Dec</x:v>
      </x:c>
      <x:c r="F788" t="str">
        <x:f>"Q"&amp;ROUNDUP(D788/3,0)</x:f>
        <x:v>Q4</x:v>
      </x:c>
      <x:c r="G788" s="23" t="n">
        <x:v>64</x:v>
      </x:c>
      <x:c r="H788" s="23" t="n">
        <x:v>57</x:v>
      </x:c>
      <x:c r="I788" s="23" t="n">
        <x:v>60.5</x:v>
      </x:c>
      <x:c r="J788" s="23" t="n">
        <x:f>G788-H788</x:f>
        <x:v>7</x:v>
      </x:c>
      <x:c r="K788" t="str">
        <x:v>OBSERVED</x:v>
      </x:c>
      <x:c r="L788" s="24" t="n">
        <x:v>17.4474</x:v>
      </x:c>
      <x:c r="M788" s="24" t="n">
        <x:v>78.3762</x:v>
      </x:c>
      <x:c r="N788" t="str">
        <x:f>IF(I788&gt;70,"70+ dB",IF(I788&gt;55,"56-70 dB","41-55 dB"))</x:f>
        <x:v>56-70 dB</x:v>
      </x:c>
      <x:c r="O788" t="str">
        <x:f>IF(I788&gt;70,"High",IF(I788&gt;55,"Moderate","Low"))</x:f>
        <x:v>Moderate</x:v>
      </x:c>
      <x:c r="P788" t="str">
        <x:f>IF(I788&gt;=70,"Yes","No")</x:f>
        <x:v>No</x:v>
      </x:c>
      <x:c r="Q788" t="str">
        <x:f>TEXT(B788,"yyyy-mm")</x:f>
        <x:v>2016-12</x:v>
      </x:c>
    </x:row>
    <x:row r="789">
      <x:c r="A789" t="str">
        <x:v>HYD05</x:v>
      </x:c>
      <x:c r="B789" s="22" t="n">
        <x:f>DATE(C789,D789,1)</x:f>
        <x:v>42736</x:v>
      </x:c>
      <x:c r="C789" t="n">
        <x:v>2017</x:v>
      </x:c>
      <x:c r="D789" t="n">
        <x:v>1</x:v>
      </x:c>
      <x:c r="E789" t="str">
        <x:f>TEXT(B789,"mmm")</x:f>
        <x:v>Jan</x:v>
      </x:c>
      <x:c r="F789" t="str">
        <x:f>"Q"&amp;ROUNDUP(D789/3,0)</x:f>
        <x:v>Q1</x:v>
      </x:c>
      <x:c r="G789" s="23" t="n">
        <x:v>64</x:v>
      </x:c>
      <x:c r="H789" s="23" t="n">
        <x:v>57</x:v>
      </x:c>
      <x:c r="I789" s="23" t="n">
        <x:v>60.5</x:v>
      </x:c>
      <x:c r="J789" s="23" t="n">
        <x:f>G789-H789</x:f>
        <x:v>7</x:v>
      </x:c>
      <x:c r="K789" t="str">
        <x:v>OBSERVED</x:v>
      </x:c>
      <x:c r="L789" s="24" t="n">
        <x:v>17.4474</x:v>
      </x:c>
      <x:c r="M789" s="24" t="n">
        <x:v>78.3762</x:v>
      </x:c>
      <x:c r="N789" t="str">
        <x:f>IF(I789&gt;70,"70+ dB",IF(I789&gt;55,"56-70 dB","41-55 dB"))</x:f>
        <x:v>56-70 dB</x:v>
      </x:c>
      <x:c r="O789" t="str">
        <x:f>IF(I789&gt;70,"High",IF(I789&gt;55,"Moderate","Low"))</x:f>
        <x:v>Moderate</x:v>
      </x:c>
      <x:c r="P789" t="str">
        <x:f>IF(I789&gt;=70,"Yes","No")</x:f>
        <x:v>No</x:v>
      </x:c>
      <x:c r="Q789" t="str">
        <x:f>TEXT(B789,"yyyy-mm")</x:f>
        <x:v>2017-01</x:v>
      </x:c>
    </x:row>
    <x:row r="790">
      <x:c r="A790" t="str">
        <x:v>HYD05</x:v>
      </x:c>
      <x:c r="B790" s="22" t="n">
        <x:f>DATE(C790,D790,1)</x:f>
        <x:v>42767</x:v>
      </x:c>
      <x:c r="C790" t="n">
        <x:v>2017</x:v>
      </x:c>
      <x:c r="D790" t="n">
        <x:v>2</x:v>
      </x:c>
      <x:c r="E790" t="str">
        <x:f>TEXT(B790,"mmm")</x:f>
        <x:v>Feb</x:v>
      </x:c>
      <x:c r="F790" t="str">
        <x:f>"Q"&amp;ROUNDUP(D790/3,0)</x:f>
        <x:v>Q1</x:v>
      </x:c>
      <x:c r="G790" s="23" t="n">
        <x:v>66</x:v>
      </x:c>
      <x:c r="H790" s="23" t="n">
        <x:v>59</x:v>
      </x:c>
      <x:c r="I790" s="23" t="n">
        <x:v>62.5</x:v>
      </x:c>
      <x:c r="J790" s="23" t="n">
        <x:f>G790-H790</x:f>
        <x:v>7</x:v>
      </x:c>
      <x:c r="K790" t="str">
        <x:v>OBSERVED</x:v>
      </x:c>
      <x:c r="L790" s="24" t="n">
        <x:v>17.4474</x:v>
      </x:c>
      <x:c r="M790" s="24" t="n">
        <x:v>78.3762</x:v>
      </x:c>
      <x:c r="N790" t="str">
        <x:f>IF(I790&gt;70,"70+ dB",IF(I790&gt;55,"56-70 dB","41-55 dB"))</x:f>
        <x:v>56-70 dB</x:v>
      </x:c>
      <x:c r="O790" t="str">
        <x:f>IF(I790&gt;70,"High",IF(I790&gt;55,"Moderate","Low"))</x:f>
        <x:v>Moderate</x:v>
      </x:c>
      <x:c r="P790" t="str">
        <x:f>IF(I790&gt;=70,"Yes","No")</x:f>
        <x:v>No</x:v>
      </x:c>
      <x:c r="Q790" t="str">
        <x:f>TEXT(B790,"yyyy-mm")</x:f>
        <x:v>2017-02</x:v>
      </x:c>
    </x:row>
    <x:row r="791">
      <x:c r="A791" t="str">
        <x:v>HYD05</x:v>
      </x:c>
      <x:c r="B791" s="22" t="n">
        <x:f>DATE(C791,D791,1)</x:f>
        <x:v>42795</x:v>
      </x:c>
      <x:c r="C791" t="n">
        <x:v>2017</x:v>
      </x:c>
      <x:c r="D791" t="n">
        <x:v>3</x:v>
      </x:c>
      <x:c r="E791" t="str">
        <x:f>TEXT(B791,"mmm")</x:f>
        <x:v>Mar</x:v>
      </x:c>
      <x:c r="F791" t="str">
        <x:f>"Q"&amp;ROUNDUP(D791/3,0)</x:f>
        <x:v>Q1</x:v>
      </x:c>
      <x:c r="G791" s="23" t="n">
        <x:v>66</x:v>
      </x:c>
      <x:c r="H791" s="23" t="n">
        <x:v>59</x:v>
      </x:c>
      <x:c r="I791" s="23" t="n">
        <x:v>62.5</x:v>
      </x:c>
      <x:c r="J791" s="23" t="n">
        <x:f>G791-H791</x:f>
        <x:v>7</x:v>
      </x:c>
      <x:c r="K791" t="str">
        <x:v>OBSERVED</x:v>
      </x:c>
      <x:c r="L791" s="24" t="n">
        <x:v>17.4474</x:v>
      </x:c>
      <x:c r="M791" s="24" t="n">
        <x:v>78.3762</x:v>
      </x:c>
      <x:c r="N791" t="str">
        <x:f>IF(I791&gt;70,"70+ dB",IF(I791&gt;55,"56-70 dB","41-55 dB"))</x:f>
        <x:v>56-70 dB</x:v>
      </x:c>
      <x:c r="O791" t="str">
        <x:f>IF(I791&gt;70,"High",IF(I791&gt;55,"Moderate","Low"))</x:f>
        <x:v>Moderate</x:v>
      </x:c>
      <x:c r="P791" t="str">
        <x:f>IF(I791&gt;=70,"Yes","No")</x:f>
        <x:v>No</x:v>
      </x:c>
      <x:c r="Q791" t="str">
        <x:f>TEXT(B791,"yyyy-mm")</x:f>
        <x:v>2017-03</x:v>
      </x:c>
    </x:row>
    <x:row r="792">
      <x:c r="A792" t="str">
        <x:v>HYD05</x:v>
      </x:c>
      <x:c r="B792" s="22" t="n">
        <x:f>DATE(C792,D792,1)</x:f>
        <x:v>42826</x:v>
      </x:c>
      <x:c r="C792" t="n">
        <x:v>2017</x:v>
      </x:c>
      <x:c r="D792" t="n">
        <x:v>4</x:v>
      </x:c>
      <x:c r="E792" t="str">
        <x:f>TEXT(B792,"mmm")</x:f>
        <x:v>Apr</x:v>
      </x:c>
      <x:c r="F792" t="str">
        <x:f>"Q"&amp;ROUNDUP(D792/3,0)</x:f>
        <x:v>Q2</x:v>
      </x:c>
      <x:c r="G792" s="23" t="n">
        <x:v>65</x:v>
      </x:c>
      <x:c r="H792" s="23" t="n">
        <x:v>59</x:v>
      </x:c>
      <x:c r="I792" s="23" t="n">
        <x:v>62</x:v>
      </x:c>
      <x:c r="J792" s="23" t="n">
        <x:f>G792-H792</x:f>
        <x:v>6</x:v>
      </x:c>
      <x:c r="K792" t="str">
        <x:v>OBSERVED</x:v>
      </x:c>
      <x:c r="L792" s="24" t="n">
        <x:v>17.4474</x:v>
      </x:c>
      <x:c r="M792" s="24" t="n">
        <x:v>78.3762</x:v>
      </x:c>
      <x:c r="N792" t="str">
        <x:f>IF(I792&gt;70,"70+ dB",IF(I792&gt;55,"56-70 dB","41-55 dB"))</x:f>
        <x:v>56-70 dB</x:v>
      </x:c>
      <x:c r="O792" t="str">
        <x:f>IF(I792&gt;70,"High",IF(I792&gt;55,"Moderate","Low"))</x:f>
        <x:v>Moderate</x:v>
      </x:c>
      <x:c r="P792" t="str">
        <x:f>IF(I792&gt;=70,"Yes","No")</x:f>
        <x:v>No</x:v>
      </x:c>
      <x:c r="Q792" t="str">
        <x:f>TEXT(B792,"yyyy-mm")</x:f>
        <x:v>2017-04</x:v>
      </x:c>
    </x:row>
    <x:row r="793">
      <x:c r="A793" t="str">
        <x:v>HYD05</x:v>
      </x:c>
      <x:c r="B793" s="22" t="n">
        <x:f>DATE(C793,D793,1)</x:f>
        <x:v>42856</x:v>
      </x:c>
      <x:c r="C793" t="n">
        <x:v>2017</x:v>
      </x:c>
      <x:c r="D793" t="n">
        <x:v>5</x:v>
      </x:c>
      <x:c r="E793" t="str">
        <x:f>TEXT(B793,"mmm")</x:f>
        <x:v>May</x:v>
      </x:c>
      <x:c r="F793" t="str">
        <x:f>"Q"&amp;ROUNDUP(D793/3,0)</x:f>
        <x:v>Q2</x:v>
      </x:c>
      <x:c r="G793" s="23" t="n">
        <x:v>66</x:v>
      </x:c>
      <x:c r="H793" s="23" t="n">
        <x:v>59</x:v>
      </x:c>
      <x:c r="I793" s="23" t="n">
        <x:v>62.5</x:v>
      </x:c>
      <x:c r="J793" s="23" t="n">
        <x:f>G793-H793</x:f>
        <x:v>7</x:v>
      </x:c>
      <x:c r="K793" t="str">
        <x:v>OBSERVED</x:v>
      </x:c>
      <x:c r="L793" s="24" t="n">
        <x:v>17.4474</x:v>
      </x:c>
      <x:c r="M793" s="24" t="n">
        <x:v>78.3762</x:v>
      </x:c>
      <x:c r="N793" t="str">
        <x:f>IF(I793&gt;70,"70+ dB",IF(I793&gt;55,"56-70 dB","41-55 dB"))</x:f>
        <x:v>56-70 dB</x:v>
      </x:c>
      <x:c r="O793" t="str">
        <x:f>IF(I793&gt;70,"High",IF(I793&gt;55,"Moderate","Low"))</x:f>
        <x:v>Moderate</x:v>
      </x:c>
      <x:c r="P793" t="str">
        <x:f>IF(I793&gt;=70,"Yes","No")</x:f>
        <x:v>No</x:v>
      </x:c>
      <x:c r="Q793" t="str">
        <x:f>TEXT(B793,"yyyy-mm")</x:f>
        <x:v>2017-05</x:v>
      </x:c>
    </x:row>
    <x:row r="794">
      <x:c r="A794" t="str">
        <x:v>HYD05</x:v>
      </x:c>
      <x:c r="B794" s="22" t="n">
        <x:f>DATE(C794,D794,1)</x:f>
        <x:v>42887</x:v>
      </x:c>
      <x:c r="C794" t="n">
        <x:v>2017</x:v>
      </x:c>
      <x:c r="D794" t="n">
        <x:v>6</x:v>
      </x:c>
      <x:c r="E794" t="str">
        <x:f>TEXT(B794,"mmm")</x:f>
        <x:v>Jun</x:v>
      </x:c>
      <x:c r="F794" t="str">
        <x:f>"Q"&amp;ROUNDUP(D794/3,0)</x:f>
        <x:v>Q2</x:v>
      </x:c>
      <x:c r="G794" s="23" t="n">
        <x:v>66</x:v>
      </x:c>
      <x:c r="H794" s="23" t="n">
        <x:v>62</x:v>
      </x:c>
      <x:c r="I794" s="23" t="n">
        <x:v>64</x:v>
      </x:c>
      <x:c r="J794" s="23" t="n">
        <x:f>G794-H794</x:f>
        <x:v>4</x:v>
      </x:c>
      <x:c r="K794" t="str">
        <x:v>OBSERVED</x:v>
      </x:c>
      <x:c r="L794" s="24" t="n">
        <x:v>17.4474</x:v>
      </x:c>
      <x:c r="M794" s="24" t="n">
        <x:v>78.3762</x:v>
      </x:c>
      <x:c r="N794" t="str">
        <x:f>IF(I794&gt;70,"70+ dB",IF(I794&gt;55,"56-70 dB","41-55 dB"))</x:f>
        <x:v>56-70 dB</x:v>
      </x:c>
      <x:c r="O794" t="str">
        <x:f>IF(I794&gt;70,"High",IF(I794&gt;55,"Moderate","Low"))</x:f>
        <x:v>Moderate</x:v>
      </x:c>
      <x:c r="P794" t="str">
        <x:f>IF(I794&gt;=70,"Yes","No")</x:f>
        <x:v>No</x:v>
      </x:c>
      <x:c r="Q794" t="str">
        <x:f>TEXT(B794,"yyyy-mm")</x:f>
        <x:v>2017-06</x:v>
      </x:c>
    </x:row>
    <x:row r="795">
      <x:c r="A795" t="str">
        <x:v>HYD05</x:v>
      </x:c>
      <x:c r="B795" s="22" t="n">
        <x:f>DATE(C795,D795,1)</x:f>
        <x:v>42917</x:v>
      </x:c>
      <x:c r="C795" t="n">
        <x:v>2017</x:v>
      </x:c>
      <x:c r="D795" t="n">
        <x:v>7</x:v>
      </x:c>
      <x:c r="E795" t="str">
        <x:f>TEXT(B795,"mmm")</x:f>
        <x:v>Jul</x:v>
      </x:c>
      <x:c r="F795" t="str">
        <x:f>"Q"&amp;ROUNDUP(D795/3,0)</x:f>
        <x:v>Q3</x:v>
      </x:c>
      <x:c r="G795" s="23" t="n">
        <x:v>67</x:v>
      </x:c>
      <x:c r="H795" s="23" t="n">
        <x:v>65</x:v>
      </x:c>
      <x:c r="I795" s="23" t="n">
        <x:v>66</x:v>
      </x:c>
      <x:c r="J795" s="23" t="n">
        <x:f>G795-H795</x:f>
        <x:v>2</x:v>
      </x:c>
      <x:c r="K795" t="str">
        <x:v>OBSERVED</x:v>
      </x:c>
      <x:c r="L795" s="24" t="n">
        <x:v>17.4474</x:v>
      </x:c>
      <x:c r="M795" s="24" t="n">
        <x:v>78.3762</x:v>
      </x:c>
      <x:c r="N795" t="str">
        <x:f>IF(I795&gt;70,"70+ dB",IF(I795&gt;55,"56-70 dB","41-55 dB"))</x:f>
        <x:v>56-70 dB</x:v>
      </x:c>
      <x:c r="O795" t="str">
        <x:f>IF(I795&gt;70,"High",IF(I795&gt;55,"Moderate","Low"))</x:f>
        <x:v>Moderate</x:v>
      </x:c>
      <x:c r="P795" t="str">
        <x:f>IF(I795&gt;=70,"Yes","No")</x:f>
        <x:v>No</x:v>
      </x:c>
      <x:c r="Q795" t="str">
        <x:f>TEXT(B795,"yyyy-mm")</x:f>
        <x:v>2017-07</x:v>
      </x:c>
    </x:row>
    <x:row r="796">
      <x:c r="A796" t="str">
        <x:v>HYD05</x:v>
      </x:c>
      <x:c r="B796" s="22" t="n">
        <x:f>DATE(C796,D796,1)</x:f>
        <x:v>42948</x:v>
      </x:c>
      <x:c r="C796" t="n">
        <x:v>2017</x:v>
      </x:c>
      <x:c r="D796" t="n">
        <x:v>8</x:v>
      </x:c>
      <x:c r="E796" t="str">
        <x:f>TEXT(B796,"mmm")</x:f>
        <x:v>Aug</x:v>
      </x:c>
      <x:c r="F796" t="str">
        <x:f>"Q"&amp;ROUNDUP(D796/3,0)</x:f>
        <x:v>Q3</x:v>
      </x:c>
      <x:c r="G796" s="23" t="n">
        <x:v>66</x:v>
      </x:c>
      <x:c r="H796" s="23" t="n">
        <x:v>59</x:v>
      </x:c>
      <x:c r="I796" s="23" t="n">
        <x:v>62.5</x:v>
      </x:c>
      <x:c r="J796" s="23" t="n">
        <x:f>G796-H796</x:f>
        <x:v>7</x:v>
      </x:c>
      <x:c r="K796" t="str">
        <x:v>OBSERVED</x:v>
      </x:c>
      <x:c r="L796" s="24" t="n">
        <x:v>17.4474</x:v>
      </x:c>
      <x:c r="M796" s="24" t="n">
        <x:v>78.3762</x:v>
      </x:c>
      <x:c r="N796" t="str">
        <x:f>IF(I796&gt;70,"70+ dB",IF(I796&gt;55,"56-70 dB","41-55 dB"))</x:f>
        <x:v>56-70 dB</x:v>
      </x:c>
      <x:c r="O796" t="str">
        <x:f>IF(I796&gt;70,"High",IF(I796&gt;55,"Moderate","Low"))</x:f>
        <x:v>Moderate</x:v>
      </x:c>
      <x:c r="P796" t="str">
        <x:f>IF(I796&gt;=70,"Yes","No")</x:f>
        <x:v>No</x:v>
      </x:c>
      <x:c r="Q796" t="str">
        <x:f>TEXT(B796,"yyyy-mm")</x:f>
        <x:v>2017-08</x:v>
      </x:c>
    </x:row>
    <x:row r="797">
      <x:c r="A797" t="str">
        <x:v>HYD05</x:v>
      </x:c>
      <x:c r="B797" s="22" t="n">
        <x:f>DATE(C797,D797,1)</x:f>
        <x:v>42979</x:v>
      </x:c>
      <x:c r="C797" t="n">
        <x:v>2017</x:v>
      </x:c>
      <x:c r="D797" t="n">
        <x:v>9</x:v>
      </x:c>
      <x:c r="E797" t="str">
        <x:f>TEXT(B797,"mmm")</x:f>
        <x:v>Sep</x:v>
      </x:c>
      <x:c r="F797" t="str">
        <x:f>"Q"&amp;ROUNDUP(D797/3,0)</x:f>
        <x:v>Q3</x:v>
      </x:c>
      <x:c r="G797" s="23" t="n">
        <x:v>68</x:v>
      </x:c>
      <x:c r="H797" s="23" t="n">
        <x:v>60</x:v>
      </x:c>
      <x:c r="I797" s="23" t="n">
        <x:v>64</x:v>
      </x:c>
      <x:c r="J797" s="23" t="n">
        <x:f>G797-H797</x:f>
        <x:v>8</x:v>
      </x:c>
      <x:c r="K797" t="str">
        <x:v>OBSERVED</x:v>
      </x:c>
      <x:c r="L797" s="24" t="n">
        <x:v>17.4474</x:v>
      </x:c>
      <x:c r="M797" s="24" t="n">
        <x:v>78.3762</x:v>
      </x:c>
      <x:c r="N797" t="str">
        <x:f>IF(I797&gt;70,"70+ dB",IF(I797&gt;55,"56-70 dB","41-55 dB"))</x:f>
        <x:v>56-70 dB</x:v>
      </x:c>
      <x:c r="O797" t="str">
        <x:f>IF(I797&gt;70,"High",IF(I797&gt;55,"Moderate","Low"))</x:f>
        <x:v>Moderate</x:v>
      </x:c>
      <x:c r="P797" t="str">
        <x:f>IF(I797&gt;=70,"Yes","No")</x:f>
        <x:v>No</x:v>
      </x:c>
      <x:c r="Q797" t="str">
        <x:f>TEXT(B797,"yyyy-mm")</x:f>
        <x:v>2017-09</x:v>
      </x:c>
    </x:row>
    <x:row r="798">
      <x:c r="A798" t="str">
        <x:v>HYD05</x:v>
      </x:c>
      <x:c r="B798" s="22" t="n">
        <x:f>DATE(C798,D798,1)</x:f>
        <x:v>43009</x:v>
      </x:c>
      <x:c r="C798" t="n">
        <x:v>2017</x:v>
      </x:c>
      <x:c r="D798" t="n">
        <x:v>10</x:v>
      </x:c>
      <x:c r="E798" t="str">
        <x:f>TEXT(B798,"mmm")</x:f>
        <x:v>Oct</x:v>
      </x:c>
      <x:c r="F798" t="str">
        <x:f>"Q"&amp;ROUNDUP(D798/3,0)</x:f>
        <x:v>Q4</x:v>
      </x:c>
      <x:c r="G798" s="23" t="n">
        <x:v>72</x:v>
      </x:c>
      <x:c r="H798" s="23" t="n">
        <x:v>67</x:v>
      </x:c>
      <x:c r="I798" s="23" t="n">
        <x:v>69.5</x:v>
      </x:c>
      <x:c r="J798" s="23" t="n">
        <x:f>G798-H798</x:f>
        <x:v>5</x:v>
      </x:c>
      <x:c r="K798" t="str">
        <x:v>OBSERVED</x:v>
      </x:c>
      <x:c r="L798" s="24" t="n">
        <x:v>17.4474</x:v>
      </x:c>
      <x:c r="M798" s="24" t="n">
        <x:v>78.3762</x:v>
      </x:c>
      <x:c r="N798" t="str">
        <x:f>IF(I798&gt;70,"70+ dB",IF(I798&gt;55,"56-70 dB","41-55 dB"))</x:f>
        <x:v>56-70 dB</x:v>
      </x:c>
      <x:c r="O798" t="str">
        <x:f>IF(I798&gt;70,"High",IF(I798&gt;55,"Moderate","Low"))</x:f>
        <x:v>Moderate</x:v>
      </x:c>
      <x:c r="P798" t="str">
        <x:f>IF(I798&gt;=70,"Yes","No")</x:f>
        <x:v>No</x:v>
      </x:c>
      <x:c r="Q798" t="str">
        <x:f>TEXT(B798,"yyyy-mm")</x:f>
        <x:v>2017-10</x:v>
      </x:c>
    </x:row>
    <x:row r="799">
      <x:c r="A799" t="str">
        <x:v>HYD05</x:v>
      </x:c>
      <x:c r="B799" s="22" t="n">
        <x:f>DATE(C799,D799,1)</x:f>
        <x:v>43040</x:v>
      </x:c>
      <x:c r="C799" t="n">
        <x:v>2017</x:v>
      </x:c>
      <x:c r="D799" t="n">
        <x:v>11</x:v>
      </x:c>
      <x:c r="E799" t="str">
        <x:f>TEXT(B799,"mmm")</x:f>
        <x:v>Nov</x:v>
      </x:c>
      <x:c r="F799" t="str">
        <x:f>"Q"&amp;ROUNDUP(D799/3,0)</x:f>
        <x:v>Q4</x:v>
      </x:c>
      <x:c r="G799" s="23" t="n">
        <x:v>78</x:v>
      </x:c>
      <x:c r="H799" s="23" t="n">
        <x:v>80</x:v>
      </x:c>
      <x:c r="I799" s="23" t="n">
        <x:v>79</x:v>
      </x:c>
      <x:c r="J799" s="23" t="n">
        <x:f>G799-H799</x:f>
        <x:v>-2</x:v>
      </x:c>
      <x:c r="K799" t="str">
        <x:v>OBSERVED</x:v>
      </x:c>
      <x:c r="L799" s="24" t="n">
        <x:v>17.4474</x:v>
      </x:c>
      <x:c r="M799" s="24" t="n">
        <x:v>78.3762</x:v>
      </x:c>
      <x:c r="N799" t="str">
        <x:f>IF(I799&gt;70,"70+ dB",IF(I799&gt;55,"56-70 dB","41-55 dB"))</x:f>
        <x:v>70+ dB</x:v>
      </x:c>
      <x:c r="O799" t="str">
        <x:f>IF(I799&gt;70,"High",IF(I799&gt;55,"Moderate","Low"))</x:f>
        <x:v>High</x:v>
      </x:c>
      <x:c r="P799" t="str">
        <x:f>IF(I799&gt;=70,"Yes","No")</x:f>
        <x:v>Yes</x:v>
      </x:c>
      <x:c r="Q799" t="str">
        <x:f>TEXT(B799,"yyyy-mm")</x:f>
        <x:v>2017-11</x:v>
      </x:c>
    </x:row>
    <x:row r="800">
      <x:c r="A800" t="str">
        <x:v>HYD05</x:v>
      </x:c>
      <x:c r="B800" s="22" t="n">
        <x:f>DATE(C800,D800,1)</x:f>
        <x:v>43070</x:v>
      </x:c>
      <x:c r="C800" t="n">
        <x:v>2017</x:v>
      </x:c>
      <x:c r="D800" t="n">
        <x:v>12</x:v>
      </x:c>
      <x:c r="E800" t="str">
        <x:f>TEXT(B800,"mmm")</x:f>
        <x:v>Dec</x:v>
      </x:c>
      <x:c r="F800" t="str">
        <x:f>"Q"&amp;ROUNDUP(D800/3,0)</x:f>
        <x:v>Q4</x:v>
      </x:c>
      <x:c r="G800" s="23" t="n">
        <x:v>75</x:v>
      </x:c>
      <x:c r="H800" s="23" t="n">
        <x:v>76</x:v>
      </x:c>
      <x:c r="I800" s="23" t="n">
        <x:v>75.5</x:v>
      </x:c>
      <x:c r="J800" s="23" t="n">
        <x:f>G800-H800</x:f>
        <x:v>-1</x:v>
      </x:c>
      <x:c r="K800" t="str">
        <x:v>OBSERVED</x:v>
      </x:c>
      <x:c r="L800" s="24" t="n">
        <x:v>17.4474</x:v>
      </x:c>
      <x:c r="M800" s="24" t="n">
        <x:v>78.3762</x:v>
      </x:c>
      <x:c r="N800" t="str">
        <x:f>IF(I800&gt;70,"70+ dB",IF(I800&gt;55,"56-70 dB","41-55 dB"))</x:f>
        <x:v>70+ dB</x:v>
      </x:c>
      <x:c r="O800" t="str">
        <x:f>IF(I800&gt;70,"High",IF(I800&gt;55,"Moderate","Low"))</x:f>
        <x:v>High</x:v>
      </x:c>
      <x:c r="P800" t="str">
        <x:f>IF(I800&gt;=70,"Yes","No")</x:f>
        <x:v>Yes</x:v>
      </x:c>
      <x:c r="Q800" t="str">
        <x:f>TEXT(B800,"yyyy-mm")</x:f>
        <x:v>2017-12</x:v>
      </x:c>
    </x:row>
    <x:row r="801">
      <x:c r="A801" t="str">
        <x:v>HYD05</x:v>
      </x:c>
      <x:c r="B801" s="22" t="n">
        <x:f>DATE(C801,D801,1)</x:f>
        <x:v>43101</x:v>
      </x:c>
      <x:c r="C801" t="n">
        <x:v>2018</x:v>
      </x:c>
      <x:c r="D801" t="n">
        <x:v>1</x:v>
      </x:c>
      <x:c r="E801" t="str">
        <x:f>TEXT(B801,"mmm")</x:f>
        <x:v>Jan</x:v>
      </x:c>
      <x:c r="F801" t="str">
        <x:f>"Q"&amp;ROUNDUP(D801/3,0)</x:f>
        <x:v>Q1</x:v>
      </x:c>
      <x:c r="G801" s="23" t="n">
        <x:v>71</x:v>
      </x:c>
      <x:c r="H801" s="23" t="n">
        <x:v>65</x:v>
      </x:c>
      <x:c r="I801" s="23" t="n">
        <x:v>68</x:v>
      </x:c>
      <x:c r="J801" s="23" t="n">
        <x:f>G801-H801</x:f>
        <x:v>6</x:v>
      </x:c>
      <x:c r="K801" t="str">
        <x:v>OBSERVED</x:v>
      </x:c>
      <x:c r="L801" s="24" t="n">
        <x:v>17.4474</x:v>
      </x:c>
      <x:c r="M801" s="24" t="n">
        <x:v>78.3762</x:v>
      </x:c>
      <x:c r="N801" t="str">
        <x:f>IF(I801&gt;70,"70+ dB",IF(I801&gt;55,"56-70 dB","41-55 dB"))</x:f>
        <x:v>56-70 dB</x:v>
      </x:c>
      <x:c r="O801" t="str">
        <x:f>IF(I801&gt;70,"High",IF(I801&gt;55,"Moderate","Low"))</x:f>
        <x:v>Moderate</x:v>
      </x:c>
      <x:c r="P801" t="str">
        <x:f>IF(I801&gt;=70,"Yes","No")</x:f>
        <x:v>No</x:v>
      </x:c>
      <x:c r="Q801" t="str">
        <x:f>TEXT(B801,"yyyy-mm")</x:f>
        <x:v>2018-01</x:v>
      </x:c>
    </x:row>
    <x:row r="802">
      <x:c r="A802" t="str">
        <x:v>HYD05</x:v>
      </x:c>
      <x:c r="B802" s="22" t="n">
        <x:f>DATE(C802,D802,1)</x:f>
        <x:v>43132</x:v>
      </x:c>
      <x:c r="C802" t="n">
        <x:v>2018</x:v>
      </x:c>
      <x:c r="D802" t="n">
        <x:v>2</x:v>
      </x:c>
      <x:c r="E802" t="str">
        <x:f>TEXT(B802,"mmm")</x:f>
        <x:v>Feb</x:v>
      </x:c>
      <x:c r="F802" t="str">
        <x:f>"Q"&amp;ROUNDUP(D802/3,0)</x:f>
        <x:v>Q1</x:v>
      </x:c>
      <x:c r="G802" s="23" t="n">
        <x:v>71</x:v>
      </x:c>
      <x:c r="H802" s="23" t="n">
        <x:v>65</x:v>
      </x:c>
      <x:c r="I802" s="23" t="n">
        <x:v>68</x:v>
      </x:c>
      <x:c r="J802" s="23" t="n">
        <x:f>G802-H802</x:f>
        <x:v>6</x:v>
      </x:c>
      <x:c r="K802" t="str">
        <x:v>OBSERVED</x:v>
      </x:c>
      <x:c r="L802" s="24" t="n">
        <x:v>17.4474</x:v>
      </x:c>
      <x:c r="M802" s="24" t="n">
        <x:v>78.3762</x:v>
      </x:c>
      <x:c r="N802" t="str">
        <x:f>IF(I802&gt;70,"70+ dB",IF(I802&gt;55,"56-70 dB","41-55 dB"))</x:f>
        <x:v>56-70 dB</x:v>
      </x:c>
      <x:c r="O802" t="str">
        <x:f>IF(I802&gt;70,"High",IF(I802&gt;55,"Moderate","Low"))</x:f>
        <x:v>Moderate</x:v>
      </x:c>
      <x:c r="P802" t="str">
        <x:f>IF(I802&gt;=70,"Yes","No")</x:f>
        <x:v>No</x:v>
      </x:c>
      <x:c r="Q802" t="str">
        <x:f>TEXT(B802,"yyyy-mm")</x:f>
        <x:v>2018-02</x:v>
      </x:c>
    </x:row>
    <x:row r="803">
      <x:c r="A803" t="str">
        <x:v>HYD05</x:v>
      </x:c>
      <x:c r="B803" s="22" t="n">
        <x:f>DATE(C803,D803,1)</x:f>
        <x:v>43160</x:v>
      </x:c>
      <x:c r="C803" t="n">
        <x:v>2018</x:v>
      </x:c>
      <x:c r="D803" t="n">
        <x:v>3</x:v>
      </x:c>
      <x:c r="E803" t="str">
        <x:f>TEXT(B803,"mmm")</x:f>
        <x:v>Mar</x:v>
      </x:c>
      <x:c r="F803" t="str">
        <x:f>"Q"&amp;ROUNDUP(D803/3,0)</x:f>
        <x:v>Q1</x:v>
      </x:c>
      <x:c r="G803" s="23" t="n">
        <x:v>70</x:v>
      </x:c>
      <x:c r="H803" s="23" t="n">
        <x:v>65</x:v>
      </x:c>
      <x:c r="I803" s="23" t="n">
        <x:v>67.5</x:v>
      </x:c>
      <x:c r="J803" s="23" t="n">
        <x:f>G803-H803</x:f>
        <x:v>5</x:v>
      </x:c>
      <x:c r="K803" t="str">
        <x:v>OBSERVED</x:v>
      </x:c>
      <x:c r="L803" s="24" t="n">
        <x:v>17.4474</x:v>
      </x:c>
      <x:c r="M803" s="24" t="n">
        <x:v>78.3762</x:v>
      </x:c>
      <x:c r="N803" t="str">
        <x:f>IF(I803&gt;70,"70+ dB",IF(I803&gt;55,"56-70 dB","41-55 dB"))</x:f>
        <x:v>56-70 dB</x:v>
      </x:c>
      <x:c r="O803" t="str">
        <x:f>IF(I803&gt;70,"High",IF(I803&gt;55,"Moderate","Low"))</x:f>
        <x:v>Moderate</x:v>
      </x:c>
      <x:c r="P803" t="str">
        <x:f>IF(I803&gt;=70,"Yes","No")</x:f>
        <x:v>No</x:v>
      </x:c>
      <x:c r="Q803" t="str">
        <x:f>TEXT(B803,"yyyy-mm")</x:f>
        <x:v>2018-03</x:v>
      </x:c>
    </x:row>
    <x:row r="804">
      <x:c r="A804" t="str">
        <x:v>HYD05</x:v>
      </x:c>
      <x:c r="B804" s="22" t="n">
        <x:f>DATE(C804,D804,1)</x:f>
        <x:v>43191</x:v>
      </x:c>
      <x:c r="C804" t="n">
        <x:v>2018</x:v>
      </x:c>
      <x:c r="D804" t="n">
        <x:v>4</x:v>
      </x:c>
      <x:c r="E804" t="str">
        <x:f>TEXT(B804,"mmm")</x:f>
        <x:v>Apr</x:v>
      </x:c>
      <x:c r="F804" t="str">
        <x:f>"Q"&amp;ROUNDUP(D804/3,0)</x:f>
        <x:v>Q2</x:v>
      </x:c>
      <x:c r="G804" s="23" t="n">
        <x:v>71</x:v>
      </x:c>
      <x:c r="H804" s="23" t="n">
        <x:v>65</x:v>
      </x:c>
      <x:c r="I804" s="23" t="n">
        <x:v>68</x:v>
      </x:c>
      <x:c r="J804" s="23" t="n">
        <x:f>G804-H804</x:f>
        <x:v>6</x:v>
      </x:c>
      <x:c r="K804" t="str">
        <x:v>OBSERVED</x:v>
      </x:c>
      <x:c r="L804" s="24" t="n">
        <x:v>17.4474</x:v>
      </x:c>
      <x:c r="M804" s="24" t="n">
        <x:v>78.3762</x:v>
      </x:c>
      <x:c r="N804" t="str">
        <x:f>IF(I804&gt;70,"70+ dB",IF(I804&gt;55,"56-70 dB","41-55 dB"))</x:f>
        <x:v>56-70 dB</x:v>
      </x:c>
      <x:c r="O804" t="str">
        <x:f>IF(I804&gt;70,"High",IF(I804&gt;55,"Moderate","Low"))</x:f>
        <x:v>Moderate</x:v>
      </x:c>
      <x:c r="P804" t="str">
        <x:f>IF(I804&gt;=70,"Yes","No")</x:f>
        <x:v>No</x:v>
      </x:c>
      <x:c r="Q804" t="str">
        <x:f>TEXT(B804,"yyyy-mm")</x:f>
        <x:v>2018-04</x:v>
      </x:c>
    </x:row>
    <x:row r="805">
      <x:c r="A805" t="str">
        <x:v>HYD05</x:v>
      </x:c>
      <x:c r="B805" s="22" t="n">
        <x:f>DATE(C805,D805,1)</x:f>
        <x:v>43221</x:v>
      </x:c>
      <x:c r="C805" t="n">
        <x:v>2018</x:v>
      </x:c>
      <x:c r="D805" t="n">
        <x:v>5</x:v>
      </x:c>
      <x:c r="E805" t="str">
        <x:f>TEXT(B805,"mmm")</x:f>
        <x:v>May</x:v>
      </x:c>
      <x:c r="F805" t="str">
        <x:f>"Q"&amp;ROUNDUP(D805/3,0)</x:f>
        <x:v>Q2</x:v>
      </x:c>
      <x:c r="G805" s="23" t="n">
        <x:v>70</x:v>
      </x:c>
      <x:c r="H805" s="23" t="n">
        <x:v>65</x:v>
      </x:c>
      <x:c r="I805" s="23" t="n">
        <x:v>67.5</x:v>
      </x:c>
      <x:c r="J805" s="23" t="n">
        <x:f>G805-H805</x:f>
        <x:v>5</x:v>
      </x:c>
      <x:c r="K805" t="str">
        <x:v>OBSERVED</x:v>
      </x:c>
      <x:c r="L805" s="24" t="n">
        <x:v>17.4474</x:v>
      </x:c>
      <x:c r="M805" s="24" t="n">
        <x:v>78.3762</x:v>
      </x:c>
      <x:c r="N805" t="str">
        <x:f>IF(I805&gt;70,"70+ dB",IF(I805&gt;55,"56-70 dB","41-55 dB"))</x:f>
        <x:v>56-70 dB</x:v>
      </x:c>
      <x:c r="O805" t="str">
        <x:f>IF(I805&gt;70,"High",IF(I805&gt;55,"Moderate","Low"))</x:f>
        <x:v>Moderate</x:v>
      </x:c>
      <x:c r="P805" t="str">
        <x:f>IF(I805&gt;=70,"Yes","No")</x:f>
        <x:v>No</x:v>
      </x:c>
      <x:c r="Q805" t="str">
        <x:f>TEXT(B805,"yyyy-mm")</x:f>
        <x:v>2018-05</x:v>
      </x:c>
    </x:row>
    <x:row r="806">
      <x:c r="A806" t="str">
        <x:v>HYD05</x:v>
      </x:c>
      <x:c r="B806" s="22" t="n">
        <x:f>DATE(C806,D806,1)</x:f>
        <x:v>43252</x:v>
      </x:c>
      <x:c r="C806" t="n">
        <x:v>2018</x:v>
      </x:c>
      <x:c r="D806" t="n">
        <x:v>6</x:v>
      </x:c>
      <x:c r="E806" t="str">
        <x:f>TEXT(B806,"mmm")</x:f>
        <x:v>Jun</x:v>
      </x:c>
      <x:c r="F806" t="str">
        <x:f>"Q"&amp;ROUNDUP(D806/3,0)</x:f>
        <x:v>Q2</x:v>
      </x:c>
      <x:c r="G806" s="23" t="n">
        <x:v>71</x:v>
      </x:c>
      <x:c r="H806" s="23" t="n">
        <x:v>66</x:v>
      </x:c>
      <x:c r="I806" s="23" t="n">
        <x:v>68.5</x:v>
      </x:c>
      <x:c r="J806" s="23" t="n">
        <x:f>G806-H806</x:f>
        <x:v>5</x:v>
      </x:c>
      <x:c r="K806" t="str">
        <x:v>OBSERVED</x:v>
      </x:c>
      <x:c r="L806" s="24" t="n">
        <x:v>17.4474</x:v>
      </x:c>
      <x:c r="M806" s="24" t="n">
        <x:v>78.3762</x:v>
      </x:c>
      <x:c r="N806" t="str">
        <x:f>IF(I806&gt;70,"70+ dB",IF(I806&gt;55,"56-70 dB","41-55 dB"))</x:f>
        <x:v>56-70 dB</x:v>
      </x:c>
      <x:c r="O806" t="str">
        <x:f>IF(I806&gt;70,"High",IF(I806&gt;55,"Moderate","Low"))</x:f>
        <x:v>Moderate</x:v>
      </x:c>
      <x:c r="P806" t="str">
        <x:f>IF(I806&gt;=70,"Yes","No")</x:f>
        <x:v>No</x:v>
      </x:c>
      <x:c r="Q806" t="str">
        <x:f>TEXT(B806,"yyyy-mm")</x:f>
        <x:v>2018-06</x:v>
      </x:c>
    </x:row>
    <x:row r="807">
      <x:c r="A807" t="str">
        <x:v>HYD05</x:v>
      </x:c>
      <x:c r="B807" s="22" t="n">
        <x:f>DATE(C807,D807,1)</x:f>
        <x:v>43282</x:v>
      </x:c>
      <x:c r="C807" t="n">
        <x:v>2018</x:v>
      </x:c>
      <x:c r="D807" t="n">
        <x:v>7</x:v>
      </x:c>
      <x:c r="E807" t="str">
        <x:f>TEXT(B807,"mmm")</x:f>
        <x:v>Jul</x:v>
      </x:c>
      <x:c r="F807" t="str">
        <x:f>"Q"&amp;ROUNDUP(D807/3,0)</x:f>
        <x:v>Q3</x:v>
      </x:c>
      <x:c r="G807" s="23" t="n">
        <x:v>71</x:v>
      </x:c>
      <x:c r="H807" s="23" t="n">
        <x:v>66</x:v>
      </x:c>
      <x:c r="I807" s="23" t="n">
        <x:v>68.5</x:v>
      </x:c>
      <x:c r="J807" s="23" t="n">
        <x:f>G807-H807</x:f>
        <x:v>5</x:v>
      </x:c>
      <x:c r="K807" t="str">
        <x:v>OBSERVED</x:v>
      </x:c>
      <x:c r="L807" s="24" t="n">
        <x:v>17.4474</x:v>
      </x:c>
      <x:c r="M807" s="24" t="n">
        <x:v>78.3762</x:v>
      </x:c>
      <x:c r="N807" t="str">
        <x:f>IF(I807&gt;70,"70+ dB",IF(I807&gt;55,"56-70 dB","41-55 dB"))</x:f>
        <x:v>56-70 dB</x:v>
      </x:c>
      <x:c r="O807" t="str">
        <x:f>IF(I807&gt;70,"High",IF(I807&gt;55,"Moderate","Low"))</x:f>
        <x:v>Moderate</x:v>
      </x:c>
      <x:c r="P807" t="str">
        <x:f>IF(I807&gt;=70,"Yes","No")</x:f>
        <x:v>No</x:v>
      </x:c>
      <x:c r="Q807" t="str">
        <x:f>TEXT(B807,"yyyy-mm")</x:f>
        <x:v>2018-07</x:v>
      </x:c>
    </x:row>
    <x:row r="808">
      <x:c r="A808" t="str">
        <x:v>HYD05</x:v>
      </x:c>
      <x:c r="B808" s="22" t="n">
        <x:f>DATE(C808,D808,1)</x:f>
        <x:v>43313</x:v>
      </x:c>
      <x:c r="C808" t="n">
        <x:v>2018</x:v>
      </x:c>
      <x:c r="D808" t="n">
        <x:v>8</x:v>
      </x:c>
      <x:c r="E808" t="str">
        <x:f>TEXT(B808,"mmm")</x:f>
        <x:v>Aug</x:v>
      </x:c>
      <x:c r="F808" t="str">
        <x:f>"Q"&amp;ROUNDUP(D808/3,0)</x:f>
        <x:v>Q3</x:v>
      </x:c>
      <x:c r="G808" s="23" t="n">
        <x:v>71</x:v>
      </x:c>
      <x:c r="H808" s="23" t="n">
        <x:v>65</x:v>
      </x:c>
      <x:c r="I808" s="23" t="n">
        <x:v>68</x:v>
      </x:c>
      <x:c r="J808" s="23" t="n">
        <x:f>G808-H808</x:f>
        <x:v>6</x:v>
      </x:c>
      <x:c r="K808" t="str">
        <x:v>OBSERVED</x:v>
      </x:c>
      <x:c r="L808" s="24" t="n">
        <x:v>17.4474</x:v>
      </x:c>
      <x:c r="M808" s="24" t="n">
        <x:v>78.3762</x:v>
      </x:c>
      <x:c r="N808" t="str">
        <x:f>IF(I808&gt;70,"70+ dB",IF(I808&gt;55,"56-70 dB","41-55 dB"))</x:f>
        <x:v>56-70 dB</x:v>
      </x:c>
      <x:c r="O808" t="str">
        <x:f>IF(I808&gt;70,"High",IF(I808&gt;55,"Moderate","Low"))</x:f>
        <x:v>Moderate</x:v>
      </x:c>
      <x:c r="P808" t="str">
        <x:f>IF(I808&gt;=70,"Yes","No")</x:f>
        <x:v>No</x:v>
      </x:c>
      <x:c r="Q808" t="str">
        <x:f>TEXT(B808,"yyyy-mm")</x:f>
        <x:v>2018-08</x:v>
      </x:c>
    </x:row>
    <x:row r="809">
      <x:c r="A809" t="str">
        <x:v>HYD05</x:v>
      </x:c>
      <x:c r="B809" s="22" t="n">
        <x:f>DATE(C809,D809,1)</x:f>
        <x:v>43344</x:v>
      </x:c>
      <x:c r="C809" t="n">
        <x:v>2018</x:v>
      </x:c>
      <x:c r="D809" t="n">
        <x:v>9</x:v>
      </x:c>
      <x:c r="E809" t="str">
        <x:f>TEXT(B809,"mmm")</x:f>
        <x:v>Sep</x:v>
      </x:c>
      <x:c r="F809" t="str">
        <x:f>"Q"&amp;ROUNDUP(D809/3,0)</x:f>
        <x:v>Q3</x:v>
      </x:c>
      <x:c r="G809" s="23" t="n">
        <x:v>65</x:v>
      </x:c>
      <x:c r="H809" s="23" t="n">
        <x:v>59</x:v>
      </x:c>
      <x:c r="I809" s="23" t="n">
        <x:v>62</x:v>
      </x:c>
      <x:c r="J809" s="23" t="n">
        <x:f>G809-H809</x:f>
        <x:v>6</x:v>
      </x:c>
      <x:c r="K809" t="str">
        <x:v>OBSERVED</x:v>
      </x:c>
      <x:c r="L809" s="24" t="n">
        <x:v>17.4474</x:v>
      </x:c>
      <x:c r="M809" s="24" t="n">
        <x:v>78.3762</x:v>
      </x:c>
      <x:c r="N809" t="str">
        <x:f>IF(I809&gt;70,"70+ dB",IF(I809&gt;55,"56-70 dB","41-55 dB"))</x:f>
        <x:v>56-70 dB</x:v>
      </x:c>
      <x:c r="O809" t="str">
        <x:f>IF(I809&gt;70,"High",IF(I809&gt;55,"Moderate","Low"))</x:f>
        <x:v>Moderate</x:v>
      </x:c>
      <x:c r="P809" t="str">
        <x:f>IF(I809&gt;=70,"Yes","No")</x:f>
        <x:v>No</x:v>
      </x:c>
      <x:c r="Q809" t="str">
        <x:f>TEXT(B809,"yyyy-mm")</x:f>
        <x:v>2018-09</x:v>
      </x:c>
    </x:row>
    <x:row r="810">
      <x:c r="A810" t="str">
        <x:v>HYD05</x:v>
      </x:c>
      <x:c r="B810" s="22" t="n">
        <x:f>DATE(C810,D810,1)</x:f>
        <x:v>43374</x:v>
      </x:c>
      <x:c r="C810" t="n">
        <x:v>2018</x:v>
      </x:c>
      <x:c r="D810" t="n">
        <x:v>10</x:v>
      </x:c>
      <x:c r="E810" t="str">
        <x:f>TEXT(B810,"mmm")</x:f>
        <x:v>Oct</x:v>
      </x:c>
      <x:c r="F810" t="str">
        <x:f>"Q"&amp;ROUNDUP(D810/3,0)</x:f>
        <x:v>Q4</x:v>
      </x:c>
      <x:c r="G810" s="23" t="n">
        <x:v>70</x:v>
      </x:c>
      <x:c r="H810" s="23" t="n">
        <x:v>64</x:v>
      </x:c>
      <x:c r="I810" s="23" t="n">
        <x:v>67</x:v>
      </x:c>
      <x:c r="J810" s="23" t="n">
        <x:f>G810-H810</x:f>
        <x:v>6</x:v>
      </x:c>
      <x:c r="K810" t="str">
        <x:v>OBSERVED</x:v>
      </x:c>
      <x:c r="L810" s="24" t="n">
        <x:v>17.4474</x:v>
      </x:c>
      <x:c r="M810" s="24" t="n">
        <x:v>78.3762</x:v>
      </x:c>
      <x:c r="N810" t="str">
        <x:f>IF(I810&gt;70,"70+ dB",IF(I810&gt;55,"56-70 dB","41-55 dB"))</x:f>
        <x:v>56-70 dB</x:v>
      </x:c>
      <x:c r="O810" t="str">
        <x:f>IF(I810&gt;70,"High",IF(I810&gt;55,"Moderate","Low"))</x:f>
        <x:v>Moderate</x:v>
      </x:c>
      <x:c r="P810" t="str">
        <x:f>IF(I810&gt;=70,"Yes","No")</x:f>
        <x:v>No</x:v>
      </x:c>
      <x:c r="Q810" t="str">
        <x:f>TEXT(B810,"yyyy-mm")</x:f>
        <x:v>2018-10</x:v>
      </x:c>
    </x:row>
    <x:row r="811">
      <x:c r="A811" t="str">
        <x:v>HYD05</x:v>
      </x:c>
      <x:c r="B811" s="22" t="n">
        <x:f>DATE(C811,D811,1)</x:f>
        <x:v>43405</x:v>
      </x:c>
      <x:c r="C811" t="n">
        <x:v>2018</x:v>
      </x:c>
      <x:c r="D811" t="n">
        <x:v>11</x:v>
      </x:c>
      <x:c r="E811" t="str">
        <x:f>TEXT(B811,"mmm")</x:f>
        <x:v>Nov</x:v>
      </x:c>
      <x:c r="F811" t="str">
        <x:f>"Q"&amp;ROUNDUP(D811/3,0)</x:f>
        <x:v>Q4</x:v>
      </x:c>
      <x:c r="G811" s="23" t="n">
        <x:v>71</x:v>
      </x:c>
      <x:c r="H811" s="23" t="n">
        <x:v>64</x:v>
      </x:c>
      <x:c r="I811" s="23" t="n">
        <x:v>67.5</x:v>
      </x:c>
      <x:c r="J811" s="23" t="n">
        <x:f>G811-H811</x:f>
        <x:v>7</x:v>
      </x:c>
      <x:c r="K811" t="str">
        <x:v>OBSERVED</x:v>
      </x:c>
      <x:c r="L811" s="24" t="n">
        <x:v>17.4474</x:v>
      </x:c>
      <x:c r="M811" s="24" t="n">
        <x:v>78.3762</x:v>
      </x:c>
      <x:c r="N811" t="str">
        <x:f>IF(I811&gt;70,"70+ dB",IF(I811&gt;55,"56-70 dB","41-55 dB"))</x:f>
        <x:v>56-70 dB</x:v>
      </x:c>
      <x:c r="O811" t="str">
        <x:f>IF(I811&gt;70,"High",IF(I811&gt;55,"Moderate","Low"))</x:f>
        <x:v>Moderate</x:v>
      </x:c>
      <x:c r="P811" t="str">
        <x:f>IF(I811&gt;=70,"Yes","No")</x:f>
        <x:v>No</x:v>
      </x:c>
      <x:c r="Q811" t="str">
        <x:f>TEXT(B811,"yyyy-mm")</x:f>
        <x:v>2018-11</x:v>
      </x:c>
    </x:row>
    <x:row r="812">
      <x:c r="A812" t="str">
        <x:v>HYD05</x:v>
      </x:c>
      <x:c r="B812" s="22" t="n">
        <x:f>DATE(C812,D812,1)</x:f>
        <x:v>43435</x:v>
      </x:c>
      <x:c r="C812" t="n">
        <x:v>2018</x:v>
      </x:c>
      <x:c r="D812" t="n">
        <x:v>12</x:v>
      </x:c>
      <x:c r="E812" t="str">
        <x:f>TEXT(B812,"mmm")</x:f>
        <x:v>Dec</x:v>
      </x:c>
      <x:c r="F812" t="str">
        <x:f>"Q"&amp;ROUNDUP(D812/3,0)</x:f>
        <x:v>Q4</x:v>
      </x:c>
      <x:c r="G812" s="23" t="n">
        <x:v>71</x:v>
      </x:c>
      <x:c r="H812" s="23" t="n">
        <x:v>65</x:v>
      </x:c>
      <x:c r="I812" s="23" t="n">
        <x:v>68</x:v>
      </x:c>
      <x:c r="J812" s="23" t="n">
        <x:f>G812-H812</x:f>
        <x:v>6</x:v>
      </x:c>
      <x:c r="K812" t="str">
        <x:v>OBSERVED</x:v>
      </x:c>
      <x:c r="L812" s="24" t="n">
        <x:v>17.4474</x:v>
      </x:c>
      <x:c r="M812" s="24" t="n">
        <x:v>78.3762</x:v>
      </x:c>
      <x:c r="N812" t="str">
        <x:f>IF(I812&gt;70,"70+ dB",IF(I812&gt;55,"56-70 dB","41-55 dB"))</x:f>
        <x:v>56-70 dB</x:v>
      </x:c>
      <x:c r="O812" t="str">
        <x:f>IF(I812&gt;70,"High",IF(I812&gt;55,"Moderate","Low"))</x:f>
        <x:v>Moderate</x:v>
      </x:c>
      <x:c r="P812" t="str">
        <x:f>IF(I812&gt;=70,"Yes","No")</x:f>
        <x:v>No</x:v>
      </x:c>
      <x:c r="Q812" t="str">
        <x:f>TEXT(B812,"yyyy-mm")</x:f>
        <x:v>2018-12</x:v>
      </x:c>
    </x:row>
    <x:row r="813">
      <x:c r="A813" t="str">
        <x:v>HYD05</x:v>
      </x:c>
      <x:c r="B813" s="22" t="n">
        <x:f>DATE(C813,D813,1)</x:f>
        <x:v>43466</x:v>
      </x:c>
      <x:c r="C813" t="n">
        <x:v>2019</x:v>
      </x:c>
      <x:c r="D813" t="n">
        <x:v>1</x:v>
      </x:c>
      <x:c r="E813" t="str">
        <x:f>TEXT(B813,"mmm")</x:f>
        <x:v>Jan</x:v>
      </x:c>
      <x:c r="F813" t="str">
        <x:f>"Q"&amp;ROUNDUP(D813/3,0)</x:f>
        <x:v>Q1</x:v>
      </x:c>
      <x:c r="G813" s="23" t="n">
        <x:v>68.68</x:v>
      </x:c>
      <x:c r="H813" s="23" t="n">
        <x:v>61.1</x:v>
      </x:c>
      <x:c r="I813" s="23" t="n">
        <x:v>64.9</x:v>
      </x:c>
      <x:c r="J813" s="23" t="n">
        <x:f>G813-H813</x:f>
        <x:v>7.580000000000005</x:v>
      </x:c>
      <x:c r="K813" t="str">
        <x:v>HINDCAST</x:v>
      </x:c>
      <x:c r="L813" s="24" t="n">
        <x:v>17.4474</x:v>
      </x:c>
      <x:c r="M813" s="24" t="n">
        <x:v>78.3762</x:v>
      </x:c>
      <x:c r="N813" t="str">
        <x:f>IF(I813&gt;70,"70+ dB",IF(I813&gt;55,"56-70 dB","41-55 dB"))</x:f>
        <x:v>56-70 dB</x:v>
      </x:c>
      <x:c r="O813" t="str">
        <x:f>IF(I813&gt;70,"High",IF(I813&gt;55,"Moderate","Low"))</x:f>
        <x:v>Moderate</x:v>
      </x:c>
      <x:c r="P813" t="str">
        <x:f>IF(I813&gt;=70,"Yes","No")</x:f>
        <x:v>No</x:v>
      </x:c>
      <x:c r="Q813" t="str">
        <x:f>TEXT(B813,"yyyy-mm")</x:f>
        <x:v>2019-01</x:v>
      </x:c>
    </x:row>
    <x:row r="814">
      <x:c r="A814" t="str">
        <x:v>HYD05</x:v>
      </x:c>
      <x:c r="B814" s="22" t="n">
        <x:f>DATE(C814,D814,1)</x:f>
        <x:v>43497</x:v>
      </x:c>
      <x:c r="C814" t="n">
        <x:v>2019</x:v>
      </x:c>
      <x:c r="D814" t="n">
        <x:v>2</x:v>
      </x:c>
      <x:c r="E814" t="str">
        <x:f>TEXT(B814,"mmm")</x:f>
        <x:v>Feb</x:v>
      </x:c>
      <x:c r="F814" t="str">
        <x:f>"Q"&amp;ROUNDUP(D814/3,0)</x:f>
        <x:v>Q1</x:v>
      </x:c>
      <x:c r="G814" s="23" t="n">
        <x:v>69.2</x:v>
      </x:c>
      <x:c r="H814" s="23" t="n">
        <x:v>61.74</x:v>
      </x:c>
      <x:c r="I814" s="23" t="n">
        <x:v>65.5</x:v>
      </x:c>
      <x:c r="J814" s="23" t="n">
        <x:f>G814-H814</x:f>
        <x:v>7.460000000000001</x:v>
      </x:c>
      <x:c r="K814" t="str">
        <x:v>HINDCAST</x:v>
      </x:c>
      <x:c r="L814" s="24" t="n">
        <x:v>17.4474</x:v>
      </x:c>
      <x:c r="M814" s="24" t="n">
        <x:v>78.3762</x:v>
      </x:c>
      <x:c r="N814" t="str">
        <x:f>IF(I814&gt;70,"70+ dB",IF(I814&gt;55,"56-70 dB","41-55 dB"))</x:f>
        <x:v>56-70 dB</x:v>
      </x:c>
      <x:c r="O814" t="str">
        <x:f>IF(I814&gt;70,"High",IF(I814&gt;55,"Moderate","Low"))</x:f>
        <x:v>Moderate</x:v>
      </x:c>
      <x:c r="P814" t="str">
        <x:f>IF(I814&gt;=70,"Yes","No")</x:f>
        <x:v>No</x:v>
      </x:c>
      <x:c r="Q814" t="str">
        <x:f>TEXT(B814,"yyyy-mm")</x:f>
        <x:v>2019-02</x:v>
      </x:c>
    </x:row>
    <x:row r="815">
      <x:c r="A815" t="str">
        <x:v>HYD05</x:v>
      </x:c>
      <x:c r="B815" s="22" t="n">
        <x:f>DATE(C815,D815,1)</x:f>
        <x:v>43525</x:v>
      </x:c>
      <x:c r="C815" t="n">
        <x:v>2019</x:v>
      </x:c>
      <x:c r="D815" t="n">
        <x:v>3</x:v>
      </x:c>
      <x:c r="E815" t="str">
        <x:f>TEXT(B815,"mmm")</x:f>
        <x:v>Mar</x:v>
      </x:c>
      <x:c r="F815" t="str">
        <x:f>"Q"&amp;ROUNDUP(D815/3,0)</x:f>
        <x:v>Q1</x:v>
      </x:c>
      <x:c r="G815" s="23" t="n">
        <x:v>68.65</x:v>
      </x:c>
      <x:c r="H815" s="23" t="n">
        <x:v>61.51</x:v>
      </x:c>
      <x:c r="I815" s="23" t="n">
        <x:v>65.1</x:v>
      </x:c>
      <x:c r="J815" s="23" t="n">
        <x:f>G815-H815</x:f>
        <x:v>7.140000000000008</x:v>
      </x:c>
      <x:c r="K815" t="str">
        <x:v>HINDCAST</x:v>
      </x:c>
      <x:c r="L815" s="24" t="n">
        <x:v>17.4474</x:v>
      </x:c>
      <x:c r="M815" s="24" t="n">
        <x:v>78.3762</x:v>
      </x:c>
      <x:c r="N815" t="str">
        <x:f>IF(I815&gt;70,"70+ dB",IF(I815&gt;55,"56-70 dB","41-55 dB"))</x:f>
        <x:v>56-70 dB</x:v>
      </x:c>
      <x:c r="O815" t="str">
        <x:f>IF(I815&gt;70,"High",IF(I815&gt;55,"Moderate","Low"))</x:f>
        <x:v>Moderate</x:v>
      </x:c>
      <x:c r="P815" t="str">
        <x:f>IF(I815&gt;=70,"Yes","No")</x:f>
        <x:v>No</x:v>
      </x:c>
      <x:c r="Q815" t="str">
        <x:f>TEXT(B815,"yyyy-mm")</x:f>
        <x:v>2019-03</x:v>
      </x:c>
    </x:row>
    <x:row r="816">
      <x:c r="A816" t="str">
        <x:v>HYD05</x:v>
      </x:c>
      <x:c r="B816" s="22" t="n">
        <x:f>DATE(C816,D816,1)</x:f>
        <x:v>43556</x:v>
      </x:c>
      <x:c r="C816" t="n">
        <x:v>2019</x:v>
      </x:c>
      <x:c r="D816" t="n">
        <x:v>4</x:v>
      </x:c>
      <x:c r="E816" t="str">
        <x:f>TEXT(B816,"mmm")</x:f>
        <x:v>Apr</x:v>
      </x:c>
      <x:c r="F816" t="str">
        <x:f>"Q"&amp;ROUNDUP(D816/3,0)</x:f>
        <x:v>Q2</x:v>
      </x:c>
      <x:c r="G816" s="23" t="n">
        <x:v>69.05</x:v>
      </x:c>
      <x:c r="H816" s="23" t="n">
        <x:v>61.91</x:v>
      </x:c>
      <x:c r="I816" s="23" t="n">
        <x:v>65.5</x:v>
      </x:c>
      <x:c r="J816" s="23" t="n">
        <x:f>G816-H816</x:f>
        <x:v>7.140000000000001</x:v>
      </x:c>
      <x:c r="K816" t="str">
        <x:v>HINDCAST</x:v>
      </x:c>
      <x:c r="L816" s="24" t="n">
        <x:v>17.4474</x:v>
      </x:c>
      <x:c r="M816" s="24" t="n">
        <x:v>78.3762</x:v>
      </x:c>
      <x:c r="N816" t="str">
        <x:f>IF(I816&gt;70,"70+ dB",IF(I816&gt;55,"56-70 dB","41-55 dB"))</x:f>
        <x:v>56-70 dB</x:v>
      </x:c>
      <x:c r="O816" t="str">
        <x:f>IF(I816&gt;70,"High",IF(I816&gt;55,"Moderate","Low"))</x:f>
        <x:v>Moderate</x:v>
      </x:c>
      <x:c r="P816" t="str">
        <x:f>IF(I816&gt;=70,"Yes","No")</x:f>
        <x:v>No</x:v>
      </x:c>
      <x:c r="Q816" t="str">
        <x:f>TEXT(B816,"yyyy-mm")</x:f>
        <x:v>2019-04</x:v>
      </x:c>
    </x:row>
    <x:row r="817">
      <x:c r="A817" t="str">
        <x:v>HYD05</x:v>
      </x:c>
      <x:c r="B817" s="22" t="n">
        <x:f>DATE(C817,D817,1)</x:f>
        <x:v>43586</x:v>
      </x:c>
      <x:c r="C817" t="n">
        <x:v>2019</x:v>
      </x:c>
      <x:c r="D817" t="n">
        <x:v>5</x:v>
      </x:c>
      <x:c r="E817" t="str">
        <x:f>TEXT(B817,"mmm")</x:f>
        <x:v>May</x:v>
      </x:c>
      <x:c r="F817" t="str">
        <x:f>"Q"&amp;ROUNDUP(D817/3,0)</x:f>
        <x:v>Q2</x:v>
      </x:c>
      <x:c r="G817" s="23" t="n">
        <x:v>69.4</x:v>
      </x:c>
      <x:c r="H817" s="23" t="n">
        <x:v>62.74</x:v>
      </x:c>
      <x:c r="I817" s="23" t="n">
        <x:v>66.1</x:v>
      </x:c>
      <x:c r="J817" s="23" t="n">
        <x:f>G817-H817</x:f>
        <x:v>6.660000000000004</x:v>
      </x:c>
      <x:c r="K817" t="str">
        <x:v>HINDCAST</x:v>
      </x:c>
      <x:c r="L817" s="24" t="n">
        <x:v>17.4474</x:v>
      </x:c>
      <x:c r="M817" s="24" t="n">
        <x:v>78.3762</x:v>
      </x:c>
      <x:c r="N817" t="str">
        <x:f>IF(I817&gt;70,"70+ dB",IF(I817&gt;55,"56-70 dB","41-55 dB"))</x:f>
        <x:v>56-70 dB</x:v>
      </x:c>
      <x:c r="O817" t="str">
        <x:f>IF(I817&gt;70,"High",IF(I817&gt;55,"Moderate","Low"))</x:f>
        <x:v>Moderate</x:v>
      </x:c>
      <x:c r="P817" t="str">
        <x:f>IF(I817&gt;=70,"Yes","No")</x:f>
        <x:v>No</x:v>
      </x:c>
      <x:c r="Q817" t="str">
        <x:f>TEXT(B817,"yyyy-mm")</x:f>
        <x:v>2019-05</x:v>
      </x:c>
    </x:row>
    <x:row r="818">
      <x:c r="A818" t="str">
        <x:v>HYD05</x:v>
      </x:c>
      <x:c r="B818" s="22" t="n">
        <x:f>DATE(C818,D818,1)</x:f>
        <x:v>43617</x:v>
      </x:c>
      <x:c r="C818" t="n">
        <x:v>2019</x:v>
      </x:c>
      <x:c r="D818" t="n">
        <x:v>6</x:v>
      </x:c>
      <x:c r="E818" t="str">
        <x:f>TEXT(B818,"mmm")</x:f>
        <x:v>Jun</x:v>
      </x:c>
      <x:c r="F818" t="str">
        <x:f>"Q"&amp;ROUNDUP(D818/3,0)</x:f>
        <x:v>Q2</x:v>
      </x:c>
      <x:c r="G818" s="23" t="n">
        <x:v>69.94</x:v>
      </x:c>
      <x:c r="H818" s="23" t="n">
        <x:v>64.01</x:v>
      </x:c>
      <x:c r="I818" s="23" t="n">
        <x:v>67</x:v>
      </x:c>
      <x:c r="J818" s="23" t="n">
        <x:f>G818-H818</x:f>
        <x:v>5.929999999999993</x:v>
      </x:c>
      <x:c r="K818" t="str">
        <x:v>HINDCAST</x:v>
      </x:c>
      <x:c r="L818" s="24" t="n">
        <x:v>17.4474</x:v>
      </x:c>
      <x:c r="M818" s="24" t="n">
        <x:v>78.3762</x:v>
      </x:c>
      <x:c r="N818" t="str">
        <x:f>IF(I818&gt;70,"70+ dB",IF(I818&gt;55,"56-70 dB","41-55 dB"))</x:f>
        <x:v>56-70 dB</x:v>
      </x:c>
      <x:c r="O818" t="str">
        <x:f>IF(I818&gt;70,"High",IF(I818&gt;55,"Moderate","Low"))</x:f>
        <x:v>Moderate</x:v>
      </x:c>
      <x:c r="P818" t="str">
        <x:f>IF(I818&gt;=70,"Yes","No")</x:f>
        <x:v>No</x:v>
      </x:c>
      <x:c r="Q818" t="str">
        <x:f>TEXT(B818,"yyyy-mm")</x:f>
        <x:v>2019-06</x:v>
      </x:c>
    </x:row>
    <x:row r="819">
      <x:c r="A819" t="str">
        <x:v>HYD05</x:v>
      </x:c>
      <x:c r="B819" s="22" t="n">
        <x:f>DATE(C819,D819,1)</x:f>
        <x:v>43647</x:v>
      </x:c>
      <x:c r="C819" t="n">
        <x:v>2019</x:v>
      </x:c>
      <x:c r="D819" t="n">
        <x:v>7</x:v>
      </x:c>
      <x:c r="E819" t="str">
        <x:f>TEXT(B819,"mmm")</x:f>
        <x:v>Jul</x:v>
      </x:c>
      <x:c r="F819" t="str">
        <x:f>"Q"&amp;ROUNDUP(D819/3,0)</x:f>
        <x:v>Q3</x:v>
      </x:c>
      <x:c r="G819" s="23" t="n">
        <x:v>70.69</x:v>
      </x:c>
      <x:c r="H819" s="23" t="n">
        <x:v>64.56</x:v>
      </x:c>
      <x:c r="I819" s="23" t="n">
        <x:v>67.6</x:v>
      </x:c>
      <x:c r="J819" s="23" t="n">
        <x:f>G819-H819</x:f>
        <x:v>6.1299999999999955</x:v>
      </x:c>
      <x:c r="K819" t="str">
        <x:v>HINDCAST</x:v>
      </x:c>
      <x:c r="L819" s="24" t="n">
        <x:v>17.4474</x:v>
      </x:c>
      <x:c r="M819" s="24" t="n">
        <x:v>78.3762</x:v>
      </x:c>
      <x:c r="N819" t="str">
        <x:f>IF(I819&gt;70,"70+ dB",IF(I819&gt;55,"56-70 dB","41-55 dB"))</x:f>
        <x:v>56-70 dB</x:v>
      </x:c>
      <x:c r="O819" t="str">
        <x:f>IF(I819&gt;70,"High",IF(I819&gt;55,"Moderate","Low"))</x:f>
        <x:v>Moderate</x:v>
      </x:c>
      <x:c r="P819" t="str">
        <x:f>IF(I819&gt;=70,"Yes","No")</x:f>
        <x:v>No</x:v>
      </x:c>
      <x:c r="Q819" t="str">
        <x:f>TEXT(B819,"yyyy-mm")</x:f>
        <x:v>2019-07</x:v>
      </x:c>
    </x:row>
    <x:row r="820">
      <x:c r="A820" t="str">
        <x:v>HYD05</x:v>
      </x:c>
      <x:c r="B820" s="22" t="n">
        <x:f>DATE(C820,D820,1)</x:f>
        <x:v>43678</x:v>
      </x:c>
      <x:c r="C820" t="n">
        <x:v>2019</x:v>
      </x:c>
      <x:c r="D820" t="n">
        <x:v>8</x:v>
      </x:c>
      <x:c r="E820" t="str">
        <x:f>TEXT(B820,"mmm")</x:f>
        <x:v>Aug</x:v>
      </x:c>
      <x:c r="F820" t="str">
        <x:f>"Q"&amp;ROUNDUP(D820/3,0)</x:f>
        <x:v>Q3</x:v>
      </x:c>
      <x:c r="G820" s="23" t="n">
        <x:v>70.26</x:v>
      </x:c>
      <x:c r="H820" s="23" t="n">
        <x:v>63.15</x:v>
      </x:c>
      <x:c r="I820" s="23" t="n">
        <x:v>66.7</x:v>
      </x:c>
      <x:c r="J820" s="23" t="n">
        <x:f>G820-H820</x:f>
        <x:v>7.1100000000000065</x:v>
      </x:c>
      <x:c r="K820" t="str">
        <x:v>HINDCAST</x:v>
      </x:c>
      <x:c r="L820" s="24" t="n">
        <x:v>17.4474</x:v>
      </x:c>
      <x:c r="M820" s="24" t="n">
        <x:v>78.3762</x:v>
      </x:c>
      <x:c r="N820" t="str">
        <x:f>IF(I820&gt;70,"70+ dB",IF(I820&gt;55,"56-70 dB","41-55 dB"))</x:f>
        <x:v>56-70 dB</x:v>
      </x:c>
      <x:c r="O820" t="str">
        <x:f>IF(I820&gt;70,"High",IF(I820&gt;55,"Moderate","Low"))</x:f>
        <x:v>Moderate</x:v>
      </x:c>
      <x:c r="P820" t="str">
        <x:f>IF(I820&gt;=70,"Yes","No")</x:f>
        <x:v>No</x:v>
      </x:c>
      <x:c r="Q820" t="str">
        <x:f>TEXT(B820,"yyyy-mm")</x:f>
        <x:v>2019-08</x:v>
      </x:c>
    </x:row>
    <x:row r="821">
      <x:c r="A821" t="str">
        <x:v>HYD05</x:v>
      </x:c>
      <x:c r="B821" s="22" t="n">
        <x:f>DATE(C821,D821,1)</x:f>
        <x:v>43709</x:v>
      </x:c>
      <x:c r="C821" t="n">
        <x:v>2019</x:v>
      </x:c>
      <x:c r="D821" t="n">
        <x:v>9</x:v>
      </x:c>
      <x:c r="E821" t="str">
        <x:f>TEXT(B821,"mmm")</x:f>
        <x:v>Sep</x:v>
      </x:c>
      <x:c r="F821" t="str">
        <x:f>"Q"&amp;ROUNDUP(D821/3,0)</x:f>
        <x:v>Q3</x:v>
      </x:c>
      <x:c r="G821" s="23" t="n">
        <x:v>69.67</x:v>
      </x:c>
      <x:c r="H821" s="23" t="n">
        <x:v>61.54</x:v>
      </x:c>
      <x:c r="I821" s="23" t="n">
        <x:v>65.6</x:v>
      </x:c>
      <x:c r="J821" s="23" t="n">
        <x:f>G821-H821</x:f>
        <x:v>8.130000000000003</x:v>
      </x:c>
      <x:c r="K821" t="str">
        <x:v>HINDCAST</x:v>
      </x:c>
      <x:c r="L821" s="24" t="n">
        <x:v>17.4474</x:v>
      </x:c>
      <x:c r="M821" s="24" t="n">
        <x:v>78.3762</x:v>
      </x:c>
      <x:c r="N821" t="str">
        <x:f>IF(I821&gt;70,"70+ dB",IF(I821&gt;55,"56-70 dB","41-55 dB"))</x:f>
        <x:v>56-70 dB</x:v>
      </x:c>
      <x:c r="O821" t="str">
        <x:f>IF(I821&gt;70,"High",IF(I821&gt;55,"Moderate","Low"))</x:f>
        <x:v>Moderate</x:v>
      </x:c>
      <x:c r="P821" t="str">
        <x:f>IF(I821&gt;=70,"Yes","No")</x:f>
        <x:v>No</x:v>
      </x:c>
      <x:c r="Q821" t="str">
        <x:f>TEXT(B821,"yyyy-mm")</x:f>
        <x:v>2019-09</x:v>
      </x:c>
    </x:row>
    <x:row r="822">
      <x:c r="A822" t="str">
        <x:v>HYD05</x:v>
      </x:c>
      <x:c r="B822" s="22" t="n">
        <x:f>DATE(C822,D822,1)</x:f>
        <x:v>43739</x:v>
      </x:c>
      <x:c r="C822" t="n">
        <x:v>2019</x:v>
      </x:c>
      <x:c r="D822" t="n">
        <x:v>10</x:v>
      </x:c>
      <x:c r="E822" t="str">
        <x:f>TEXT(B822,"mmm")</x:f>
        <x:v>Oct</x:v>
      </x:c>
      <x:c r="F822" t="str">
        <x:f>"Q"&amp;ROUNDUP(D822/3,0)</x:f>
        <x:v>Q4</x:v>
      </x:c>
      <x:c r="G822" s="23" t="n">
        <x:v>70.17</x:v>
      </x:c>
      <x:c r="H822" s="23" t="n">
        <x:v>63.24</x:v>
      </x:c>
      <x:c r="I822" s="23" t="n">
        <x:v>66.7</x:v>
      </x:c>
      <x:c r="J822" s="23" t="n">
        <x:f>G822-H822</x:f>
        <x:v>6.93</x:v>
      </x:c>
      <x:c r="K822" t="str">
        <x:v>HINDCAST</x:v>
      </x:c>
      <x:c r="L822" s="24" t="n">
        <x:v>17.4474</x:v>
      </x:c>
      <x:c r="M822" s="24" t="n">
        <x:v>78.3762</x:v>
      </x:c>
      <x:c r="N822" t="str">
        <x:f>IF(I822&gt;70,"70+ dB",IF(I822&gt;55,"56-70 dB","41-55 dB"))</x:f>
        <x:v>56-70 dB</x:v>
      </x:c>
      <x:c r="O822" t="str">
        <x:f>IF(I822&gt;70,"High",IF(I822&gt;55,"Moderate","Low"))</x:f>
        <x:v>Moderate</x:v>
      </x:c>
      <x:c r="P822" t="str">
        <x:f>IF(I822&gt;=70,"Yes","No")</x:f>
        <x:v>No</x:v>
      </x:c>
      <x:c r="Q822" t="str">
        <x:f>TEXT(B822,"yyyy-mm")</x:f>
        <x:v>2019-10</x:v>
      </x:c>
    </x:row>
    <x:row r="823">
      <x:c r="A823" t="str">
        <x:v>HYD05</x:v>
      </x:c>
      <x:c r="B823" s="22" t="n">
        <x:f>DATE(C823,D823,1)</x:f>
        <x:v>43770</x:v>
      </x:c>
      <x:c r="C823" t="n">
        <x:v>2019</x:v>
      </x:c>
      <x:c r="D823" t="n">
        <x:v>11</x:v>
      </x:c>
      <x:c r="E823" t="str">
        <x:f>TEXT(B823,"mmm")</x:f>
        <x:v>Nov</x:v>
      </x:c>
      <x:c r="F823" t="str">
        <x:f>"Q"&amp;ROUNDUP(D823/3,0)</x:f>
        <x:v>Q4</x:v>
      </x:c>
      <x:c r="G823" s="23" t="n">
        <x:v>71.13</x:v>
      </x:c>
      <x:c r="H823" s="23" t="n">
        <x:v>64.35</x:v>
      </x:c>
      <x:c r="I823" s="23" t="n">
        <x:v>67.7</x:v>
      </x:c>
      <x:c r="J823" s="23" t="n">
        <x:f>G823-H823</x:f>
        <x:v>6.780000000000001</x:v>
      </x:c>
      <x:c r="K823" t="str">
        <x:v>HINDCAST</x:v>
      </x:c>
      <x:c r="L823" s="24" t="n">
        <x:v>17.4474</x:v>
      </x:c>
      <x:c r="M823" s="24" t="n">
        <x:v>78.3762</x:v>
      </x:c>
      <x:c r="N823" t="str">
        <x:f>IF(I823&gt;70,"70+ dB",IF(I823&gt;55,"56-70 dB","41-55 dB"))</x:f>
        <x:v>56-70 dB</x:v>
      </x:c>
      <x:c r="O823" t="str">
        <x:f>IF(I823&gt;70,"High",IF(I823&gt;55,"Moderate","Low"))</x:f>
        <x:v>Moderate</x:v>
      </x:c>
      <x:c r="P823" t="str">
        <x:f>IF(I823&gt;=70,"Yes","No")</x:f>
        <x:v>No</x:v>
      </x:c>
      <x:c r="Q823" t="str">
        <x:f>TEXT(B823,"yyyy-mm")</x:f>
        <x:v>2019-11</x:v>
      </x:c>
    </x:row>
    <x:row r="824">
      <x:c r="A824" t="str">
        <x:v>HYD05</x:v>
      </x:c>
      <x:c r="B824" s="22" t="n">
        <x:f>DATE(C824,D824,1)</x:f>
        <x:v>43800</x:v>
      </x:c>
      <x:c r="C824" t="n">
        <x:v>2019</x:v>
      </x:c>
      <x:c r="D824" t="n">
        <x:v>12</x:v>
      </x:c>
      <x:c r="E824" t="str">
        <x:f>TEXT(B824,"mmm")</x:f>
        <x:v>Dec</x:v>
      </x:c>
      <x:c r="F824" t="str">
        <x:f>"Q"&amp;ROUNDUP(D824/3,0)</x:f>
        <x:v>Q4</x:v>
      </x:c>
      <x:c r="G824" s="23" t="n">
        <x:v>70.53</x:v>
      </x:c>
      <x:c r="H824" s="23" t="n">
        <x:v>63.71</x:v>
      </x:c>
      <x:c r="I824" s="23" t="n">
        <x:v>67.1</x:v>
      </x:c>
      <x:c r="J824" s="23" t="n">
        <x:f>G824-H824</x:f>
        <x:v>6.82</x:v>
      </x:c>
      <x:c r="K824" t="str">
        <x:v>HINDCAST</x:v>
      </x:c>
      <x:c r="L824" s="24" t="n">
        <x:v>17.4474</x:v>
      </x:c>
      <x:c r="M824" s="24" t="n">
        <x:v>78.3762</x:v>
      </x:c>
      <x:c r="N824" t="str">
        <x:f>IF(I824&gt;70,"70+ dB",IF(I824&gt;55,"56-70 dB","41-55 dB"))</x:f>
        <x:v>56-70 dB</x:v>
      </x:c>
      <x:c r="O824" t="str">
        <x:f>IF(I824&gt;70,"High",IF(I824&gt;55,"Moderate","Low"))</x:f>
        <x:v>Moderate</x:v>
      </x:c>
      <x:c r="P824" t="str">
        <x:f>IF(I824&gt;=70,"Yes","No")</x:f>
        <x:v>No</x:v>
      </x:c>
      <x:c r="Q824" t="str">
        <x:f>TEXT(B824,"yyyy-mm")</x:f>
        <x:v>2019-12</x:v>
      </x:c>
    </x:row>
    <x:row r="825">
      <x:c r="A825" t="str">
        <x:v>HYD05</x:v>
      </x:c>
      <x:c r="B825" s="22" t="n">
        <x:f>DATE(C825,D825,1)</x:f>
        <x:v>43831</x:v>
      </x:c>
      <x:c r="C825" t="n">
        <x:v>2020</x:v>
      </x:c>
      <x:c r="D825" t="n">
        <x:v>1</x:v>
      </x:c>
      <x:c r="E825" t="str">
        <x:f>TEXT(B825,"mmm")</x:f>
        <x:v>Jan</x:v>
      </x:c>
      <x:c r="F825" t="str">
        <x:f>"Q"&amp;ROUNDUP(D825/3,0)</x:f>
        <x:v>Q1</x:v>
      </x:c>
      <x:c r="G825" s="23" t="n">
        <x:v>68.09</x:v>
      </x:c>
      <x:c r="H825" s="23" t="n">
        <x:v>59.54</x:v>
      </x:c>
      <x:c r="I825" s="23" t="n">
        <x:v>63.8</x:v>
      </x:c>
      <x:c r="J825" s="23" t="n">
        <x:f>G825-H825</x:f>
        <x:v>8.550000000000004</x:v>
      </x:c>
      <x:c r="K825" t="str">
        <x:v>HINDCAST</x:v>
      </x:c>
      <x:c r="L825" s="24" t="n">
        <x:v>17.4474</x:v>
      </x:c>
      <x:c r="M825" s="24" t="n">
        <x:v>78.3762</x:v>
      </x:c>
      <x:c r="N825" t="str">
        <x:f>IF(I825&gt;70,"70+ dB",IF(I825&gt;55,"56-70 dB","41-55 dB"))</x:f>
        <x:v>56-70 dB</x:v>
      </x:c>
      <x:c r="O825" t="str">
        <x:f>IF(I825&gt;70,"High",IF(I825&gt;55,"Moderate","Low"))</x:f>
        <x:v>Moderate</x:v>
      </x:c>
      <x:c r="P825" t="str">
        <x:f>IF(I825&gt;=70,"Yes","No")</x:f>
        <x:v>No</x:v>
      </x:c>
      <x:c r="Q825" t="str">
        <x:f>TEXT(B825,"yyyy-mm")</x:f>
        <x:v>2020-01</x:v>
      </x:c>
    </x:row>
    <x:row r="826">
      <x:c r="A826" t="str">
        <x:v>HYD05</x:v>
      </x:c>
      <x:c r="B826" s="22" t="n">
        <x:f>DATE(C826,D826,1)</x:f>
        <x:v>43862</x:v>
      </x:c>
      <x:c r="C826" t="n">
        <x:v>2020</x:v>
      </x:c>
      <x:c r="D826" t="n">
        <x:v>2</x:v>
      </x:c>
      <x:c r="E826" t="str">
        <x:f>TEXT(B826,"mmm")</x:f>
        <x:v>Feb</x:v>
      </x:c>
      <x:c r="F826" t="str">
        <x:f>"Q"&amp;ROUNDUP(D826/3,0)</x:f>
        <x:v>Q1</x:v>
      </x:c>
      <x:c r="G826" s="23" t="n">
        <x:v>68.59</x:v>
      </x:c>
      <x:c r="H826" s="23" t="n">
        <x:v>60.34</x:v>
      </x:c>
      <x:c r="I826" s="23" t="n">
        <x:v>64.5</x:v>
      </x:c>
      <x:c r="J826" s="23" t="n">
        <x:f>G826-H826</x:f>
        <x:v>8.25</x:v>
      </x:c>
      <x:c r="K826" t="str">
        <x:v>HINDCAST</x:v>
      </x:c>
      <x:c r="L826" s="24" t="n">
        <x:v>17.4474</x:v>
      </x:c>
      <x:c r="M826" s="24" t="n">
        <x:v>78.3762</x:v>
      </x:c>
      <x:c r="N826" t="str">
        <x:f>IF(I826&gt;70,"70+ dB",IF(I826&gt;55,"56-70 dB","41-55 dB"))</x:f>
        <x:v>56-70 dB</x:v>
      </x:c>
      <x:c r="O826" t="str">
        <x:f>IF(I826&gt;70,"High",IF(I826&gt;55,"Moderate","Low"))</x:f>
        <x:v>Moderate</x:v>
      </x:c>
      <x:c r="P826" t="str">
        <x:f>IF(I826&gt;=70,"Yes","No")</x:f>
        <x:v>No</x:v>
      </x:c>
      <x:c r="Q826" t="str">
        <x:f>TEXT(B826,"yyyy-mm")</x:f>
        <x:v>2020-02</x:v>
      </x:c>
    </x:row>
    <x:row r="827">
      <x:c r="A827" t="str">
        <x:v>HYD05</x:v>
      </x:c>
      <x:c r="B827" s="22" t="n">
        <x:f>DATE(C827,D827,1)</x:f>
        <x:v>43891</x:v>
      </x:c>
      <x:c r="C827" t="n">
        <x:v>2020</x:v>
      </x:c>
      <x:c r="D827" t="n">
        <x:v>3</x:v>
      </x:c>
      <x:c r="E827" t="str">
        <x:f>TEXT(B827,"mmm")</x:f>
        <x:v>Mar</x:v>
      </x:c>
      <x:c r="F827" t="str">
        <x:f>"Q"&amp;ROUNDUP(D827/3,0)</x:f>
        <x:v>Q1</x:v>
      </x:c>
      <x:c r="G827" s="23" t="n">
        <x:v>68.02</x:v>
      </x:c>
      <x:c r="H827" s="23" t="n">
        <x:v>60.06</x:v>
      </x:c>
      <x:c r="I827" s="23" t="n">
        <x:v>64</x:v>
      </x:c>
      <x:c r="J827" s="23" t="n">
        <x:f>G827-H827</x:f>
        <x:v>7.959999999999994</x:v>
      </x:c>
      <x:c r="K827" t="str">
        <x:v>HINDCAST</x:v>
      </x:c>
      <x:c r="L827" s="24" t="n">
        <x:v>17.4474</x:v>
      </x:c>
      <x:c r="M827" s="24" t="n">
        <x:v>78.3762</x:v>
      </x:c>
      <x:c r="N827" t="str">
        <x:f>IF(I827&gt;70,"70+ dB",IF(I827&gt;55,"56-70 dB","41-55 dB"))</x:f>
        <x:v>56-70 dB</x:v>
      </x:c>
      <x:c r="O827" t="str">
        <x:f>IF(I827&gt;70,"High",IF(I827&gt;55,"Moderate","Low"))</x:f>
        <x:v>Moderate</x:v>
      </x:c>
      <x:c r="P827" t="str">
        <x:f>IF(I827&gt;=70,"Yes","No")</x:f>
        <x:v>No</x:v>
      </x:c>
      <x:c r="Q827" t="str">
        <x:f>TEXT(B827,"yyyy-mm")</x:f>
        <x:v>2020-03</x:v>
      </x:c>
    </x:row>
    <x:row r="828">
      <x:c r="A828" t="str">
        <x:v>HYD05</x:v>
      </x:c>
      <x:c r="B828" s="22" t="n">
        <x:f>DATE(C828,D828,1)</x:f>
        <x:v>43922</x:v>
      </x:c>
      <x:c r="C828" t="n">
        <x:v>2020</x:v>
      </x:c>
      <x:c r="D828" t="n">
        <x:v>4</x:v>
      </x:c>
      <x:c r="E828" t="str">
        <x:f>TEXT(B828,"mmm")</x:f>
        <x:v>Apr</x:v>
      </x:c>
      <x:c r="F828" t="str">
        <x:f>"Q"&amp;ROUNDUP(D828/3,0)</x:f>
        <x:v>Q2</x:v>
      </x:c>
      <x:c r="G828" s="23" t="n">
        <x:v>68.44</x:v>
      </x:c>
      <x:c r="H828" s="23" t="n">
        <x:v>60.49</x:v>
      </x:c>
      <x:c r="I828" s="23" t="n">
        <x:v>64.5</x:v>
      </x:c>
      <x:c r="J828" s="23" t="n">
        <x:f>G828-H828</x:f>
        <x:v>7.949999999999996</x:v>
      </x:c>
      <x:c r="K828" t="str">
        <x:v>HINDCAST</x:v>
      </x:c>
      <x:c r="L828" s="24" t="n">
        <x:v>17.4474</x:v>
      </x:c>
      <x:c r="M828" s="24" t="n">
        <x:v>78.3762</x:v>
      </x:c>
      <x:c r="N828" t="str">
        <x:f>IF(I828&gt;70,"70+ dB",IF(I828&gt;55,"56-70 dB","41-55 dB"))</x:f>
        <x:v>56-70 dB</x:v>
      </x:c>
      <x:c r="O828" t="str">
        <x:f>IF(I828&gt;70,"High",IF(I828&gt;55,"Moderate","Low"))</x:f>
        <x:v>Moderate</x:v>
      </x:c>
      <x:c r="P828" t="str">
        <x:f>IF(I828&gt;=70,"Yes","No")</x:f>
        <x:v>No</x:v>
      </x:c>
      <x:c r="Q828" t="str">
        <x:f>TEXT(B828,"yyyy-mm")</x:f>
        <x:v>2020-04</x:v>
      </x:c>
    </x:row>
    <x:row r="829">
      <x:c r="A829" t="str">
        <x:v>HYD05</x:v>
      </x:c>
      <x:c r="B829" s="22" t="n">
        <x:f>DATE(C829,D829,1)</x:f>
        <x:v>43952</x:v>
      </x:c>
      <x:c r="C829" t="n">
        <x:v>2020</x:v>
      </x:c>
      <x:c r="D829" t="n">
        <x:v>5</x:v>
      </x:c>
      <x:c r="E829" t="str">
        <x:f>TEXT(B829,"mmm")</x:f>
        <x:v>May</x:v>
      </x:c>
      <x:c r="F829" t="str">
        <x:f>"Q"&amp;ROUNDUP(D829/3,0)</x:f>
        <x:v>Q2</x:v>
      </x:c>
      <x:c r="G829" s="23" t="n">
        <x:v>68.73</x:v>
      </x:c>
      <x:c r="H829" s="23" t="n">
        <x:v>61.34</x:v>
      </x:c>
      <x:c r="I829" s="23" t="n">
        <x:v>65</x:v>
      </x:c>
      <x:c r="J829" s="23" t="n">
        <x:f>G829-H829</x:f>
        <x:v>7.390000000000001</x:v>
      </x:c>
      <x:c r="K829" t="str">
        <x:v>HINDCAST</x:v>
      </x:c>
      <x:c r="L829" s="24" t="n">
        <x:v>17.4474</x:v>
      </x:c>
      <x:c r="M829" s="24" t="n">
        <x:v>78.3762</x:v>
      </x:c>
      <x:c r="N829" t="str">
        <x:f>IF(I829&gt;70,"70+ dB",IF(I829&gt;55,"56-70 dB","41-55 dB"))</x:f>
        <x:v>56-70 dB</x:v>
      </x:c>
      <x:c r="O829" t="str">
        <x:f>IF(I829&gt;70,"High",IF(I829&gt;55,"Moderate","Low"))</x:f>
        <x:v>Moderate</x:v>
      </x:c>
      <x:c r="P829" t="str">
        <x:f>IF(I829&gt;=70,"Yes","No")</x:f>
        <x:v>No</x:v>
      </x:c>
      <x:c r="Q829" t="str">
        <x:f>TEXT(B829,"yyyy-mm")</x:f>
        <x:v>2020-05</x:v>
      </x:c>
    </x:row>
    <x:row r="830">
      <x:c r="A830" t="str">
        <x:v>HYD05</x:v>
      </x:c>
      <x:c r="B830" s="22" t="n">
        <x:f>DATE(C830,D830,1)</x:f>
        <x:v>43983</x:v>
      </x:c>
      <x:c r="C830" t="n">
        <x:v>2020</x:v>
      </x:c>
      <x:c r="D830" t="n">
        <x:v>6</x:v>
      </x:c>
      <x:c r="E830" t="str">
        <x:f>TEXT(B830,"mmm")</x:f>
        <x:v>Jun</x:v>
      </x:c>
      <x:c r="F830" t="str">
        <x:f>"Q"&amp;ROUNDUP(D830/3,0)</x:f>
        <x:v>Q2</x:v>
      </x:c>
      <x:c r="G830" s="23" t="n">
        <x:v>69.3</x:v>
      </x:c>
      <x:c r="H830" s="23" t="n">
        <x:v>62.63</x:v>
      </x:c>
      <x:c r="I830" s="23" t="n">
        <x:v>66</x:v>
      </x:c>
      <x:c r="J830" s="23" t="n">
        <x:f>G830-H830</x:f>
        <x:v>6.669999999999995</x:v>
      </x:c>
      <x:c r="K830" t="str">
        <x:v>HINDCAST</x:v>
      </x:c>
      <x:c r="L830" s="24" t="n">
        <x:v>17.4474</x:v>
      </x:c>
      <x:c r="M830" s="24" t="n">
        <x:v>78.3762</x:v>
      </x:c>
      <x:c r="N830" t="str">
        <x:f>IF(I830&gt;70,"70+ dB",IF(I830&gt;55,"56-70 dB","41-55 dB"))</x:f>
        <x:v>56-70 dB</x:v>
      </x:c>
      <x:c r="O830" t="str">
        <x:f>IF(I830&gt;70,"High",IF(I830&gt;55,"Moderate","Low"))</x:f>
        <x:v>Moderate</x:v>
      </x:c>
      <x:c r="P830" t="str">
        <x:f>IF(I830&gt;=70,"Yes","No")</x:f>
        <x:v>No</x:v>
      </x:c>
      <x:c r="Q830" t="str">
        <x:f>TEXT(B830,"yyyy-mm")</x:f>
        <x:v>2020-06</x:v>
      </x:c>
    </x:row>
    <x:row r="831">
      <x:c r="A831" t="str">
        <x:v>HYD05</x:v>
      </x:c>
      <x:c r="B831" s="22" t="n">
        <x:f>DATE(C831,D831,1)</x:f>
        <x:v>44013</x:v>
      </x:c>
      <x:c r="C831" t="n">
        <x:v>2020</x:v>
      </x:c>
      <x:c r="D831" t="n">
        <x:v>7</x:v>
      </x:c>
      <x:c r="E831" t="str">
        <x:f>TEXT(B831,"mmm")</x:f>
        <x:v>Jul</x:v>
      </x:c>
      <x:c r="F831" t="str">
        <x:f>"Q"&amp;ROUNDUP(D831/3,0)</x:f>
        <x:v>Q3</x:v>
      </x:c>
      <x:c r="G831" s="23" t="n">
        <x:v>70.01</x:v>
      </x:c>
      <x:c r="H831" s="23" t="n">
        <x:v>63.19</x:v>
      </x:c>
      <x:c r="I831" s="23" t="n">
        <x:v>66.6</x:v>
      </x:c>
      <x:c r="J831" s="23" t="n">
        <x:f>G831-H831</x:f>
        <x:v>6.820000000000007</x:v>
      </x:c>
      <x:c r="K831" t="str">
        <x:v>HINDCAST</x:v>
      </x:c>
      <x:c r="L831" s="24" t="n">
        <x:v>17.4474</x:v>
      </x:c>
      <x:c r="M831" s="24" t="n">
        <x:v>78.3762</x:v>
      </x:c>
      <x:c r="N831" t="str">
        <x:f>IF(I831&gt;70,"70+ dB",IF(I831&gt;55,"56-70 dB","41-55 dB"))</x:f>
        <x:v>56-70 dB</x:v>
      </x:c>
      <x:c r="O831" t="str">
        <x:f>IF(I831&gt;70,"High",IF(I831&gt;55,"Moderate","Low"))</x:f>
        <x:v>Moderate</x:v>
      </x:c>
      <x:c r="P831" t="str">
        <x:f>IF(I831&gt;=70,"Yes","No")</x:f>
        <x:v>No</x:v>
      </x:c>
      <x:c r="Q831" t="str">
        <x:f>TEXT(B831,"yyyy-mm")</x:f>
        <x:v>2020-07</x:v>
      </x:c>
    </x:row>
    <x:row r="832">
      <x:c r="A832" t="str">
        <x:v>HYD05</x:v>
      </x:c>
      <x:c r="B832" s="22" t="n">
        <x:f>DATE(C832,D832,1)</x:f>
        <x:v>44044</x:v>
      </x:c>
      <x:c r="C832" t="n">
        <x:v>2020</x:v>
      </x:c>
      <x:c r="D832" t="n">
        <x:v>8</x:v>
      </x:c>
      <x:c r="E832" t="str">
        <x:f>TEXT(B832,"mmm")</x:f>
        <x:v>Aug</x:v>
      </x:c>
      <x:c r="F832" t="str">
        <x:f>"Q"&amp;ROUNDUP(D832/3,0)</x:f>
        <x:v>Q3</x:v>
      </x:c>
      <x:c r="G832" s="23" t="n">
        <x:v>69.6</x:v>
      </x:c>
      <x:c r="H832" s="23" t="n">
        <x:v>61.77</x:v>
      </x:c>
      <x:c r="I832" s="23" t="n">
        <x:v>65.7</x:v>
      </x:c>
      <x:c r="J832" s="23" t="n">
        <x:f>G832-H832</x:f>
        <x:v>7.829999999999991</x:v>
      </x:c>
      <x:c r="K832" t="str">
        <x:v>HINDCAST</x:v>
      </x:c>
      <x:c r="L832" s="24" t="n">
        <x:v>17.4474</x:v>
      </x:c>
      <x:c r="M832" s="24" t="n">
        <x:v>78.3762</x:v>
      </x:c>
      <x:c r="N832" t="str">
        <x:f>IF(I832&gt;70,"70+ dB",IF(I832&gt;55,"56-70 dB","41-55 dB"))</x:f>
        <x:v>56-70 dB</x:v>
      </x:c>
      <x:c r="O832" t="str">
        <x:f>IF(I832&gt;70,"High",IF(I832&gt;55,"Moderate","Low"))</x:f>
        <x:v>Moderate</x:v>
      </x:c>
      <x:c r="P832" t="str">
        <x:f>IF(I832&gt;=70,"Yes","No")</x:f>
        <x:v>No</x:v>
      </x:c>
      <x:c r="Q832" t="str">
        <x:f>TEXT(B832,"yyyy-mm")</x:f>
        <x:v>2020-08</x:v>
      </x:c>
    </x:row>
    <x:row r="833">
      <x:c r="A833" t="str">
        <x:v>HYD05</x:v>
      </x:c>
      <x:c r="B833" s="22" t="n">
        <x:f>DATE(C833,D833,1)</x:f>
        <x:v>44075</x:v>
      </x:c>
      <x:c r="C833" t="n">
        <x:v>2020</x:v>
      </x:c>
      <x:c r="D833" t="n">
        <x:v>9</x:v>
      </x:c>
      <x:c r="E833" t="str">
        <x:f>TEXT(B833,"mmm")</x:f>
        <x:v>Sep</x:v>
      </x:c>
      <x:c r="F833" t="str">
        <x:f>"Q"&amp;ROUNDUP(D833/3,0)</x:f>
        <x:v>Q3</x:v>
      </x:c>
      <x:c r="G833" s="23" t="n">
        <x:v>68.77</x:v>
      </x:c>
      <x:c r="H833" s="23" t="n">
        <x:v>60.3</x:v>
      </x:c>
      <x:c r="I833" s="23" t="n">
        <x:v>64.5</x:v>
      </x:c>
      <x:c r="J833" s="23" t="n">
        <x:f>G833-H833</x:f>
        <x:v>8.469999999999999</x:v>
      </x:c>
      <x:c r="K833" t="str">
        <x:v>HINDCAST</x:v>
      </x:c>
      <x:c r="L833" s="24" t="n">
        <x:v>17.4474</x:v>
      </x:c>
      <x:c r="M833" s="24" t="n">
        <x:v>78.3762</x:v>
      </x:c>
      <x:c r="N833" t="str">
        <x:f>IF(I833&gt;70,"70+ dB",IF(I833&gt;55,"56-70 dB","41-55 dB"))</x:f>
        <x:v>56-70 dB</x:v>
      </x:c>
      <x:c r="O833" t="str">
        <x:f>IF(I833&gt;70,"High",IF(I833&gt;55,"Moderate","Low"))</x:f>
        <x:v>Moderate</x:v>
      </x:c>
      <x:c r="P833" t="str">
        <x:f>IF(I833&gt;=70,"Yes","No")</x:f>
        <x:v>No</x:v>
      </x:c>
      <x:c r="Q833" t="str">
        <x:f>TEXT(B833,"yyyy-mm")</x:f>
        <x:v>2020-09</x:v>
      </x:c>
    </x:row>
    <x:row r="834">
      <x:c r="A834" t="str">
        <x:v>HYD05</x:v>
      </x:c>
      <x:c r="B834" s="22" t="n">
        <x:f>DATE(C834,D834,1)</x:f>
        <x:v>44105</x:v>
      </x:c>
      <x:c r="C834" t="n">
        <x:v>2020</x:v>
      </x:c>
      <x:c r="D834" t="n">
        <x:v>10</x:v>
      </x:c>
      <x:c r="E834" t="str">
        <x:f>TEXT(B834,"mmm")</x:f>
        <x:v>Oct</x:v>
      </x:c>
      <x:c r="F834" t="str">
        <x:f>"Q"&amp;ROUNDUP(D834/3,0)</x:f>
        <x:v>Q4</x:v>
      </x:c>
      <x:c r="G834" s="23" t="n">
        <x:v>69.47</x:v>
      </x:c>
      <x:c r="H834" s="23" t="n">
        <x:v>61.89</x:v>
      </x:c>
      <x:c r="I834" s="23" t="n">
        <x:v>65.7</x:v>
      </x:c>
      <x:c r="J834" s="23" t="n">
        <x:f>G834-H834</x:f>
        <x:v>7.579999999999998</x:v>
      </x:c>
      <x:c r="K834" t="str">
        <x:v>HINDCAST</x:v>
      </x:c>
      <x:c r="L834" s="24" t="n">
        <x:v>17.4474</x:v>
      </x:c>
      <x:c r="M834" s="24" t="n">
        <x:v>78.3762</x:v>
      </x:c>
      <x:c r="N834" t="str">
        <x:f>IF(I834&gt;70,"70+ dB",IF(I834&gt;55,"56-70 dB","41-55 dB"))</x:f>
        <x:v>56-70 dB</x:v>
      </x:c>
      <x:c r="O834" t="str">
        <x:f>IF(I834&gt;70,"High",IF(I834&gt;55,"Moderate","Low"))</x:f>
        <x:v>Moderate</x:v>
      </x:c>
      <x:c r="P834" t="str">
        <x:f>IF(I834&gt;=70,"Yes","No")</x:f>
        <x:v>No</x:v>
      </x:c>
      <x:c r="Q834" t="str">
        <x:f>TEXT(B834,"yyyy-mm")</x:f>
        <x:v>2020-10</x:v>
      </x:c>
    </x:row>
    <x:row r="835">
      <x:c r="A835" t="str">
        <x:v>HYD05</x:v>
      </x:c>
      <x:c r="B835" s="22" t="n">
        <x:f>DATE(C835,D835,1)</x:f>
        <x:v>44136</x:v>
      </x:c>
      <x:c r="C835" t="n">
        <x:v>2020</x:v>
      </x:c>
      <x:c r="D835" t="n">
        <x:v>11</x:v>
      </x:c>
      <x:c r="E835" t="str">
        <x:f>TEXT(B835,"mmm")</x:f>
        <x:v>Nov</x:v>
      </x:c>
      <x:c r="F835" t="str">
        <x:f>"Q"&amp;ROUNDUP(D835/3,0)</x:f>
        <x:v>Q4</x:v>
      </x:c>
      <x:c r="G835" s="23" t="n">
        <x:v>70.43</x:v>
      </x:c>
      <x:c r="H835" s="23" t="n">
        <x:v>63.04</x:v>
      </x:c>
      <x:c r="I835" s="23" t="n">
        <x:v>66.7</x:v>
      </x:c>
      <x:c r="J835" s="23" t="n">
        <x:f>G835-H835</x:f>
        <x:v>7.390000000000008</x:v>
      </x:c>
      <x:c r="K835" t="str">
        <x:v>HINDCAST</x:v>
      </x:c>
      <x:c r="L835" s="24" t="n">
        <x:v>17.4474</x:v>
      </x:c>
      <x:c r="M835" s="24" t="n">
        <x:v>78.3762</x:v>
      </x:c>
      <x:c r="N835" t="str">
        <x:f>IF(I835&gt;70,"70+ dB",IF(I835&gt;55,"56-70 dB","41-55 dB"))</x:f>
        <x:v>56-70 dB</x:v>
      </x:c>
      <x:c r="O835" t="str">
        <x:f>IF(I835&gt;70,"High",IF(I835&gt;55,"Moderate","Low"))</x:f>
        <x:v>Moderate</x:v>
      </x:c>
      <x:c r="P835" t="str">
        <x:f>IF(I835&gt;=70,"Yes","No")</x:f>
        <x:v>No</x:v>
      </x:c>
      <x:c r="Q835" t="str">
        <x:f>TEXT(B835,"yyyy-mm")</x:f>
        <x:v>2020-11</x:v>
      </x:c>
    </x:row>
    <x:row r="836">
      <x:c r="A836" t="str">
        <x:v>HYD05</x:v>
      </x:c>
      <x:c r="B836" s="22" t="n">
        <x:f>DATE(C836,D836,1)</x:f>
        <x:v>44166</x:v>
      </x:c>
      <x:c r="C836" t="n">
        <x:v>2020</x:v>
      </x:c>
      <x:c r="D836" t="n">
        <x:v>12</x:v>
      </x:c>
      <x:c r="E836" t="str">
        <x:f>TEXT(B836,"mmm")</x:f>
        <x:v>Dec</x:v>
      </x:c>
      <x:c r="F836" t="str">
        <x:f>"Q"&amp;ROUNDUP(D836/3,0)</x:f>
        <x:v>Q4</x:v>
      </x:c>
      <x:c r="G836" s="23" t="n">
        <x:v>69.86</x:v>
      </x:c>
      <x:c r="H836" s="23" t="n">
        <x:v>62.35</x:v>
      </x:c>
      <x:c r="I836" s="23" t="n">
        <x:v>66.1</x:v>
      </x:c>
      <x:c r="J836" s="23" t="n">
        <x:f>G836-H836</x:f>
        <x:v>7.509999999999998</x:v>
      </x:c>
      <x:c r="K836" t="str">
        <x:v>HINDCAST</x:v>
      </x:c>
      <x:c r="L836" s="24" t="n">
        <x:v>17.4474</x:v>
      </x:c>
      <x:c r="M836" s="24" t="n">
        <x:v>78.3762</x:v>
      </x:c>
      <x:c r="N836" t="str">
        <x:f>IF(I836&gt;70,"70+ dB",IF(I836&gt;55,"56-70 dB","41-55 dB"))</x:f>
        <x:v>56-70 dB</x:v>
      </x:c>
      <x:c r="O836" t="str">
        <x:f>IF(I836&gt;70,"High",IF(I836&gt;55,"Moderate","Low"))</x:f>
        <x:v>Moderate</x:v>
      </x:c>
      <x:c r="P836" t="str">
        <x:f>IF(I836&gt;=70,"Yes","No")</x:f>
        <x:v>No</x:v>
      </x:c>
      <x:c r="Q836" t="str">
        <x:f>TEXT(B836,"yyyy-mm")</x:f>
        <x:v>2020-12</x:v>
      </x:c>
    </x:row>
    <x:row r="837">
      <x:c r="A837" t="str">
        <x:v>HYD05</x:v>
      </x:c>
      <x:c r="B837" s="22" t="n">
        <x:f>DATE(C837,D837,1)</x:f>
        <x:v>44197</x:v>
      </x:c>
      <x:c r="C837" t="n">
        <x:v>2021</x:v>
      </x:c>
      <x:c r="D837" t="n">
        <x:v>1</x:v>
      </x:c>
      <x:c r="E837" t="str">
        <x:f>TEXT(B837,"mmm")</x:f>
        <x:v>Jan</x:v>
      </x:c>
      <x:c r="F837" t="str">
        <x:f>"Q"&amp;ROUNDUP(D837/3,0)</x:f>
        <x:v>Q1</x:v>
      </x:c>
      <x:c r="G837" s="23" t="n">
        <x:v>67.42</x:v>
      </x:c>
      <x:c r="H837" s="23" t="n">
        <x:v>58.17</x:v>
      </x:c>
      <x:c r="I837" s="23" t="n">
        <x:v>62.8</x:v>
      </x:c>
      <x:c r="J837" s="23" t="n">
        <x:f>G837-H837</x:f>
        <x:v>9.25</x:v>
      </x:c>
      <x:c r="K837" t="str">
        <x:v>HINDCAST</x:v>
      </x:c>
      <x:c r="L837" s="24" t="n">
        <x:v>17.4474</x:v>
      </x:c>
      <x:c r="M837" s="24" t="n">
        <x:v>78.3762</x:v>
      </x:c>
      <x:c r="N837" t="str">
        <x:f>IF(I837&gt;70,"70+ dB",IF(I837&gt;55,"56-70 dB","41-55 dB"))</x:f>
        <x:v>56-70 dB</x:v>
      </x:c>
      <x:c r="O837" t="str">
        <x:f>IF(I837&gt;70,"High",IF(I837&gt;55,"Moderate","Low"))</x:f>
        <x:v>Moderate</x:v>
      </x:c>
      <x:c r="P837" t="str">
        <x:f>IF(I837&gt;=70,"Yes","No")</x:f>
        <x:v>No</x:v>
      </x:c>
      <x:c r="Q837" t="str">
        <x:f>TEXT(B837,"yyyy-mm")</x:f>
        <x:v>2021-01</x:v>
      </x:c>
    </x:row>
    <x:row r="838">
      <x:c r="A838" t="str">
        <x:v>HYD05</x:v>
      </x:c>
      <x:c r="B838" s="22" t="n">
        <x:f>DATE(C838,D838,1)</x:f>
        <x:v>44228</x:v>
      </x:c>
      <x:c r="C838" t="n">
        <x:v>2021</x:v>
      </x:c>
      <x:c r="D838" t="n">
        <x:v>2</x:v>
      </x:c>
      <x:c r="E838" t="str">
        <x:f>TEXT(B838,"mmm")</x:f>
        <x:v>Feb</x:v>
      </x:c>
      <x:c r="F838" t="str">
        <x:f>"Q"&amp;ROUNDUP(D838/3,0)</x:f>
        <x:v>Q1</x:v>
      </x:c>
      <x:c r="G838" s="23" t="n">
        <x:v>67.92</x:v>
      </x:c>
      <x:c r="H838" s="23" t="n">
        <x:v>58.97</x:v>
      </x:c>
      <x:c r="I838" s="23" t="n">
        <x:v>63.4</x:v>
      </x:c>
      <x:c r="J838" s="23" t="n">
        <x:f>G838-H838</x:f>
        <x:v>8.950000000000003</x:v>
      </x:c>
      <x:c r="K838" t="str">
        <x:v>HINDCAST</x:v>
      </x:c>
      <x:c r="L838" s="24" t="n">
        <x:v>17.4474</x:v>
      </x:c>
      <x:c r="M838" s="24" t="n">
        <x:v>78.3762</x:v>
      </x:c>
      <x:c r="N838" t="str">
        <x:f>IF(I838&gt;70,"70+ dB",IF(I838&gt;55,"56-70 dB","41-55 dB"))</x:f>
        <x:v>56-70 dB</x:v>
      </x:c>
      <x:c r="O838" t="str">
        <x:f>IF(I838&gt;70,"High",IF(I838&gt;55,"Moderate","Low"))</x:f>
        <x:v>Moderate</x:v>
      </x:c>
      <x:c r="P838" t="str">
        <x:f>IF(I838&gt;=70,"Yes","No")</x:f>
        <x:v>No</x:v>
      </x:c>
      <x:c r="Q838" t="str">
        <x:f>TEXT(B838,"yyyy-mm")</x:f>
        <x:v>2021-02</x:v>
      </x:c>
    </x:row>
    <x:row r="839">
      <x:c r="A839" t="str">
        <x:v>HYD05</x:v>
      </x:c>
      <x:c r="B839" s="22" t="n">
        <x:f>DATE(C839,D839,1)</x:f>
        <x:v>44256</x:v>
      </x:c>
      <x:c r="C839" t="n">
        <x:v>2021</x:v>
      </x:c>
      <x:c r="D839" t="n">
        <x:v>3</x:v>
      </x:c>
      <x:c r="E839" t="str">
        <x:f>TEXT(B839,"mmm")</x:f>
        <x:v>Mar</x:v>
      </x:c>
      <x:c r="F839" t="str">
        <x:f>"Q"&amp;ROUNDUP(D839/3,0)</x:f>
        <x:v>Q1</x:v>
      </x:c>
      <x:c r="G839" s="23" t="n">
        <x:v>67.36</x:v>
      </x:c>
      <x:c r="H839" s="23" t="n">
        <x:v>58.69</x:v>
      </x:c>
      <x:c r="I839" s="23" t="n">
        <x:v>63</x:v>
      </x:c>
      <x:c r="J839" s="23" t="n">
        <x:f>G839-H839</x:f>
        <x:v>8.670000000000002</x:v>
      </x:c>
      <x:c r="K839" t="str">
        <x:v>HINDCAST</x:v>
      </x:c>
      <x:c r="L839" s="24" t="n">
        <x:v>17.4474</x:v>
      </x:c>
      <x:c r="M839" s="24" t="n">
        <x:v>78.3762</x:v>
      </x:c>
      <x:c r="N839" t="str">
        <x:f>IF(I839&gt;70,"70+ dB",IF(I839&gt;55,"56-70 dB","41-55 dB"))</x:f>
        <x:v>56-70 dB</x:v>
      </x:c>
      <x:c r="O839" t="str">
        <x:f>IF(I839&gt;70,"High",IF(I839&gt;55,"Moderate","Low"))</x:f>
        <x:v>Moderate</x:v>
      </x:c>
      <x:c r="P839" t="str">
        <x:f>IF(I839&gt;=70,"Yes","No")</x:f>
        <x:v>No</x:v>
      </x:c>
      <x:c r="Q839" t="str">
        <x:f>TEXT(B839,"yyyy-mm")</x:f>
        <x:v>2021-03</x:v>
      </x:c>
    </x:row>
    <x:row r="840">
      <x:c r="A840" t="str">
        <x:v>HYD05</x:v>
      </x:c>
      <x:c r="B840" s="22" t="n">
        <x:f>DATE(C840,D840,1)</x:f>
        <x:v>44287</x:v>
      </x:c>
      <x:c r="C840" t="n">
        <x:v>2021</x:v>
      </x:c>
      <x:c r="D840" t="n">
        <x:v>4</x:v>
      </x:c>
      <x:c r="E840" t="str">
        <x:f>TEXT(B840,"mmm")</x:f>
        <x:v>Apr</x:v>
      </x:c>
      <x:c r="F840" t="str">
        <x:f>"Q"&amp;ROUNDUP(D840/3,0)</x:f>
        <x:v>Q2</x:v>
      </x:c>
      <x:c r="G840" s="23" t="n">
        <x:v>67.78</x:v>
      </x:c>
      <x:c r="H840" s="23" t="n">
        <x:v>59.12</x:v>
      </x:c>
      <x:c r="I840" s="23" t="n">
        <x:v>63.4</x:v>
      </x:c>
      <x:c r="J840" s="23" t="n">
        <x:f>G840-H840</x:f>
        <x:v>8.660000000000004</x:v>
      </x:c>
      <x:c r="K840" t="str">
        <x:v>HINDCAST</x:v>
      </x:c>
      <x:c r="L840" s="24" t="n">
        <x:v>17.4474</x:v>
      </x:c>
      <x:c r="M840" s="24" t="n">
        <x:v>78.3762</x:v>
      </x:c>
      <x:c r="N840" t="str">
        <x:f>IF(I840&gt;70,"70+ dB",IF(I840&gt;55,"56-70 dB","41-55 dB"))</x:f>
        <x:v>56-70 dB</x:v>
      </x:c>
      <x:c r="O840" t="str">
        <x:f>IF(I840&gt;70,"High",IF(I840&gt;55,"Moderate","Low"))</x:f>
        <x:v>Moderate</x:v>
      </x:c>
      <x:c r="P840" t="str">
        <x:f>IF(I840&gt;=70,"Yes","No")</x:f>
        <x:v>No</x:v>
      </x:c>
      <x:c r="Q840" t="str">
        <x:f>TEXT(B840,"yyyy-mm")</x:f>
        <x:v>2021-04</x:v>
      </x:c>
    </x:row>
    <x:row r="841">
      <x:c r="A841" t="str">
        <x:v>HYD05</x:v>
      </x:c>
      <x:c r="B841" s="22" t="n">
        <x:f>DATE(C841,D841,1)</x:f>
        <x:v>44317</x:v>
      </x:c>
      <x:c r="C841" t="n">
        <x:v>2021</x:v>
      </x:c>
      <x:c r="D841" t="n">
        <x:v>5</x:v>
      </x:c>
      <x:c r="E841" t="str">
        <x:f>TEXT(B841,"mmm")</x:f>
        <x:v>May</x:v>
      </x:c>
      <x:c r="F841" t="str">
        <x:f>"Q"&amp;ROUNDUP(D841/3,0)</x:f>
        <x:v>Q2</x:v>
      </x:c>
      <x:c r="G841" s="23" t="n">
        <x:v>68.07</x:v>
      </x:c>
      <x:c r="H841" s="23" t="n">
        <x:v>59.97</x:v>
      </x:c>
      <x:c r="I841" s="23" t="n">
        <x:v>64</x:v>
      </x:c>
      <x:c r="J841" s="23" t="n">
        <x:f>G841-H841</x:f>
        <x:v>8.099999999999994</x:v>
      </x:c>
      <x:c r="K841" t="str">
        <x:v>HINDCAST</x:v>
      </x:c>
      <x:c r="L841" s="24" t="n">
        <x:v>17.4474</x:v>
      </x:c>
      <x:c r="M841" s="24" t="n">
        <x:v>78.3762</x:v>
      </x:c>
      <x:c r="N841" t="str">
        <x:f>IF(I841&gt;70,"70+ dB",IF(I841&gt;55,"56-70 dB","41-55 dB"))</x:f>
        <x:v>56-70 dB</x:v>
      </x:c>
      <x:c r="O841" t="str">
        <x:f>IF(I841&gt;70,"High",IF(I841&gt;55,"Moderate","Low"))</x:f>
        <x:v>Moderate</x:v>
      </x:c>
      <x:c r="P841" t="str">
        <x:f>IF(I841&gt;=70,"Yes","No")</x:f>
        <x:v>No</x:v>
      </x:c>
      <x:c r="Q841" t="str">
        <x:f>TEXT(B841,"yyyy-mm")</x:f>
        <x:v>2021-05</x:v>
      </x:c>
    </x:row>
    <x:row r="842">
      <x:c r="A842" t="str">
        <x:v>HYD05</x:v>
      </x:c>
      <x:c r="B842" s="22" t="n">
        <x:f>DATE(C842,D842,1)</x:f>
        <x:v>44348</x:v>
      </x:c>
      <x:c r="C842" t="n">
        <x:v>2021</x:v>
      </x:c>
      <x:c r="D842" t="n">
        <x:v>6</x:v>
      </x:c>
      <x:c r="E842" t="str">
        <x:f>TEXT(B842,"mmm")</x:f>
        <x:v>Jun</x:v>
      </x:c>
      <x:c r="F842" t="str">
        <x:f>"Q"&amp;ROUNDUP(D842/3,0)</x:f>
        <x:v>Q2</x:v>
      </x:c>
      <x:c r="G842" s="23" t="n">
        <x:v>68.64</x:v>
      </x:c>
      <x:c r="H842" s="23" t="n">
        <x:v>61.26</x:v>
      </x:c>
      <x:c r="I842" s="23" t="n">
        <x:v>65</x:v>
      </x:c>
      <x:c r="J842" s="23" t="n">
        <x:f>G842-H842</x:f>
        <x:v>7.380000000000003</x:v>
      </x:c>
      <x:c r="K842" t="str">
        <x:v>HINDCAST</x:v>
      </x:c>
      <x:c r="L842" s="24" t="n">
        <x:v>17.4474</x:v>
      </x:c>
      <x:c r="M842" s="24" t="n">
        <x:v>78.3762</x:v>
      </x:c>
      <x:c r="N842" t="str">
        <x:f>IF(I842&gt;70,"70+ dB",IF(I842&gt;55,"56-70 dB","41-55 dB"))</x:f>
        <x:v>56-70 dB</x:v>
      </x:c>
      <x:c r="O842" t="str">
        <x:f>IF(I842&gt;70,"High",IF(I842&gt;55,"Moderate","Low"))</x:f>
        <x:v>Moderate</x:v>
      </x:c>
      <x:c r="P842" t="str">
        <x:f>IF(I842&gt;=70,"Yes","No")</x:f>
        <x:v>No</x:v>
      </x:c>
      <x:c r="Q842" t="str">
        <x:f>TEXT(B842,"yyyy-mm")</x:f>
        <x:v>2021-06</x:v>
      </x:c>
    </x:row>
    <x:row r="843">
      <x:c r="A843" t="str">
        <x:v>HYD05</x:v>
      </x:c>
      <x:c r="B843" s="22" t="n">
        <x:f>DATE(C843,D843,1)</x:f>
        <x:v>44378</x:v>
      </x:c>
      <x:c r="C843" t="n">
        <x:v>2021</x:v>
      </x:c>
      <x:c r="D843" t="n">
        <x:v>7</x:v>
      </x:c>
      <x:c r="E843" t="str">
        <x:f>TEXT(B843,"mmm")</x:f>
        <x:v>Jul</x:v>
      </x:c>
      <x:c r="F843" t="str">
        <x:f>"Q"&amp;ROUNDUP(D843/3,0)</x:f>
        <x:v>Q3</x:v>
      </x:c>
      <x:c r="G843" s="23" t="n">
        <x:v>69.35</x:v>
      </x:c>
      <x:c r="H843" s="23" t="n">
        <x:v>61.83</x:v>
      </x:c>
      <x:c r="I843" s="23" t="n">
        <x:v>65.6</x:v>
      </x:c>
      <x:c r="J843" s="23" t="n">
        <x:f>G843-H843</x:f>
        <x:v>7.519999999999996</x:v>
      </x:c>
      <x:c r="K843" t="str">
        <x:v>HINDCAST</x:v>
      </x:c>
      <x:c r="L843" s="24" t="n">
        <x:v>17.4474</x:v>
      </x:c>
      <x:c r="M843" s="24" t="n">
        <x:v>78.3762</x:v>
      </x:c>
      <x:c r="N843" t="str">
        <x:f>IF(I843&gt;70,"70+ dB",IF(I843&gt;55,"56-70 dB","41-55 dB"))</x:f>
        <x:v>56-70 dB</x:v>
      </x:c>
      <x:c r="O843" t="str">
        <x:f>IF(I843&gt;70,"High",IF(I843&gt;55,"Moderate","Low"))</x:f>
        <x:v>Moderate</x:v>
      </x:c>
      <x:c r="P843" t="str">
        <x:f>IF(I843&gt;=70,"Yes","No")</x:f>
        <x:v>No</x:v>
      </x:c>
      <x:c r="Q843" t="str">
        <x:f>TEXT(B843,"yyyy-mm")</x:f>
        <x:v>2021-07</x:v>
      </x:c>
    </x:row>
    <x:row r="844">
      <x:c r="A844" t="str">
        <x:v>HYD05</x:v>
      </x:c>
      <x:c r="B844" s="22" t="n">
        <x:f>DATE(C844,D844,1)</x:f>
        <x:v>44409</x:v>
      </x:c>
      <x:c r="C844" t="n">
        <x:v>2021</x:v>
      </x:c>
      <x:c r="D844" t="n">
        <x:v>8</x:v>
      </x:c>
      <x:c r="E844" t="str">
        <x:f>TEXT(B844,"mmm")</x:f>
        <x:v>Aug</x:v>
      </x:c>
      <x:c r="F844" t="str">
        <x:f>"Q"&amp;ROUNDUP(D844/3,0)</x:f>
        <x:v>Q3</x:v>
      </x:c>
      <x:c r="G844" s="23" t="n">
        <x:v>68.94</x:v>
      </x:c>
      <x:c r="H844" s="23" t="n">
        <x:v>60.4</x:v>
      </x:c>
      <x:c r="I844" s="23" t="n">
        <x:v>64.7</x:v>
      </x:c>
      <x:c r="J844" s="23" t="n">
        <x:f>G844-H844</x:f>
        <x:v>8.54</x:v>
      </x:c>
      <x:c r="K844" t="str">
        <x:v>HINDCAST</x:v>
      </x:c>
      <x:c r="L844" s="24" t="n">
        <x:v>17.4474</x:v>
      </x:c>
      <x:c r="M844" s="24" t="n">
        <x:v>78.3762</x:v>
      </x:c>
      <x:c r="N844" t="str">
        <x:f>IF(I844&gt;70,"70+ dB",IF(I844&gt;55,"56-70 dB","41-55 dB"))</x:f>
        <x:v>56-70 dB</x:v>
      </x:c>
      <x:c r="O844" t="str">
        <x:f>IF(I844&gt;70,"High",IF(I844&gt;55,"Moderate","Low"))</x:f>
        <x:v>Moderate</x:v>
      </x:c>
      <x:c r="P844" t="str">
        <x:f>IF(I844&gt;=70,"Yes","No")</x:f>
        <x:v>No</x:v>
      </x:c>
      <x:c r="Q844" t="str">
        <x:f>TEXT(B844,"yyyy-mm")</x:f>
        <x:v>2021-08</x:v>
      </x:c>
    </x:row>
    <x:row r="845">
      <x:c r="A845" t="str">
        <x:v>HYD05</x:v>
      </x:c>
      <x:c r="B845" s="22" t="n">
        <x:f>DATE(C845,D845,1)</x:f>
        <x:v>44440</x:v>
      </x:c>
      <x:c r="C845" t="n">
        <x:v>2021</x:v>
      </x:c>
      <x:c r="D845" t="n">
        <x:v>9</x:v>
      </x:c>
      <x:c r="E845" t="str">
        <x:f>TEXT(B845,"mmm")</x:f>
        <x:v>Sep</x:v>
      </x:c>
      <x:c r="F845" t="str">
        <x:f>"Q"&amp;ROUNDUP(D845/3,0)</x:f>
        <x:v>Q3</x:v>
      </x:c>
      <x:c r="G845" s="23" t="n">
        <x:v>68.12</x:v>
      </x:c>
      <x:c r="H845" s="23" t="n">
        <x:v>58.93</x:v>
      </x:c>
      <x:c r="I845" s="23" t="n">
        <x:v>63.5</x:v>
      </x:c>
      <x:c r="J845" s="23" t="n">
        <x:f>G845-H845</x:f>
        <x:v>9.190000000000005</x:v>
      </x:c>
      <x:c r="K845" t="str">
        <x:v>HINDCAST</x:v>
      </x:c>
      <x:c r="L845" s="24" t="n">
        <x:v>17.4474</x:v>
      </x:c>
      <x:c r="M845" s="24" t="n">
        <x:v>78.3762</x:v>
      </x:c>
      <x:c r="N845" t="str">
        <x:f>IF(I845&gt;70,"70+ dB",IF(I845&gt;55,"56-70 dB","41-55 dB"))</x:f>
        <x:v>56-70 dB</x:v>
      </x:c>
      <x:c r="O845" t="str">
        <x:f>IF(I845&gt;70,"High",IF(I845&gt;55,"Moderate","Low"))</x:f>
        <x:v>Moderate</x:v>
      </x:c>
      <x:c r="P845" t="str">
        <x:f>IF(I845&gt;=70,"Yes","No")</x:f>
        <x:v>No</x:v>
      </x:c>
      <x:c r="Q845" t="str">
        <x:f>TEXT(B845,"yyyy-mm")</x:f>
        <x:v>2021-09</x:v>
      </x:c>
    </x:row>
    <x:row r="846">
      <x:c r="A846" t="str">
        <x:v>HYD05</x:v>
      </x:c>
      <x:c r="B846" s="22" t="n">
        <x:f>DATE(C846,D846,1)</x:f>
        <x:v>44470</x:v>
      </x:c>
      <x:c r="C846" t="n">
        <x:v>2021</x:v>
      </x:c>
      <x:c r="D846" t="n">
        <x:v>10</x:v>
      </x:c>
      <x:c r="E846" t="str">
        <x:f>TEXT(B846,"mmm")</x:f>
        <x:v>Oct</x:v>
      </x:c>
      <x:c r="F846" t="str">
        <x:f>"Q"&amp;ROUNDUP(D846/3,0)</x:f>
        <x:v>Q4</x:v>
      </x:c>
      <x:c r="G846" s="23" t="n">
        <x:v>68.81</x:v>
      </x:c>
      <x:c r="H846" s="23" t="n">
        <x:v>60.52</x:v>
      </x:c>
      <x:c r="I846" s="23" t="n">
        <x:v>64.7</x:v>
      </x:c>
      <x:c r="J846" s="23" t="n">
        <x:f>G846-H846</x:f>
        <x:v>8.29</x:v>
      </x:c>
      <x:c r="K846" t="str">
        <x:v>HINDCAST</x:v>
      </x:c>
      <x:c r="L846" s="24" t="n">
        <x:v>17.4474</x:v>
      </x:c>
      <x:c r="M846" s="24" t="n">
        <x:v>78.3762</x:v>
      </x:c>
      <x:c r="N846" t="str">
        <x:f>IF(I846&gt;70,"70+ dB",IF(I846&gt;55,"56-70 dB","41-55 dB"))</x:f>
        <x:v>56-70 dB</x:v>
      </x:c>
      <x:c r="O846" t="str">
        <x:f>IF(I846&gt;70,"High",IF(I846&gt;55,"Moderate","Low"))</x:f>
        <x:v>Moderate</x:v>
      </x:c>
      <x:c r="P846" t="str">
        <x:f>IF(I846&gt;=70,"Yes","No")</x:f>
        <x:v>No</x:v>
      </x:c>
      <x:c r="Q846" t="str">
        <x:f>TEXT(B846,"yyyy-mm")</x:f>
        <x:v>2021-10</x:v>
      </x:c>
    </x:row>
    <x:row r="847">
      <x:c r="A847" t="str">
        <x:v>HYD05</x:v>
      </x:c>
      <x:c r="B847" s="22" t="n">
        <x:f>DATE(C847,D847,1)</x:f>
        <x:v>44501</x:v>
      </x:c>
      <x:c r="C847" t="n">
        <x:v>2021</x:v>
      </x:c>
      <x:c r="D847" t="n">
        <x:v>11</x:v>
      </x:c>
      <x:c r="E847" t="str">
        <x:f>TEXT(B847,"mmm")</x:f>
        <x:v>Nov</x:v>
      </x:c>
      <x:c r="F847" t="str">
        <x:f>"Q"&amp;ROUNDUP(D847/3,0)</x:f>
        <x:v>Q4</x:v>
      </x:c>
      <x:c r="G847" s="23" t="n">
        <x:v>69.77</x:v>
      </x:c>
      <x:c r="H847" s="23" t="n">
        <x:v>61.68</x:v>
      </x:c>
      <x:c r="I847" s="23" t="n">
        <x:v>65.7</x:v>
      </x:c>
      <x:c r="J847" s="23" t="n">
        <x:f>G847-H847</x:f>
        <x:v>8.089999999999996</x:v>
      </x:c>
      <x:c r="K847" t="str">
        <x:v>HINDCAST</x:v>
      </x:c>
      <x:c r="L847" s="24" t="n">
        <x:v>17.4474</x:v>
      </x:c>
      <x:c r="M847" s="24" t="n">
        <x:v>78.3762</x:v>
      </x:c>
      <x:c r="N847" t="str">
        <x:f>IF(I847&gt;70,"70+ dB",IF(I847&gt;55,"56-70 dB","41-55 dB"))</x:f>
        <x:v>56-70 dB</x:v>
      </x:c>
      <x:c r="O847" t="str">
        <x:f>IF(I847&gt;70,"High",IF(I847&gt;55,"Moderate","Low"))</x:f>
        <x:v>Moderate</x:v>
      </x:c>
      <x:c r="P847" t="str">
        <x:f>IF(I847&gt;=70,"Yes","No")</x:f>
        <x:v>No</x:v>
      </x:c>
      <x:c r="Q847" t="str">
        <x:f>TEXT(B847,"yyyy-mm")</x:f>
        <x:v>2021-11</x:v>
      </x:c>
    </x:row>
    <x:row r="848">
      <x:c r="A848" t="str">
        <x:v>HYD05</x:v>
      </x:c>
      <x:c r="B848" s="22" t="n">
        <x:f>DATE(C848,D848,1)</x:f>
        <x:v>44531</x:v>
      </x:c>
      <x:c r="C848" t="n">
        <x:v>2021</x:v>
      </x:c>
      <x:c r="D848" t="n">
        <x:v>12</x:v>
      </x:c>
      <x:c r="E848" t="str">
        <x:f>TEXT(B848,"mmm")</x:f>
        <x:v>Dec</x:v>
      </x:c>
      <x:c r="F848" t="str">
        <x:f>"Q"&amp;ROUNDUP(D848/3,0)</x:f>
        <x:v>Q4</x:v>
      </x:c>
      <x:c r="G848" s="23" t="n">
        <x:v>69.2</x:v>
      </x:c>
      <x:c r="H848" s="23" t="n">
        <x:v>60.98</x:v>
      </x:c>
      <x:c r="I848" s="23" t="n">
        <x:v>65.1</x:v>
      </x:c>
      <x:c r="J848" s="23" t="n">
        <x:f>G848-H848</x:f>
        <x:v>8.220000000000006</x:v>
      </x:c>
      <x:c r="K848" t="str">
        <x:v>HINDCAST</x:v>
      </x:c>
      <x:c r="L848" s="24" t="n">
        <x:v>17.4474</x:v>
      </x:c>
      <x:c r="M848" s="24" t="n">
        <x:v>78.3762</x:v>
      </x:c>
      <x:c r="N848" t="str">
        <x:f>IF(I848&gt;70,"70+ dB",IF(I848&gt;55,"56-70 dB","41-55 dB"))</x:f>
        <x:v>56-70 dB</x:v>
      </x:c>
      <x:c r="O848" t="str">
        <x:f>IF(I848&gt;70,"High",IF(I848&gt;55,"Moderate","Low"))</x:f>
        <x:v>Moderate</x:v>
      </x:c>
      <x:c r="P848" t="str">
        <x:f>IF(I848&gt;=70,"Yes","No")</x:f>
        <x:v>No</x:v>
      </x:c>
      <x:c r="Q848" t="str">
        <x:f>TEXT(B848,"yyyy-mm")</x:f>
        <x:v>2021-12</x:v>
      </x:c>
    </x:row>
    <x:row r="849">
      <x:c r="A849" t="str">
        <x:v>HYD05</x:v>
      </x:c>
      <x:c r="B849" s="22" t="n">
        <x:f>DATE(C849,D849,1)</x:f>
        <x:v>44562</x:v>
      </x:c>
      <x:c r="C849" t="n">
        <x:v>2022</x:v>
      </x:c>
      <x:c r="D849" t="n">
        <x:v>1</x:v>
      </x:c>
      <x:c r="E849" t="str">
        <x:f>TEXT(B849,"mmm")</x:f>
        <x:v>Jan</x:v>
      </x:c>
      <x:c r="F849" t="str">
        <x:f>"Q"&amp;ROUNDUP(D849/3,0)</x:f>
        <x:v>Q1</x:v>
      </x:c>
      <x:c r="G849" s="23" t="n">
        <x:v>66.76</x:v>
      </x:c>
      <x:c r="H849" s="23" t="n">
        <x:v>56.8</x:v>
      </x:c>
      <x:c r="I849" s="23" t="n">
        <x:v>61.8</x:v>
      </x:c>
      <x:c r="J849" s="23" t="n">
        <x:f>G849-H849</x:f>
        <x:v>9.960000000000008</x:v>
      </x:c>
      <x:c r="K849" t="str">
        <x:v>HINDCAST</x:v>
      </x:c>
      <x:c r="L849" s="24" t="n">
        <x:v>17.4474</x:v>
      </x:c>
      <x:c r="M849" s="24" t="n">
        <x:v>78.3762</x:v>
      </x:c>
      <x:c r="N849" t="str">
        <x:f>IF(I849&gt;70,"70+ dB",IF(I849&gt;55,"56-70 dB","41-55 dB"))</x:f>
        <x:v>56-70 dB</x:v>
      </x:c>
      <x:c r="O849" t="str">
        <x:f>IF(I849&gt;70,"High",IF(I849&gt;55,"Moderate","Low"))</x:f>
        <x:v>Moderate</x:v>
      </x:c>
      <x:c r="P849" t="str">
        <x:f>IF(I849&gt;=70,"Yes","No")</x:f>
        <x:v>No</x:v>
      </x:c>
      <x:c r="Q849" t="str">
        <x:f>TEXT(B849,"yyyy-mm")</x:f>
        <x:v>2022-01</x:v>
      </x:c>
    </x:row>
    <x:row r="850">
      <x:c r="A850" t="str">
        <x:v>HYD05</x:v>
      </x:c>
      <x:c r="B850" s="22" t="n">
        <x:f>DATE(C850,D850,1)</x:f>
        <x:v>44593</x:v>
      </x:c>
      <x:c r="C850" t="n">
        <x:v>2022</x:v>
      </x:c>
      <x:c r="D850" t="n">
        <x:v>2</x:v>
      </x:c>
      <x:c r="E850" t="str">
        <x:f>TEXT(B850,"mmm")</x:f>
        <x:v>Feb</x:v>
      </x:c>
      <x:c r="F850" t="str">
        <x:f>"Q"&amp;ROUNDUP(D850/3,0)</x:f>
        <x:v>Q1</x:v>
      </x:c>
      <x:c r="G850" s="23" t="n">
        <x:v>67.26</x:v>
      </x:c>
      <x:c r="H850" s="23" t="n">
        <x:v>57.6</x:v>
      </x:c>
      <x:c r="I850" s="23" t="n">
        <x:v>62.4</x:v>
      </x:c>
      <x:c r="J850" s="23" t="n">
        <x:f>G850-H850</x:f>
        <x:v>9.660000000000004</x:v>
      </x:c>
      <x:c r="K850" t="str">
        <x:v>HINDCAST</x:v>
      </x:c>
      <x:c r="L850" s="24" t="n">
        <x:v>17.4474</x:v>
      </x:c>
      <x:c r="M850" s="24" t="n">
        <x:v>78.3762</x:v>
      </x:c>
      <x:c r="N850" t="str">
        <x:f>IF(I850&gt;70,"70+ dB",IF(I850&gt;55,"56-70 dB","41-55 dB"))</x:f>
        <x:v>56-70 dB</x:v>
      </x:c>
      <x:c r="O850" t="str">
        <x:f>IF(I850&gt;70,"High",IF(I850&gt;55,"Moderate","Low"))</x:f>
        <x:v>Moderate</x:v>
      </x:c>
      <x:c r="P850" t="str">
        <x:f>IF(I850&gt;=70,"Yes","No")</x:f>
        <x:v>No</x:v>
      </x:c>
      <x:c r="Q850" t="str">
        <x:f>TEXT(B850,"yyyy-mm")</x:f>
        <x:v>2022-02</x:v>
      </x:c>
    </x:row>
    <x:row r="851">
      <x:c r="A851" t="str">
        <x:v>HYD05</x:v>
      </x:c>
      <x:c r="B851" s="22" t="n">
        <x:f>DATE(C851,D851,1)</x:f>
        <x:v>44621</x:v>
      </x:c>
      <x:c r="C851" t="n">
        <x:v>2022</x:v>
      </x:c>
      <x:c r="D851" t="n">
        <x:v>3</x:v>
      </x:c>
      <x:c r="E851" t="str">
        <x:f>TEXT(B851,"mmm")</x:f>
        <x:v>Mar</x:v>
      </x:c>
      <x:c r="F851" t="str">
        <x:f>"Q"&amp;ROUNDUP(D851/3,0)</x:f>
        <x:v>Q1</x:v>
      </x:c>
      <x:c r="G851" s="23" t="n">
        <x:v>66.7</x:v>
      </x:c>
      <x:c r="H851" s="23" t="n">
        <x:v>57.32</x:v>
      </x:c>
      <x:c r="I851" s="23" t="n">
        <x:v>62</x:v>
      </x:c>
      <x:c r="J851" s="23" t="n">
        <x:f>G851-H851</x:f>
        <x:v>9.380000000000003</x:v>
      </x:c>
      <x:c r="K851" t="str">
        <x:v>HINDCAST</x:v>
      </x:c>
      <x:c r="L851" s="24" t="n">
        <x:v>17.4474</x:v>
      </x:c>
      <x:c r="M851" s="24" t="n">
        <x:v>78.3762</x:v>
      </x:c>
      <x:c r="N851" t="str">
        <x:f>IF(I851&gt;70,"70+ dB",IF(I851&gt;55,"56-70 dB","41-55 dB"))</x:f>
        <x:v>56-70 dB</x:v>
      </x:c>
      <x:c r="O851" t="str">
        <x:f>IF(I851&gt;70,"High",IF(I851&gt;55,"Moderate","Low"))</x:f>
        <x:v>Moderate</x:v>
      </x:c>
      <x:c r="P851" t="str">
        <x:f>IF(I851&gt;=70,"Yes","No")</x:f>
        <x:v>No</x:v>
      </x:c>
      <x:c r="Q851" t="str">
        <x:f>TEXT(B851,"yyyy-mm")</x:f>
        <x:v>2022-03</x:v>
      </x:c>
    </x:row>
    <x:row r="852">
      <x:c r="A852" t="str">
        <x:v>HYD05</x:v>
      </x:c>
      <x:c r="B852" s="22" t="n">
        <x:f>DATE(C852,D852,1)</x:f>
        <x:v>44652</x:v>
      </x:c>
      <x:c r="C852" t="n">
        <x:v>2022</x:v>
      </x:c>
      <x:c r="D852" t="n">
        <x:v>4</x:v>
      </x:c>
      <x:c r="E852" t="str">
        <x:f>TEXT(B852,"mmm")</x:f>
        <x:v>Apr</x:v>
      </x:c>
      <x:c r="F852" t="str">
        <x:f>"Q"&amp;ROUNDUP(D852/3,0)</x:f>
        <x:v>Q2</x:v>
      </x:c>
      <x:c r="G852" s="23" t="n">
        <x:v>67.12</x:v>
      </x:c>
      <x:c r="H852" s="23" t="n">
        <x:v>57.75</x:v>
      </x:c>
      <x:c r="I852" s="23" t="n">
        <x:v>62.4</x:v>
      </x:c>
      <x:c r="J852" s="23" t="n">
        <x:f>G852-H852</x:f>
        <x:v>9.370000000000005</x:v>
      </x:c>
      <x:c r="K852" t="str">
        <x:v>HINDCAST</x:v>
      </x:c>
      <x:c r="L852" s="24" t="n">
        <x:v>17.4474</x:v>
      </x:c>
      <x:c r="M852" s="24" t="n">
        <x:v>78.3762</x:v>
      </x:c>
      <x:c r="N852" t="str">
        <x:f>IF(I852&gt;70,"70+ dB",IF(I852&gt;55,"56-70 dB","41-55 dB"))</x:f>
        <x:v>56-70 dB</x:v>
      </x:c>
      <x:c r="O852" t="str">
        <x:f>IF(I852&gt;70,"High",IF(I852&gt;55,"Moderate","Low"))</x:f>
        <x:v>Moderate</x:v>
      </x:c>
      <x:c r="P852" t="str">
        <x:f>IF(I852&gt;=70,"Yes","No")</x:f>
        <x:v>No</x:v>
      </x:c>
      <x:c r="Q852" t="str">
        <x:f>TEXT(B852,"yyyy-mm")</x:f>
        <x:v>2022-04</x:v>
      </x:c>
    </x:row>
    <x:row r="853">
      <x:c r="A853" t="str">
        <x:v>HYD05</x:v>
      </x:c>
      <x:c r="B853" s="22" t="n">
        <x:f>DATE(C853,D853,1)</x:f>
        <x:v>44682</x:v>
      </x:c>
      <x:c r="C853" t="n">
        <x:v>2022</x:v>
      </x:c>
      <x:c r="D853" t="n">
        <x:v>5</x:v>
      </x:c>
      <x:c r="E853" t="str">
        <x:f>TEXT(B853,"mmm")</x:f>
        <x:v>May</x:v>
      </x:c>
      <x:c r="F853" t="str">
        <x:f>"Q"&amp;ROUNDUP(D853/3,0)</x:f>
        <x:v>Q2</x:v>
      </x:c>
      <x:c r="G853" s="23" t="n">
        <x:v>67.41</x:v>
      </x:c>
      <x:c r="H853" s="23" t="n">
        <x:v>58.6</x:v>
      </x:c>
      <x:c r="I853" s="23" t="n">
        <x:v>63</x:v>
      </x:c>
      <x:c r="J853" s="23" t="n">
        <x:f>G853-H853</x:f>
        <x:v>8.809999999999995</x:v>
      </x:c>
      <x:c r="K853" t="str">
        <x:v>HINDCAST</x:v>
      </x:c>
      <x:c r="L853" s="24" t="n">
        <x:v>17.4474</x:v>
      </x:c>
      <x:c r="M853" s="24" t="n">
        <x:v>78.3762</x:v>
      </x:c>
      <x:c r="N853" t="str">
        <x:f>IF(I853&gt;70,"70+ dB",IF(I853&gt;55,"56-70 dB","41-55 dB"))</x:f>
        <x:v>56-70 dB</x:v>
      </x:c>
      <x:c r="O853" t="str">
        <x:f>IF(I853&gt;70,"High",IF(I853&gt;55,"Moderate","Low"))</x:f>
        <x:v>Moderate</x:v>
      </x:c>
      <x:c r="P853" t="str">
        <x:f>IF(I853&gt;=70,"Yes","No")</x:f>
        <x:v>No</x:v>
      </x:c>
      <x:c r="Q853" t="str">
        <x:f>TEXT(B853,"yyyy-mm")</x:f>
        <x:v>2022-05</x:v>
      </x:c>
    </x:row>
    <x:row r="854">
      <x:c r="A854" t="str">
        <x:v>HYD05</x:v>
      </x:c>
      <x:c r="B854" s="22" t="n">
        <x:f>DATE(C854,D854,1)</x:f>
        <x:v>44713</x:v>
      </x:c>
      <x:c r="C854" t="n">
        <x:v>2022</x:v>
      </x:c>
      <x:c r="D854" t="n">
        <x:v>6</x:v>
      </x:c>
      <x:c r="E854" t="str">
        <x:f>TEXT(B854,"mmm")</x:f>
        <x:v>Jun</x:v>
      </x:c>
      <x:c r="F854" t="str">
        <x:f>"Q"&amp;ROUNDUP(D854/3,0)</x:f>
        <x:v>Q2</x:v>
      </x:c>
      <x:c r="G854" s="23" t="n">
        <x:v>67.98</x:v>
      </x:c>
      <x:c r="H854" s="23" t="n">
        <x:v>59.89</x:v>
      </x:c>
      <x:c r="I854" s="23" t="n">
        <x:v>63.9</x:v>
      </x:c>
      <x:c r="J854" s="23" t="n">
        <x:f>G854-H854</x:f>
        <x:v>8.090000000000003</x:v>
      </x:c>
      <x:c r="K854" t="str">
        <x:v>HINDCAST</x:v>
      </x:c>
      <x:c r="L854" s="24" t="n">
        <x:v>17.4474</x:v>
      </x:c>
      <x:c r="M854" s="24" t="n">
        <x:v>78.3762</x:v>
      </x:c>
      <x:c r="N854" t="str">
        <x:f>IF(I854&gt;70,"70+ dB",IF(I854&gt;55,"56-70 dB","41-55 dB"))</x:f>
        <x:v>56-70 dB</x:v>
      </x:c>
      <x:c r="O854" t="str">
        <x:f>IF(I854&gt;70,"High",IF(I854&gt;55,"Moderate","Low"))</x:f>
        <x:v>Moderate</x:v>
      </x:c>
      <x:c r="P854" t="str">
        <x:f>IF(I854&gt;=70,"Yes","No")</x:f>
        <x:v>No</x:v>
      </x:c>
      <x:c r="Q854" t="str">
        <x:f>TEXT(B854,"yyyy-mm")</x:f>
        <x:v>2022-06</x:v>
      </x:c>
    </x:row>
    <x:row r="855">
      <x:c r="A855" t="str">
        <x:v>HYD05</x:v>
      </x:c>
      <x:c r="B855" s="22" t="n">
        <x:f>DATE(C855,D855,1)</x:f>
        <x:v>44743</x:v>
      </x:c>
      <x:c r="C855" t="n">
        <x:v>2022</x:v>
      </x:c>
      <x:c r="D855" t="n">
        <x:v>7</x:v>
      </x:c>
      <x:c r="E855" t="str">
        <x:f>TEXT(B855,"mmm")</x:f>
        <x:v>Jul</x:v>
      </x:c>
      <x:c r="F855" t="str">
        <x:f>"Q"&amp;ROUNDUP(D855/3,0)</x:f>
        <x:v>Q3</x:v>
      </x:c>
      <x:c r="G855" s="23" t="n">
        <x:v>68.69</x:v>
      </x:c>
      <x:c r="H855" s="23" t="n">
        <x:v>60.46</x:v>
      </x:c>
      <x:c r="I855" s="23" t="n">
        <x:v>64.6</x:v>
      </x:c>
      <x:c r="J855" s="23" t="n">
        <x:f>G855-H855</x:f>
        <x:v>8.229999999999997</x:v>
      </x:c>
      <x:c r="K855" t="str">
        <x:v>HINDCAST</x:v>
      </x:c>
      <x:c r="L855" s="24" t="n">
        <x:v>17.4474</x:v>
      </x:c>
      <x:c r="M855" s="24" t="n">
        <x:v>78.3762</x:v>
      </x:c>
      <x:c r="N855" t="str">
        <x:f>IF(I855&gt;70,"70+ dB",IF(I855&gt;55,"56-70 dB","41-55 dB"))</x:f>
        <x:v>56-70 dB</x:v>
      </x:c>
      <x:c r="O855" t="str">
        <x:f>IF(I855&gt;70,"High",IF(I855&gt;55,"Moderate","Low"))</x:f>
        <x:v>Moderate</x:v>
      </x:c>
      <x:c r="P855" t="str">
        <x:f>IF(I855&gt;=70,"Yes","No")</x:f>
        <x:v>No</x:v>
      </x:c>
      <x:c r="Q855" t="str">
        <x:f>TEXT(B855,"yyyy-mm")</x:f>
        <x:v>2022-07</x:v>
      </x:c>
    </x:row>
    <x:row r="856">
      <x:c r="A856" t="str">
        <x:v>HYD05</x:v>
      </x:c>
      <x:c r="B856" s="22" t="n">
        <x:f>DATE(C856,D856,1)</x:f>
        <x:v>44774</x:v>
      </x:c>
      <x:c r="C856" t="n">
        <x:v>2022</x:v>
      </x:c>
      <x:c r="D856" t="n">
        <x:v>8</x:v>
      </x:c>
      <x:c r="E856" t="str">
        <x:f>TEXT(B856,"mmm")</x:f>
        <x:v>Aug</x:v>
      </x:c>
      <x:c r="F856" t="str">
        <x:f>"Q"&amp;ROUNDUP(D856/3,0)</x:f>
        <x:v>Q3</x:v>
      </x:c>
      <x:c r="G856" s="23" t="n">
        <x:v>68.28</x:v>
      </x:c>
      <x:c r="H856" s="23" t="n">
        <x:v>59.03</x:v>
      </x:c>
      <x:c r="I856" s="23" t="n">
        <x:v>63.7</x:v>
      </x:c>
      <x:c r="J856" s="23" t="n">
        <x:f>G856-H856</x:f>
        <x:v>9.25</x:v>
      </x:c>
      <x:c r="K856" t="str">
        <x:v>HINDCAST</x:v>
      </x:c>
      <x:c r="L856" s="24" t="n">
        <x:v>17.4474</x:v>
      </x:c>
      <x:c r="M856" s="24" t="n">
        <x:v>78.3762</x:v>
      </x:c>
      <x:c r="N856" t="str">
        <x:f>IF(I856&gt;70,"70+ dB",IF(I856&gt;55,"56-70 dB","41-55 dB"))</x:f>
        <x:v>56-70 dB</x:v>
      </x:c>
      <x:c r="O856" t="str">
        <x:f>IF(I856&gt;70,"High",IF(I856&gt;55,"Moderate","Low"))</x:f>
        <x:v>Moderate</x:v>
      </x:c>
      <x:c r="P856" t="str">
        <x:f>IF(I856&gt;=70,"Yes","No")</x:f>
        <x:v>No</x:v>
      </x:c>
      <x:c r="Q856" t="str">
        <x:f>TEXT(B856,"yyyy-mm")</x:f>
        <x:v>2022-08</x:v>
      </x:c>
    </x:row>
    <x:row r="857">
      <x:c r="A857" t="str">
        <x:v>HYD05</x:v>
      </x:c>
      <x:c r="B857" s="22" t="n">
        <x:f>DATE(C857,D857,1)</x:f>
        <x:v>44805</x:v>
      </x:c>
      <x:c r="C857" t="n">
        <x:v>2022</x:v>
      </x:c>
      <x:c r="D857" t="n">
        <x:v>9</x:v>
      </x:c>
      <x:c r="E857" t="str">
        <x:f>TEXT(B857,"mmm")</x:f>
        <x:v>Sep</x:v>
      </x:c>
      <x:c r="F857" t="str">
        <x:f>"Q"&amp;ROUNDUP(D857/3,0)</x:f>
        <x:v>Q3</x:v>
      </x:c>
      <x:c r="G857" s="23" t="n">
        <x:v>67.46</x:v>
      </x:c>
      <x:c r="H857" s="23" t="n">
        <x:v>57.57</x:v>
      </x:c>
      <x:c r="I857" s="23" t="n">
        <x:v>62.5</x:v>
      </x:c>
      <x:c r="J857" s="23" t="n">
        <x:f>G857-H857</x:f>
        <x:v>9.889999999999993</x:v>
      </x:c>
      <x:c r="K857" t="str">
        <x:v>HINDCAST</x:v>
      </x:c>
      <x:c r="L857" s="24" t="n">
        <x:v>17.4474</x:v>
      </x:c>
      <x:c r="M857" s="24" t="n">
        <x:v>78.3762</x:v>
      </x:c>
      <x:c r="N857" t="str">
        <x:f>IF(I857&gt;70,"70+ dB",IF(I857&gt;55,"56-70 dB","41-55 dB"))</x:f>
        <x:v>56-70 dB</x:v>
      </x:c>
      <x:c r="O857" t="str">
        <x:f>IF(I857&gt;70,"High",IF(I857&gt;55,"Moderate","Low"))</x:f>
        <x:v>Moderate</x:v>
      </x:c>
      <x:c r="P857" t="str">
        <x:f>IF(I857&gt;=70,"Yes","No")</x:f>
        <x:v>No</x:v>
      </x:c>
      <x:c r="Q857" t="str">
        <x:f>TEXT(B857,"yyyy-mm")</x:f>
        <x:v>2022-09</x:v>
      </x:c>
    </x:row>
    <x:row r="858">
      <x:c r="A858" t="str">
        <x:v>HYD05</x:v>
      </x:c>
      <x:c r="B858" s="22" t="n">
        <x:f>DATE(C858,D858,1)</x:f>
        <x:v>44835</x:v>
      </x:c>
      <x:c r="C858" t="n">
        <x:v>2022</x:v>
      </x:c>
      <x:c r="D858" t="n">
        <x:v>10</x:v>
      </x:c>
      <x:c r="E858" t="str">
        <x:f>TEXT(B858,"mmm")</x:f>
        <x:v>Oct</x:v>
      </x:c>
      <x:c r="F858" t="str">
        <x:f>"Q"&amp;ROUNDUP(D858/3,0)</x:f>
        <x:v>Q4</x:v>
      </x:c>
      <x:c r="G858" s="23" t="n">
        <x:v>68.15</x:v>
      </x:c>
      <x:c r="H858" s="23" t="n">
        <x:v>59.16</x:v>
      </x:c>
      <x:c r="I858" s="23" t="n">
        <x:v>63.7</x:v>
      </x:c>
      <x:c r="J858" s="23" t="n">
        <x:f>G858-H858</x:f>
        <x:v>8.990000000000009</x:v>
      </x:c>
      <x:c r="K858" t="str">
        <x:v>HINDCAST</x:v>
      </x:c>
      <x:c r="L858" s="24" t="n">
        <x:v>17.4474</x:v>
      </x:c>
      <x:c r="M858" s="24" t="n">
        <x:v>78.3762</x:v>
      </x:c>
      <x:c r="N858" t="str">
        <x:f>IF(I858&gt;70,"70+ dB",IF(I858&gt;55,"56-70 dB","41-55 dB"))</x:f>
        <x:v>56-70 dB</x:v>
      </x:c>
      <x:c r="O858" t="str">
        <x:f>IF(I858&gt;70,"High",IF(I858&gt;55,"Moderate","Low"))</x:f>
        <x:v>Moderate</x:v>
      </x:c>
      <x:c r="P858" t="str">
        <x:f>IF(I858&gt;=70,"Yes","No")</x:f>
        <x:v>No</x:v>
      </x:c>
      <x:c r="Q858" t="str">
        <x:f>TEXT(B858,"yyyy-mm")</x:f>
        <x:v>2022-10</x:v>
      </x:c>
    </x:row>
    <x:row r="859">
      <x:c r="A859" t="str">
        <x:v>HYD05</x:v>
      </x:c>
      <x:c r="B859" s="22" t="n">
        <x:f>DATE(C859,D859,1)</x:f>
        <x:v>44866</x:v>
      </x:c>
      <x:c r="C859" t="n">
        <x:v>2022</x:v>
      </x:c>
      <x:c r="D859" t="n">
        <x:v>11</x:v>
      </x:c>
      <x:c r="E859" t="str">
        <x:f>TEXT(B859,"mmm")</x:f>
        <x:v>Nov</x:v>
      </x:c>
      <x:c r="F859" t="str">
        <x:f>"Q"&amp;ROUNDUP(D859/3,0)</x:f>
        <x:v>Q4</x:v>
      </x:c>
      <x:c r="G859" s="23" t="n">
        <x:v>69.11</x:v>
      </x:c>
      <x:c r="H859" s="23" t="n">
        <x:v>60.31</x:v>
      </x:c>
      <x:c r="I859" s="23" t="n">
        <x:v>64.7</x:v>
      </x:c>
      <x:c r="J859" s="23" t="n">
        <x:f>G859-H859</x:f>
        <x:v>8.799999999999997</x:v>
      </x:c>
      <x:c r="K859" t="str">
        <x:v>HINDCAST</x:v>
      </x:c>
      <x:c r="L859" s="24" t="n">
        <x:v>17.4474</x:v>
      </x:c>
      <x:c r="M859" s="24" t="n">
        <x:v>78.3762</x:v>
      </x:c>
      <x:c r="N859" t="str">
        <x:f>IF(I859&gt;70,"70+ dB",IF(I859&gt;55,"56-70 dB","41-55 dB"))</x:f>
        <x:v>56-70 dB</x:v>
      </x:c>
      <x:c r="O859" t="str">
        <x:f>IF(I859&gt;70,"High",IF(I859&gt;55,"Moderate","Low"))</x:f>
        <x:v>Moderate</x:v>
      </x:c>
      <x:c r="P859" t="str">
        <x:f>IF(I859&gt;=70,"Yes","No")</x:f>
        <x:v>No</x:v>
      </x:c>
      <x:c r="Q859" t="str">
        <x:f>TEXT(B859,"yyyy-mm")</x:f>
        <x:v>2022-11</x:v>
      </x:c>
    </x:row>
    <x:row r="860">
      <x:c r="A860" t="str">
        <x:v>HYD05</x:v>
      </x:c>
      <x:c r="B860" s="22" t="n">
        <x:f>DATE(C860,D860,1)</x:f>
        <x:v>44896</x:v>
      </x:c>
      <x:c r="C860" t="n">
        <x:v>2022</x:v>
      </x:c>
      <x:c r="D860" t="n">
        <x:v>12</x:v>
      </x:c>
      <x:c r="E860" t="str">
        <x:f>TEXT(B860,"mmm")</x:f>
        <x:v>Dec</x:v>
      </x:c>
      <x:c r="F860" t="str">
        <x:f>"Q"&amp;ROUNDUP(D860/3,0)</x:f>
        <x:v>Q4</x:v>
      </x:c>
      <x:c r="G860" s="23" t="n">
        <x:v>68.54</x:v>
      </x:c>
      <x:c r="H860" s="23" t="n">
        <x:v>59.61</x:v>
      </x:c>
      <x:c r="I860" s="23" t="n">
        <x:v>64.1</x:v>
      </x:c>
      <x:c r="J860" s="23" t="n">
        <x:f>G860-H860</x:f>
        <x:v>8.930000000000007</x:v>
      </x:c>
      <x:c r="K860" t="str">
        <x:v>HINDCAST</x:v>
      </x:c>
      <x:c r="L860" s="24" t="n">
        <x:v>17.4474</x:v>
      </x:c>
      <x:c r="M860" s="24" t="n">
        <x:v>78.3762</x:v>
      </x:c>
      <x:c r="N860" t="str">
        <x:f>IF(I860&gt;70,"70+ dB",IF(I860&gt;55,"56-70 dB","41-55 dB"))</x:f>
        <x:v>56-70 dB</x:v>
      </x:c>
      <x:c r="O860" t="str">
        <x:f>IF(I860&gt;70,"High",IF(I860&gt;55,"Moderate","Low"))</x:f>
        <x:v>Moderate</x:v>
      </x:c>
      <x:c r="P860" t="str">
        <x:f>IF(I860&gt;=70,"Yes","No")</x:f>
        <x:v>No</x:v>
      </x:c>
      <x:c r="Q860" t="str">
        <x:f>TEXT(B860,"yyyy-mm")</x:f>
        <x:v>2022-12</x:v>
      </x:c>
    </x:row>
    <x:row r="861">
      <x:c r="A861" t="str">
        <x:v>HYD05</x:v>
      </x:c>
      <x:c r="B861" s="22" t="n">
        <x:f>DATE(C861,D861,1)</x:f>
        <x:v>44927</x:v>
      </x:c>
      <x:c r="C861" t="n">
        <x:v>2023</x:v>
      </x:c>
      <x:c r="D861" t="n">
        <x:v>1</x:v>
      </x:c>
      <x:c r="E861" t="str">
        <x:f>TEXT(B861,"mmm")</x:f>
        <x:v>Jan</x:v>
      </x:c>
      <x:c r="F861" t="str">
        <x:f>"Q"&amp;ROUNDUP(D861/3,0)</x:f>
        <x:v>Q1</x:v>
      </x:c>
      <x:c r="G861" s="23" t="n">
        <x:v>66.1</x:v>
      </x:c>
      <x:c r="H861" s="23" t="n">
        <x:v>55.43</x:v>
      </x:c>
      <x:c r="I861" s="23" t="n">
        <x:v>60.8</x:v>
      </x:c>
      <x:c r="J861" s="23" t="n">
        <x:f>G861-H861</x:f>
        <x:v>10.669999999999995</x:v>
      </x:c>
      <x:c r="K861" t="str">
        <x:v>HINDCAST</x:v>
      </x:c>
      <x:c r="L861" s="24" t="n">
        <x:v>17.4474</x:v>
      </x:c>
      <x:c r="M861" s="24" t="n">
        <x:v>78.3762</x:v>
      </x:c>
      <x:c r="N861" t="str">
        <x:f>IF(I861&gt;70,"70+ dB",IF(I861&gt;55,"56-70 dB","41-55 dB"))</x:f>
        <x:v>56-70 dB</x:v>
      </x:c>
      <x:c r="O861" t="str">
        <x:f>IF(I861&gt;70,"High",IF(I861&gt;55,"Moderate","Low"))</x:f>
        <x:v>Moderate</x:v>
      </x:c>
      <x:c r="P861" t="str">
        <x:f>IF(I861&gt;=70,"Yes","No")</x:f>
        <x:v>No</x:v>
      </x:c>
      <x:c r="Q861" t="str">
        <x:f>TEXT(B861,"yyyy-mm")</x:f>
        <x:v>2023-01</x:v>
      </x:c>
    </x:row>
    <x:row r="862">
      <x:c r="A862" t="str">
        <x:v>HYD05</x:v>
      </x:c>
      <x:c r="B862" s="22" t="n">
        <x:f>DATE(C862,D862,1)</x:f>
        <x:v>44958</x:v>
      </x:c>
      <x:c r="C862" t="n">
        <x:v>2023</x:v>
      </x:c>
      <x:c r="D862" t="n">
        <x:v>2</x:v>
      </x:c>
      <x:c r="E862" t="str">
        <x:f>TEXT(B862,"mmm")</x:f>
        <x:v>Feb</x:v>
      </x:c>
      <x:c r="F862" t="str">
        <x:f>"Q"&amp;ROUNDUP(D862/3,0)</x:f>
        <x:v>Q1</x:v>
      </x:c>
      <x:c r="G862" s="23" t="n">
        <x:v>66.6</x:v>
      </x:c>
      <x:c r="H862" s="23" t="n">
        <x:v>56.24</x:v>
      </x:c>
      <x:c r="I862" s="23" t="n">
        <x:v>61.4</x:v>
      </x:c>
      <x:c r="J862" s="23" t="n">
        <x:f>G862-H862</x:f>
        <x:v>10.359999999999992</x:v>
      </x:c>
      <x:c r="K862" t="str">
        <x:v>HINDCAST</x:v>
      </x:c>
      <x:c r="L862" s="24" t="n">
        <x:v>17.4474</x:v>
      </x:c>
      <x:c r="M862" s="24" t="n">
        <x:v>78.3762</x:v>
      </x:c>
      <x:c r="N862" t="str">
        <x:f>IF(I862&gt;70,"70+ dB",IF(I862&gt;55,"56-70 dB","41-55 dB"))</x:f>
        <x:v>56-70 dB</x:v>
      </x:c>
      <x:c r="O862" t="str">
        <x:f>IF(I862&gt;70,"High",IF(I862&gt;55,"Moderate","Low"))</x:f>
        <x:v>Moderate</x:v>
      </x:c>
      <x:c r="P862" t="str">
        <x:f>IF(I862&gt;=70,"Yes","No")</x:f>
        <x:v>No</x:v>
      </x:c>
      <x:c r="Q862" t="str">
        <x:f>TEXT(B862,"yyyy-mm")</x:f>
        <x:v>2023-02</x:v>
      </x:c>
    </x:row>
    <x:row r="863">
      <x:c r="A863" t="str">
        <x:v>HYD05</x:v>
      </x:c>
      <x:c r="B863" s="22" t="n">
        <x:f>DATE(C863,D863,1)</x:f>
        <x:v>44986</x:v>
      </x:c>
      <x:c r="C863" t="n">
        <x:v>2023</x:v>
      </x:c>
      <x:c r="D863" t="n">
        <x:v>3</x:v>
      </x:c>
      <x:c r="E863" t="str">
        <x:f>TEXT(B863,"mmm")</x:f>
        <x:v>Mar</x:v>
      </x:c>
      <x:c r="F863" t="str">
        <x:f>"Q"&amp;ROUNDUP(D863/3,0)</x:f>
        <x:v>Q1</x:v>
      </x:c>
      <x:c r="G863" s="23" t="n">
        <x:v>66.04</x:v>
      </x:c>
      <x:c r="H863" s="23" t="n">
        <x:v>55.96</x:v>
      </x:c>
      <x:c r="I863" s="23" t="n">
        <x:v>61</x:v>
      </x:c>
      <x:c r="J863" s="23" t="n">
        <x:f>G863-H863</x:f>
        <x:v>10.080000000000005</x:v>
      </x:c>
      <x:c r="K863" t="str">
        <x:v>HINDCAST</x:v>
      </x:c>
      <x:c r="L863" s="24" t="n">
        <x:v>17.4474</x:v>
      </x:c>
      <x:c r="M863" s="24" t="n">
        <x:v>78.3762</x:v>
      </x:c>
      <x:c r="N863" t="str">
        <x:f>IF(I863&gt;70,"70+ dB",IF(I863&gt;55,"56-70 dB","41-55 dB"))</x:f>
        <x:v>56-70 dB</x:v>
      </x:c>
      <x:c r="O863" t="str">
        <x:f>IF(I863&gt;70,"High",IF(I863&gt;55,"Moderate","Low"))</x:f>
        <x:v>Moderate</x:v>
      </x:c>
      <x:c r="P863" t="str">
        <x:f>IF(I863&gt;=70,"Yes","No")</x:f>
        <x:v>No</x:v>
      </x:c>
      <x:c r="Q863" t="str">
        <x:f>TEXT(B863,"yyyy-mm")</x:f>
        <x:v>2023-03</x:v>
      </x:c>
    </x:row>
    <x:row r="864">
      <x:c r="A864" t="str">
        <x:v>HYD05</x:v>
      </x:c>
      <x:c r="B864" s="22" t="n">
        <x:f>DATE(C864,D864,1)</x:f>
        <x:v>45017</x:v>
      </x:c>
      <x:c r="C864" t="n">
        <x:v>2023</x:v>
      </x:c>
      <x:c r="D864" t="n">
        <x:v>4</x:v>
      </x:c>
      <x:c r="E864" t="str">
        <x:f>TEXT(B864,"mmm")</x:f>
        <x:v>Apr</x:v>
      </x:c>
      <x:c r="F864" t="str">
        <x:f>"Q"&amp;ROUNDUP(D864/3,0)</x:f>
        <x:v>Q2</x:v>
      </x:c>
      <x:c r="G864" s="23" t="n">
        <x:v>66.46</x:v>
      </x:c>
      <x:c r="H864" s="23" t="n">
        <x:v>56.38</x:v>
      </x:c>
      <x:c r="I864" s="23" t="n">
        <x:v>61.4</x:v>
      </x:c>
      <x:c r="J864" s="23" t="n">
        <x:f>G864-H864</x:f>
        <x:v>10.079999999999991</x:v>
      </x:c>
      <x:c r="K864" t="str">
        <x:v>HINDCAST</x:v>
      </x:c>
      <x:c r="L864" s="24" t="n">
        <x:v>17.4474</x:v>
      </x:c>
      <x:c r="M864" s="24" t="n">
        <x:v>78.3762</x:v>
      </x:c>
      <x:c r="N864" t="str">
        <x:f>IF(I864&gt;70,"70+ dB",IF(I864&gt;55,"56-70 dB","41-55 dB"))</x:f>
        <x:v>56-70 dB</x:v>
      </x:c>
      <x:c r="O864" t="str">
        <x:f>IF(I864&gt;70,"High",IF(I864&gt;55,"Moderate","Low"))</x:f>
        <x:v>Moderate</x:v>
      </x:c>
      <x:c r="P864" t="str">
        <x:f>IF(I864&gt;=70,"Yes","No")</x:f>
        <x:v>No</x:v>
      </x:c>
      <x:c r="Q864" t="str">
        <x:f>TEXT(B864,"yyyy-mm")</x:f>
        <x:v>2023-04</x:v>
      </x:c>
    </x:row>
    <x:row r="865">
      <x:c r="A865" t="str">
        <x:v>HYD05</x:v>
      </x:c>
      <x:c r="B865" s="22" t="n">
        <x:f>DATE(C865,D865,1)</x:f>
        <x:v>45047</x:v>
      </x:c>
      <x:c r="C865" t="n">
        <x:v>2023</x:v>
      </x:c>
      <x:c r="D865" t="n">
        <x:v>5</x:v>
      </x:c>
      <x:c r="E865" t="str">
        <x:f>TEXT(B865,"mmm")</x:f>
        <x:v>May</x:v>
      </x:c>
      <x:c r="F865" t="str">
        <x:f>"Q"&amp;ROUNDUP(D865/3,0)</x:f>
        <x:v>Q2</x:v>
      </x:c>
      <x:c r="G865" s="23" t="n">
        <x:v>66.75</x:v>
      </x:c>
      <x:c r="H865" s="23" t="n">
        <x:v>57.24</x:v>
      </x:c>
      <x:c r="I865" s="23" t="n">
        <x:v>62</x:v>
      </x:c>
      <x:c r="J865" s="23" t="n">
        <x:f>G865-H865</x:f>
        <x:v>9.509999999999998</x:v>
      </x:c>
      <x:c r="K865" t="str">
        <x:v>HINDCAST</x:v>
      </x:c>
      <x:c r="L865" s="24" t="n">
        <x:v>17.4474</x:v>
      </x:c>
      <x:c r="M865" s="24" t="n">
        <x:v>78.3762</x:v>
      </x:c>
      <x:c r="N865" t="str">
        <x:f>IF(I865&gt;70,"70+ dB",IF(I865&gt;55,"56-70 dB","41-55 dB"))</x:f>
        <x:v>56-70 dB</x:v>
      </x:c>
      <x:c r="O865" t="str">
        <x:f>IF(I865&gt;70,"High",IF(I865&gt;55,"Moderate","Low"))</x:f>
        <x:v>Moderate</x:v>
      </x:c>
      <x:c r="P865" t="str">
        <x:f>IF(I865&gt;=70,"Yes","No")</x:f>
        <x:v>No</x:v>
      </x:c>
      <x:c r="Q865" t="str">
        <x:f>TEXT(B865,"yyyy-mm")</x:f>
        <x:v>2023-05</x:v>
      </x:c>
    </x:row>
    <x:row r="866">
      <x:c r="A866" t="str">
        <x:v>HYD05</x:v>
      </x:c>
      <x:c r="B866" s="22" t="n">
        <x:f>DATE(C866,D866,1)</x:f>
        <x:v>45078</x:v>
      </x:c>
      <x:c r="C866" t="n">
        <x:v>2023</x:v>
      </x:c>
      <x:c r="D866" t="n">
        <x:v>6</x:v>
      </x:c>
      <x:c r="E866" t="str">
        <x:f>TEXT(B866,"mmm")</x:f>
        <x:v>Jun</x:v>
      </x:c>
      <x:c r="F866" t="str">
        <x:f>"Q"&amp;ROUNDUP(D866/3,0)</x:f>
        <x:v>Q2</x:v>
      </x:c>
      <x:c r="G866" s="23" t="n">
        <x:v>67.32</x:v>
      </x:c>
      <x:c r="H866" s="23" t="n">
        <x:v>58.52</x:v>
      </x:c>
      <x:c r="I866" s="23" t="n">
        <x:v>62.9</x:v>
      </x:c>
      <x:c r="J866" s="23" t="n">
        <x:f>G866-H866</x:f>
        <x:v>8.79999999999999</x:v>
      </x:c>
      <x:c r="K866" t="str">
        <x:v>HINDCAST</x:v>
      </x:c>
      <x:c r="L866" s="24" t="n">
        <x:v>17.4474</x:v>
      </x:c>
      <x:c r="M866" s="24" t="n">
        <x:v>78.3762</x:v>
      </x:c>
      <x:c r="N866" t="str">
        <x:f>IF(I866&gt;70,"70+ dB",IF(I866&gt;55,"56-70 dB","41-55 dB"))</x:f>
        <x:v>56-70 dB</x:v>
      </x:c>
      <x:c r="O866" t="str">
        <x:f>IF(I866&gt;70,"High",IF(I866&gt;55,"Moderate","Low"))</x:f>
        <x:v>Moderate</x:v>
      </x:c>
      <x:c r="P866" t="str">
        <x:f>IF(I866&gt;=70,"Yes","No")</x:f>
        <x:v>No</x:v>
      </x:c>
      <x:c r="Q866" t="str">
        <x:f>TEXT(B866,"yyyy-mm")</x:f>
        <x:v>2023-06</x:v>
      </x:c>
    </x:row>
    <x:row r="867">
      <x:c r="A867" t="str">
        <x:v>HYD05</x:v>
      </x:c>
      <x:c r="B867" s="22" t="n">
        <x:f>DATE(C867,D867,1)</x:f>
        <x:v>45108</x:v>
      </x:c>
      <x:c r="C867" t="n">
        <x:v>2023</x:v>
      </x:c>
      <x:c r="D867" t="n">
        <x:v>7</x:v>
      </x:c>
      <x:c r="E867" t="str">
        <x:f>TEXT(B867,"mmm")</x:f>
        <x:v>Jul</x:v>
      </x:c>
      <x:c r="F867" t="str">
        <x:f>"Q"&amp;ROUNDUP(D867/3,0)</x:f>
        <x:v>Q3</x:v>
      </x:c>
      <x:c r="G867" s="23" t="n">
        <x:v>68.03</x:v>
      </x:c>
      <x:c r="H867" s="23" t="n">
        <x:v>59.09</x:v>
      </x:c>
      <x:c r="I867" s="23" t="n">
        <x:v>63.6</x:v>
      </x:c>
      <x:c r="J867" s="23" t="n">
        <x:f>G867-H867</x:f>
        <x:v>8.939999999999998</x:v>
      </x:c>
      <x:c r="K867" t="str">
        <x:v>HINDCAST</x:v>
      </x:c>
      <x:c r="L867" s="24" t="n">
        <x:v>17.4474</x:v>
      </x:c>
      <x:c r="M867" s="24" t="n">
        <x:v>78.3762</x:v>
      </x:c>
      <x:c r="N867" t="str">
        <x:f>IF(I867&gt;70,"70+ dB",IF(I867&gt;55,"56-70 dB","41-55 dB"))</x:f>
        <x:v>56-70 dB</x:v>
      </x:c>
      <x:c r="O867" t="str">
        <x:f>IF(I867&gt;70,"High",IF(I867&gt;55,"Moderate","Low"))</x:f>
        <x:v>Moderate</x:v>
      </x:c>
      <x:c r="P867" t="str">
        <x:f>IF(I867&gt;=70,"Yes","No")</x:f>
        <x:v>No</x:v>
      </x:c>
      <x:c r="Q867" t="str">
        <x:f>TEXT(B867,"yyyy-mm")</x:f>
        <x:v>2023-07</x:v>
      </x:c>
    </x:row>
    <x:row r="868">
      <x:c r="A868" t="str">
        <x:v>HYD05</x:v>
      </x:c>
      <x:c r="B868" s="22" t="n">
        <x:f>DATE(C868,D868,1)</x:f>
        <x:v>45139</x:v>
      </x:c>
      <x:c r="C868" t="n">
        <x:v>2023</x:v>
      </x:c>
      <x:c r="D868" t="n">
        <x:v>8</x:v>
      </x:c>
      <x:c r="E868" t="str">
        <x:f>TEXT(B868,"mmm")</x:f>
        <x:v>Aug</x:v>
      </x:c>
      <x:c r="F868" t="str">
        <x:f>"Q"&amp;ROUNDUP(D868/3,0)</x:f>
        <x:v>Q3</x:v>
      </x:c>
      <x:c r="G868" s="23" t="n">
        <x:v>67.62</x:v>
      </x:c>
      <x:c r="H868" s="23" t="n">
        <x:v>57.66</x:v>
      </x:c>
      <x:c r="I868" s="23" t="n">
        <x:v>62.6</x:v>
      </x:c>
      <x:c r="J868" s="23" t="n">
        <x:f>G868-H868</x:f>
        <x:v>9.960000000000008</x:v>
      </x:c>
      <x:c r="K868" t="str">
        <x:v>HINDCAST</x:v>
      </x:c>
      <x:c r="L868" s="24" t="n">
        <x:v>17.4474</x:v>
      </x:c>
      <x:c r="M868" s="24" t="n">
        <x:v>78.3762</x:v>
      </x:c>
      <x:c r="N868" t="str">
        <x:f>IF(I868&gt;70,"70+ dB",IF(I868&gt;55,"56-70 dB","41-55 dB"))</x:f>
        <x:v>56-70 dB</x:v>
      </x:c>
      <x:c r="O868" t="str">
        <x:f>IF(I868&gt;70,"High",IF(I868&gt;55,"Moderate","Low"))</x:f>
        <x:v>Moderate</x:v>
      </x:c>
      <x:c r="P868" t="str">
        <x:f>IF(I868&gt;=70,"Yes","No")</x:f>
        <x:v>No</x:v>
      </x:c>
      <x:c r="Q868" t="str">
        <x:f>TEXT(B868,"yyyy-mm")</x:f>
        <x:v>2023-08</x:v>
      </x:c>
    </x:row>
    <x:row r="869">
      <x:c r="A869" t="str">
        <x:v>HYD05</x:v>
      </x:c>
      <x:c r="B869" s="22" t="n">
        <x:f>DATE(C869,D869,1)</x:f>
        <x:v>45170</x:v>
      </x:c>
      <x:c r="C869" t="n">
        <x:v>2023</x:v>
      </x:c>
      <x:c r="D869" t="n">
        <x:v>9</x:v>
      </x:c>
      <x:c r="E869" t="str">
        <x:f>TEXT(B869,"mmm")</x:f>
        <x:v>Sep</x:v>
      </x:c>
      <x:c r="F869" t="str">
        <x:f>"Q"&amp;ROUNDUP(D869/3,0)</x:f>
        <x:v>Q3</x:v>
      </x:c>
      <x:c r="G869" s="23" t="n">
        <x:v>66.8</x:v>
      </x:c>
      <x:c r="H869" s="23" t="n">
        <x:v>56.2</x:v>
      </x:c>
      <x:c r="I869" s="23" t="n">
        <x:v>61.5</x:v>
      </x:c>
      <x:c r="J869" s="23" t="n">
        <x:f>G869-H869</x:f>
        <x:v>10.599999999999994</x:v>
      </x:c>
      <x:c r="K869" t="str">
        <x:v>HINDCAST</x:v>
      </x:c>
      <x:c r="L869" s="24" t="n">
        <x:v>17.4474</x:v>
      </x:c>
      <x:c r="M869" s="24" t="n">
        <x:v>78.3762</x:v>
      </x:c>
      <x:c r="N869" t="str">
        <x:f>IF(I869&gt;70,"70+ dB",IF(I869&gt;55,"56-70 dB","41-55 dB"))</x:f>
        <x:v>56-70 dB</x:v>
      </x:c>
      <x:c r="O869" t="str">
        <x:f>IF(I869&gt;70,"High",IF(I869&gt;55,"Moderate","Low"))</x:f>
        <x:v>Moderate</x:v>
      </x:c>
      <x:c r="P869" t="str">
        <x:f>IF(I869&gt;=70,"Yes","No")</x:f>
        <x:v>No</x:v>
      </x:c>
      <x:c r="Q869" t="str">
        <x:f>TEXT(B869,"yyyy-mm")</x:f>
        <x:v>2023-09</x:v>
      </x:c>
    </x:row>
    <x:row r="870">
      <x:c r="A870" t="str">
        <x:v>HYD05</x:v>
      </x:c>
      <x:c r="B870" s="22" t="n">
        <x:f>DATE(C870,D870,1)</x:f>
        <x:v>45200</x:v>
      </x:c>
      <x:c r="C870" t="n">
        <x:v>2023</x:v>
      </x:c>
      <x:c r="D870" t="n">
        <x:v>10</x:v>
      </x:c>
      <x:c r="E870" t="str">
        <x:f>TEXT(B870,"mmm")</x:f>
        <x:v>Oct</x:v>
      </x:c>
      <x:c r="F870" t="str">
        <x:f>"Q"&amp;ROUNDUP(D870/3,0)</x:f>
        <x:v>Q4</x:v>
      </x:c>
      <x:c r="G870" s="23" t="n">
        <x:v>67.49</x:v>
      </x:c>
      <x:c r="H870" s="23" t="n">
        <x:v>57.79</x:v>
      </x:c>
      <x:c r="I870" s="23" t="n">
        <x:v>62.6</x:v>
      </x:c>
      <x:c r="J870" s="23" t="n">
        <x:f>G870-H870</x:f>
        <x:v>9.699999999999996</x:v>
      </x:c>
      <x:c r="K870" t="str">
        <x:v>HINDCAST</x:v>
      </x:c>
      <x:c r="L870" s="24" t="n">
        <x:v>17.4474</x:v>
      </x:c>
      <x:c r="M870" s="24" t="n">
        <x:v>78.3762</x:v>
      </x:c>
      <x:c r="N870" t="str">
        <x:f>IF(I870&gt;70,"70+ dB",IF(I870&gt;55,"56-70 dB","41-55 dB"))</x:f>
        <x:v>56-70 dB</x:v>
      </x:c>
      <x:c r="O870" t="str">
        <x:f>IF(I870&gt;70,"High",IF(I870&gt;55,"Moderate","Low"))</x:f>
        <x:v>Moderate</x:v>
      </x:c>
      <x:c r="P870" t="str">
        <x:f>IF(I870&gt;=70,"Yes","No")</x:f>
        <x:v>No</x:v>
      </x:c>
      <x:c r="Q870" t="str">
        <x:f>TEXT(B870,"yyyy-mm")</x:f>
        <x:v>2023-10</x:v>
      </x:c>
    </x:row>
    <x:row r="871">
      <x:c r="A871" t="str">
        <x:v>HYD05</x:v>
      </x:c>
      <x:c r="B871" s="22" t="n">
        <x:f>DATE(C871,D871,1)</x:f>
        <x:v>45231</x:v>
      </x:c>
      <x:c r="C871" t="n">
        <x:v>2023</x:v>
      </x:c>
      <x:c r="D871" t="n">
        <x:v>11</x:v>
      </x:c>
      <x:c r="E871" t="str">
        <x:f>TEXT(B871,"mmm")</x:f>
        <x:v>Nov</x:v>
      </x:c>
      <x:c r="F871" t="str">
        <x:f>"Q"&amp;ROUNDUP(D871/3,0)</x:f>
        <x:v>Q4</x:v>
      </x:c>
      <x:c r="G871" s="23" t="n">
        <x:v>68.45</x:v>
      </x:c>
      <x:c r="H871" s="23" t="n">
        <x:v>58.94</x:v>
      </x:c>
      <x:c r="I871" s="23" t="n">
        <x:v>63.7</x:v>
      </x:c>
      <x:c r="J871" s="23" t="n">
        <x:f>G871-H871</x:f>
        <x:v>9.510000000000005</x:v>
      </x:c>
      <x:c r="K871" t="str">
        <x:v>HINDCAST</x:v>
      </x:c>
      <x:c r="L871" s="24" t="n">
        <x:v>17.4474</x:v>
      </x:c>
      <x:c r="M871" s="24" t="n">
        <x:v>78.3762</x:v>
      </x:c>
      <x:c r="N871" t="str">
        <x:f>IF(I871&gt;70,"70+ dB",IF(I871&gt;55,"56-70 dB","41-55 dB"))</x:f>
        <x:v>56-70 dB</x:v>
      </x:c>
      <x:c r="O871" t="str">
        <x:f>IF(I871&gt;70,"High",IF(I871&gt;55,"Moderate","Low"))</x:f>
        <x:v>Moderate</x:v>
      </x:c>
      <x:c r="P871" t="str">
        <x:f>IF(I871&gt;=70,"Yes","No")</x:f>
        <x:v>No</x:v>
      </x:c>
      <x:c r="Q871" t="str">
        <x:f>TEXT(B871,"yyyy-mm")</x:f>
        <x:v>2023-11</x:v>
      </x:c>
    </x:row>
    <x:row r="872">
      <x:c r="A872" t="str">
        <x:v>HYD05</x:v>
      </x:c>
      <x:c r="B872" s="22" t="n">
        <x:f>DATE(C872,D872,1)</x:f>
        <x:v>45261</x:v>
      </x:c>
      <x:c r="C872" t="n">
        <x:v>2023</x:v>
      </x:c>
      <x:c r="D872" t="n">
        <x:v>12</x:v>
      </x:c>
      <x:c r="E872" t="str">
        <x:f>TEXT(B872,"mmm")</x:f>
        <x:v>Dec</x:v>
      </x:c>
      <x:c r="F872" t="str">
        <x:f>"Q"&amp;ROUNDUP(D872/3,0)</x:f>
        <x:v>Q4</x:v>
      </x:c>
      <x:c r="G872" s="23" t="n">
        <x:v>67.88</x:v>
      </x:c>
      <x:c r="H872" s="23" t="n">
        <x:v>58.25</x:v>
      </x:c>
      <x:c r="I872" s="23" t="n">
        <x:v>63.1</x:v>
      </x:c>
      <x:c r="J872" s="23" t="n">
        <x:f>G872-H872</x:f>
        <x:v>9.629999999999995</x:v>
      </x:c>
      <x:c r="K872" t="str">
        <x:v>HINDCAST</x:v>
      </x:c>
      <x:c r="L872" s="24" t="n">
        <x:v>17.4474</x:v>
      </x:c>
      <x:c r="M872" s="24" t="n">
        <x:v>78.3762</x:v>
      </x:c>
      <x:c r="N872" t="str">
        <x:f>IF(I872&gt;70,"70+ dB",IF(I872&gt;55,"56-70 dB","41-55 dB"))</x:f>
        <x:v>56-70 dB</x:v>
      </x:c>
      <x:c r="O872" t="str">
        <x:f>IF(I872&gt;70,"High",IF(I872&gt;55,"Moderate","Low"))</x:f>
        <x:v>Moderate</x:v>
      </x:c>
      <x:c r="P872" t="str">
        <x:f>IF(I872&gt;=70,"Yes","No")</x:f>
        <x:v>No</x:v>
      </x:c>
      <x:c r="Q872" t="str">
        <x:f>TEXT(B872,"yyyy-mm")</x:f>
        <x:v>2023-12</x:v>
      </x:c>
    </x:row>
    <x:row r="873">
      <x:c r="A873" t="str">
        <x:v>HYD05</x:v>
      </x:c>
      <x:c r="B873" s="22" t="n">
        <x:f>DATE(C873,D873,1)</x:f>
        <x:v>45292</x:v>
      </x:c>
      <x:c r="C873" t="n">
        <x:v>2024</x:v>
      </x:c>
      <x:c r="D873" t="n">
        <x:v>1</x:v>
      </x:c>
      <x:c r="E873" t="str">
        <x:f>TEXT(B873,"mmm")</x:f>
        <x:v>Jan</x:v>
      </x:c>
      <x:c r="F873" t="str">
        <x:f>"Q"&amp;ROUNDUP(D873/3,0)</x:f>
        <x:v>Q1</x:v>
      </x:c>
      <x:c r="G873" s="23" t="n">
        <x:v>65.44</x:v>
      </x:c>
      <x:c r="H873" s="23" t="n">
        <x:v>54.06</x:v>
      </x:c>
      <x:c r="I873" s="23" t="n">
        <x:v>59.8</x:v>
      </x:c>
      <x:c r="J873" s="23" t="n">
        <x:f>G873-H873</x:f>
        <x:v>11.379999999999995</x:v>
      </x:c>
      <x:c r="K873" t="str">
        <x:v>HINDCAST</x:v>
      </x:c>
      <x:c r="L873" s="24" t="n">
        <x:v>17.4474</x:v>
      </x:c>
      <x:c r="M873" s="24" t="n">
        <x:v>78.3762</x:v>
      </x:c>
      <x:c r="N873" t="str">
        <x:f>IF(I873&gt;70,"70+ dB",IF(I873&gt;55,"56-70 dB","41-55 dB"))</x:f>
        <x:v>56-70 dB</x:v>
      </x:c>
      <x:c r="O873" t="str">
        <x:f>IF(I873&gt;70,"High",IF(I873&gt;55,"Moderate","Low"))</x:f>
        <x:v>Moderate</x:v>
      </x:c>
      <x:c r="P873" t="str">
        <x:f>IF(I873&gt;=70,"Yes","No")</x:f>
        <x:v>No</x:v>
      </x:c>
      <x:c r="Q873" t="str">
        <x:f>TEXT(B873,"yyyy-mm")</x:f>
        <x:v>2024-01</x:v>
      </x:c>
    </x:row>
    <x:row r="874">
      <x:c r="A874" t="str">
        <x:v>HYD05</x:v>
      </x:c>
      <x:c r="B874" s="22" t="n">
        <x:f>DATE(C874,D874,1)</x:f>
        <x:v>45323</x:v>
      </x:c>
      <x:c r="C874" t="n">
        <x:v>2024</x:v>
      </x:c>
      <x:c r="D874" t="n">
        <x:v>2</x:v>
      </x:c>
      <x:c r="E874" t="str">
        <x:f>TEXT(B874,"mmm")</x:f>
        <x:v>Feb</x:v>
      </x:c>
      <x:c r="F874" t="str">
        <x:f>"Q"&amp;ROUNDUP(D874/3,0)</x:f>
        <x:v>Q1</x:v>
      </x:c>
      <x:c r="G874" s="23" t="n">
        <x:v>65.94</x:v>
      </x:c>
      <x:c r="H874" s="23" t="n">
        <x:v>54.87</x:v>
      </x:c>
      <x:c r="I874" s="23" t="n">
        <x:v>60.4</x:v>
      </x:c>
      <x:c r="J874" s="23" t="n">
        <x:f>G874-H874</x:f>
        <x:v>11.07</x:v>
      </x:c>
      <x:c r="K874" t="str">
        <x:v>HINDCAST</x:v>
      </x:c>
      <x:c r="L874" s="24" t="n">
        <x:v>17.4474</x:v>
      </x:c>
      <x:c r="M874" s="24" t="n">
        <x:v>78.3762</x:v>
      </x:c>
      <x:c r="N874" t="str">
        <x:f>IF(I874&gt;70,"70+ dB",IF(I874&gt;55,"56-70 dB","41-55 dB"))</x:f>
        <x:v>56-70 dB</x:v>
      </x:c>
      <x:c r="O874" t="str">
        <x:f>IF(I874&gt;70,"High",IF(I874&gt;55,"Moderate","Low"))</x:f>
        <x:v>Moderate</x:v>
      </x:c>
      <x:c r="P874" t="str">
        <x:f>IF(I874&gt;=70,"Yes","No")</x:f>
        <x:v>No</x:v>
      </x:c>
      <x:c r="Q874" t="str">
        <x:f>TEXT(B874,"yyyy-mm")</x:f>
        <x:v>2024-02</x:v>
      </x:c>
    </x:row>
    <x:row r="875">
      <x:c r="A875" t="str">
        <x:v>HYD05</x:v>
      </x:c>
      <x:c r="B875" s="22" t="n">
        <x:f>DATE(C875,D875,1)</x:f>
        <x:v>45352</x:v>
      </x:c>
      <x:c r="C875" t="n">
        <x:v>2024</x:v>
      </x:c>
      <x:c r="D875" t="n">
        <x:v>3</x:v>
      </x:c>
      <x:c r="E875" t="str">
        <x:f>TEXT(B875,"mmm")</x:f>
        <x:v>Mar</x:v>
      </x:c>
      <x:c r="F875" t="str">
        <x:f>"Q"&amp;ROUNDUP(D875/3,0)</x:f>
        <x:v>Q1</x:v>
      </x:c>
      <x:c r="G875" s="23" t="n">
        <x:v>65.38</x:v>
      </x:c>
      <x:c r="H875" s="23" t="n">
        <x:v>54.59</x:v>
      </x:c>
      <x:c r="I875" s="23" t="n">
        <x:v>60</x:v>
      </x:c>
      <x:c r="J875" s="23" t="n">
        <x:f>G875-H875</x:f>
        <x:v>10.789999999999992</x:v>
      </x:c>
      <x:c r="K875" t="str">
        <x:v>HINDCAST</x:v>
      </x:c>
      <x:c r="L875" s="24" t="n">
        <x:v>17.4474</x:v>
      </x:c>
      <x:c r="M875" s="24" t="n">
        <x:v>78.3762</x:v>
      </x:c>
      <x:c r="N875" t="str">
        <x:f>IF(I875&gt;70,"70+ dB",IF(I875&gt;55,"56-70 dB","41-55 dB"))</x:f>
        <x:v>56-70 dB</x:v>
      </x:c>
      <x:c r="O875" t="str">
        <x:f>IF(I875&gt;70,"High",IF(I875&gt;55,"Moderate","Low"))</x:f>
        <x:v>Moderate</x:v>
      </x:c>
      <x:c r="P875" t="str">
        <x:f>IF(I875&gt;=70,"Yes","No")</x:f>
        <x:v>No</x:v>
      </x:c>
      <x:c r="Q875" t="str">
        <x:f>TEXT(B875,"yyyy-mm")</x:f>
        <x:v>2024-03</x:v>
      </x:c>
    </x:row>
    <x:row r="876">
      <x:c r="A876" t="str">
        <x:v>HYD05</x:v>
      </x:c>
      <x:c r="B876" s="22" t="n">
        <x:f>DATE(C876,D876,1)</x:f>
        <x:v>45383</x:v>
      </x:c>
      <x:c r="C876" t="n">
        <x:v>2024</x:v>
      </x:c>
      <x:c r="D876" t="n">
        <x:v>4</x:v>
      </x:c>
      <x:c r="E876" t="str">
        <x:f>TEXT(B876,"mmm")</x:f>
        <x:v>Apr</x:v>
      </x:c>
      <x:c r="F876" t="str">
        <x:f>"Q"&amp;ROUNDUP(D876/3,0)</x:f>
        <x:v>Q2</x:v>
      </x:c>
      <x:c r="G876" s="23" t="n">
        <x:v>65.8</x:v>
      </x:c>
      <x:c r="H876" s="23" t="n">
        <x:v>55.02</x:v>
      </x:c>
      <x:c r="I876" s="23" t="n">
        <x:v>60.4</x:v>
      </x:c>
      <x:c r="J876" s="23" t="n">
        <x:f>G876-H876</x:f>
        <x:v>10.779999999999994</x:v>
      </x:c>
      <x:c r="K876" t="str">
        <x:v>HINDCAST</x:v>
      </x:c>
      <x:c r="L876" s="24" t="n">
        <x:v>17.4474</x:v>
      </x:c>
      <x:c r="M876" s="24" t="n">
        <x:v>78.3762</x:v>
      </x:c>
      <x:c r="N876" t="str">
        <x:f>IF(I876&gt;70,"70+ dB",IF(I876&gt;55,"56-70 dB","41-55 dB"))</x:f>
        <x:v>56-70 dB</x:v>
      </x:c>
      <x:c r="O876" t="str">
        <x:f>IF(I876&gt;70,"High",IF(I876&gt;55,"Moderate","Low"))</x:f>
        <x:v>Moderate</x:v>
      </x:c>
      <x:c r="P876" t="str">
        <x:f>IF(I876&gt;=70,"Yes","No")</x:f>
        <x:v>No</x:v>
      </x:c>
      <x:c r="Q876" t="str">
        <x:f>TEXT(B876,"yyyy-mm")</x:f>
        <x:v>2024-04</x:v>
      </x:c>
    </x:row>
    <x:row r="877">
      <x:c r="A877" t="str">
        <x:v>HYD05</x:v>
      </x:c>
      <x:c r="B877" s="22" t="n">
        <x:f>DATE(C877,D877,1)</x:f>
        <x:v>45413</x:v>
      </x:c>
      <x:c r="C877" t="n">
        <x:v>2024</x:v>
      </x:c>
      <x:c r="D877" t="n">
        <x:v>5</x:v>
      </x:c>
      <x:c r="E877" t="str">
        <x:f>TEXT(B877,"mmm")</x:f>
        <x:v>May</x:v>
      </x:c>
      <x:c r="F877" t="str">
        <x:f>"Q"&amp;ROUNDUP(D877/3,0)</x:f>
        <x:v>Q2</x:v>
      </x:c>
      <x:c r="G877" s="23" t="n">
        <x:v>66.09</x:v>
      </x:c>
      <x:c r="H877" s="23" t="n">
        <x:v>55.87</x:v>
      </x:c>
      <x:c r="I877" s="23" t="n">
        <x:v>61</x:v>
      </x:c>
      <x:c r="J877" s="23" t="n">
        <x:f>G877-H877</x:f>
        <x:v>10.220000000000006</x:v>
      </x:c>
      <x:c r="K877" t="str">
        <x:v>HINDCAST</x:v>
      </x:c>
      <x:c r="L877" s="24" t="n">
        <x:v>17.4474</x:v>
      </x:c>
      <x:c r="M877" s="24" t="n">
        <x:v>78.3762</x:v>
      </x:c>
      <x:c r="N877" t="str">
        <x:f>IF(I877&gt;70,"70+ dB",IF(I877&gt;55,"56-70 dB","41-55 dB"))</x:f>
        <x:v>56-70 dB</x:v>
      </x:c>
      <x:c r="O877" t="str">
        <x:f>IF(I877&gt;70,"High",IF(I877&gt;55,"Moderate","Low"))</x:f>
        <x:v>Moderate</x:v>
      </x:c>
      <x:c r="P877" t="str">
        <x:f>IF(I877&gt;=70,"Yes","No")</x:f>
        <x:v>No</x:v>
      </x:c>
      <x:c r="Q877" t="str">
        <x:f>TEXT(B877,"yyyy-mm")</x:f>
        <x:v>2024-05</x:v>
      </x:c>
    </x:row>
    <x:row r="878">
      <x:c r="A878" t="str">
        <x:v>HYD05</x:v>
      </x:c>
      <x:c r="B878" s="22" t="n">
        <x:f>DATE(C878,D878,1)</x:f>
        <x:v>45444</x:v>
      </x:c>
      <x:c r="C878" t="n">
        <x:v>2024</x:v>
      </x:c>
      <x:c r="D878" t="n">
        <x:v>6</x:v>
      </x:c>
      <x:c r="E878" t="str">
        <x:f>TEXT(B878,"mmm")</x:f>
        <x:v>Jun</x:v>
      </x:c>
      <x:c r="F878" t="str">
        <x:f>"Q"&amp;ROUNDUP(D878/3,0)</x:f>
        <x:v>Q2</x:v>
      </x:c>
      <x:c r="G878" s="23" t="n">
        <x:v>66.66</x:v>
      </x:c>
      <x:c r="H878" s="23" t="n">
        <x:v>57.16</x:v>
      </x:c>
      <x:c r="I878" s="23" t="n">
        <x:v>61.9</x:v>
      </x:c>
      <x:c r="J878" s="23" t="n">
        <x:f>G878-H878</x:f>
        <x:v>9.5</x:v>
      </x:c>
      <x:c r="K878" t="str">
        <x:v>HINDCAST</x:v>
      </x:c>
      <x:c r="L878" s="24" t="n">
        <x:v>17.4474</x:v>
      </x:c>
      <x:c r="M878" s="24" t="n">
        <x:v>78.3762</x:v>
      </x:c>
      <x:c r="N878" t="str">
        <x:f>IF(I878&gt;70,"70+ dB",IF(I878&gt;55,"56-70 dB","41-55 dB"))</x:f>
        <x:v>56-70 dB</x:v>
      </x:c>
      <x:c r="O878" t="str">
        <x:f>IF(I878&gt;70,"High",IF(I878&gt;55,"Moderate","Low"))</x:f>
        <x:v>Moderate</x:v>
      </x:c>
      <x:c r="P878" t="str">
        <x:f>IF(I878&gt;=70,"Yes","No")</x:f>
        <x:v>No</x:v>
      </x:c>
      <x:c r="Q878" t="str">
        <x:f>TEXT(B878,"yyyy-mm")</x:f>
        <x:v>2024-06</x:v>
      </x:c>
    </x:row>
    <x:row r="879">
      <x:c r="A879" t="str">
        <x:v>HYD05</x:v>
      </x:c>
      <x:c r="B879" s="22" t="n">
        <x:f>DATE(C879,D879,1)</x:f>
        <x:v>45474</x:v>
      </x:c>
      <x:c r="C879" t="n">
        <x:v>2024</x:v>
      </x:c>
      <x:c r="D879" t="n">
        <x:v>7</x:v>
      </x:c>
      <x:c r="E879" t="str">
        <x:f>TEXT(B879,"mmm")</x:f>
        <x:v>Jul</x:v>
      </x:c>
      <x:c r="F879" t="str">
        <x:f>"Q"&amp;ROUNDUP(D879/3,0)</x:f>
        <x:v>Q3</x:v>
      </x:c>
      <x:c r="G879" s="23" t="n">
        <x:v>67.37</x:v>
      </x:c>
      <x:c r="H879" s="23" t="n">
        <x:v>57.72</x:v>
      </x:c>
      <x:c r="I879" s="23" t="n">
        <x:v>62.5</x:v>
      </x:c>
      <x:c r="J879" s="23" t="n">
        <x:f>G879-H879</x:f>
        <x:v>9.650000000000006</x:v>
      </x:c>
      <x:c r="K879" t="str">
        <x:v>HINDCAST</x:v>
      </x:c>
      <x:c r="L879" s="24" t="n">
        <x:v>17.4474</x:v>
      </x:c>
      <x:c r="M879" s="24" t="n">
        <x:v>78.3762</x:v>
      </x:c>
      <x:c r="N879" t="str">
        <x:f>IF(I879&gt;70,"70+ dB",IF(I879&gt;55,"56-70 dB","41-55 dB"))</x:f>
        <x:v>56-70 dB</x:v>
      </x:c>
      <x:c r="O879" t="str">
        <x:f>IF(I879&gt;70,"High",IF(I879&gt;55,"Moderate","Low"))</x:f>
        <x:v>Moderate</x:v>
      </x:c>
      <x:c r="P879" t="str">
        <x:f>IF(I879&gt;=70,"Yes","No")</x:f>
        <x:v>No</x:v>
      </x:c>
      <x:c r="Q879" t="str">
        <x:f>TEXT(B879,"yyyy-mm")</x:f>
        <x:v>2024-07</x:v>
      </x:c>
    </x:row>
    <x:row r="880">
      <x:c r="A880" t="str">
        <x:v>HYD05</x:v>
      </x:c>
      <x:c r="B880" s="22" t="n">
        <x:f>DATE(C880,D880,1)</x:f>
        <x:v>45505</x:v>
      </x:c>
      <x:c r="C880" t="n">
        <x:v>2024</x:v>
      </x:c>
      <x:c r="D880" t="n">
        <x:v>8</x:v>
      </x:c>
      <x:c r="E880" t="str">
        <x:f>TEXT(B880,"mmm")</x:f>
        <x:v>Aug</x:v>
      </x:c>
      <x:c r="F880" t="str">
        <x:f>"Q"&amp;ROUNDUP(D880/3,0)</x:f>
        <x:v>Q3</x:v>
      </x:c>
      <x:c r="G880" s="23" t="n">
        <x:v>66.96</x:v>
      </x:c>
      <x:c r="H880" s="23" t="n">
        <x:v>56.3</x:v>
      </x:c>
      <x:c r="I880" s="23" t="n">
        <x:v>61.6</x:v>
      </x:c>
      <x:c r="J880" s="23" t="n">
        <x:f>G880-H880</x:f>
        <x:v>10.659999999999997</x:v>
      </x:c>
      <x:c r="K880" t="str">
        <x:v>HINDCAST</x:v>
      </x:c>
      <x:c r="L880" s="24" t="n">
        <x:v>17.4474</x:v>
      </x:c>
      <x:c r="M880" s="24" t="n">
        <x:v>78.3762</x:v>
      </x:c>
      <x:c r="N880" t="str">
        <x:f>IF(I880&gt;70,"70+ dB",IF(I880&gt;55,"56-70 dB","41-55 dB"))</x:f>
        <x:v>56-70 dB</x:v>
      </x:c>
      <x:c r="O880" t="str">
        <x:f>IF(I880&gt;70,"High",IF(I880&gt;55,"Moderate","Low"))</x:f>
        <x:v>Moderate</x:v>
      </x:c>
      <x:c r="P880" t="str">
        <x:f>IF(I880&gt;=70,"Yes","No")</x:f>
        <x:v>No</x:v>
      </x:c>
      <x:c r="Q880" t="str">
        <x:f>TEXT(B880,"yyyy-mm")</x:f>
        <x:v>2024-08</x:v>
      </x:c>
    </x:row>
    <x:row r="881">
      <x:c r="A881" t="str">
        <x:v>HYD05</x:v>
      </x:c>
      <x:c r="B881" s="22" t="n">
        <x:f>DATE(C881,D881,1)</x:f>
        <x:v>45536</x:v>
      </x:c>
      <x:c r="C881" t="n">
        <x:v>2024</x:v>
      </x:c>
      <x:c r="D881" t="n">
        <x:v>9</x:v>
      </x:c>
      <x:c r="E881" t="str">
        <x:f>TEXT(B881,"mmm")</x:f>
        <x:v>Sep</x:v>
      </x:c>
      <x:c r="F881" t="str">
        <x:f>"Q"&amp;ROUNDUP(D881/3,0)</x:f>
        <x:v>Q3</x:v>
      </x:c>
      <x:c r="G881" s="23" t="n">
        <x:v>66.14</x:v>
      </x:c>
      <x:c r="H881" s="23" t="n">
        <x:v>54.83</x:v>
      </x:c>
      <x:c r="I881" s="23" t="n">
        <x:v>60.5</x:v>
      </x:c>
      <x:c r="J881" s="23" t="n">
        <x:f>G881-H881</x:f>
        <x:v>11.310000000000002</x:v>
      </x:c>
      <x:c r="K881" t="str">
        <x:v>HINDCAST</x:v>
      </x:c>
      <x:c r="L881" s="24" t="n">
        <x:v>17.4474</x:v>
      </x:c>
      <x:c r="M881" s="24" t="n">
        <x:v>78.3762</x:v>
      </x:c>
      <x:c r="N881" t="str">
        <x:f>IF(I881&gt;70,"70+ dB",IF(I881&gt;55,"56-70 dB","41-55 dB"))</x:f>
        <x:v>56-70 dB</x:v>
      </x:c>
      <x:c r="O881" t="str">
        <x:f>IF(I881&gt;70,"High",IF(I881&gt;55,"Moderate","Low"))</x:f>
        <x:v>Moderate</x:v>
      </x:c>
      <x:c r="P881" t="str">
        <x:f>IF(I881&gt;=70,"Yes","No")</x:f>
        <x:v>No</x:v>
      </x:c>
      <x:c r="Q881" t="str">
        <x:f>TEXT(B881,"yyyy-mm")</x:f>
        <x:v>2024-09</x:v>
      </x:c>
    </x:row>
    <x:row r="882">
      <x:c r="A882" t="str">
        <x:v>HYD05</x:v>
      </x:c>
      <x:c r="B882" s="22" t="n">
        <x:f>DATE(C882,D882,1)</x:f>
        <x:v>45566</x:v>
      </x:c>
      <x:c r="C882" t="n">
        <x:v>2024</x:v>
      </x:c>
      <x:c r="D882" t="n">
        <x:v>10</x:v>
      </x:c>
      <x:c r="E882" t="str">
        <x:f>TEXT(B882,"mmm")</x:f>
        <x:v>Oct</x:v>
      </x:c>
      <x:c r="F882" t="str">
        <x:f>"Q"&amp;ROUNDUP(D882/3,0)</x:f>
        <x:v>Q4</x:v>
      </x:c>
      <x:c r="G882" s="23" t="n">
        <x:v>66.83</x:v>
      </x:c>
      <x:c r="H882" s="23" t="n">
        <x:v>56.42</x:v>
      </x:c>
      <x:c r="I882" s="23" t="n">
        <x:v>61.6</x:v>
      </x:c>
      <x:c r="J882" s="23" t="n">
        <x:f>G882-H882</x:f>
        <x:v>10.409999999999997</x:v>
      </x:c>
      <x:c r="K882" t="str">
        <x:v>HINDCAST</x:v>
      </x:c>
      <x:c r="L882" s="24" t="n">
        <x:v>17.4474</x:v>
      </x:c>
      <x:c r="M882" s="24" t="n">
        <x:v>78.3762</x:v>
      </x:c>
      <x:c r="N882" t="str">
        <x:f>IF(I882&gt;70,"70+ dB",IF(I882&gt;55,"56-70 dB","41-55 dB"))</x:f>
        <x:v>56-70 dB</x:v>
      </x:c>
      <x:c r="O882" t="str">
        <x:f>IF(I882&gt;70,"High",IF(I882&gt;55,"Moderate","Low"))</x:f>
        <x:v>Moderate</x:v>
      </x:c>
      <x:c r="P882" t="str">
        <x:f>IF(I882&gt;=70,"Yes","No")</x:f>
        <x:v>No</x:v>
      </x:c>
      <x:c r="Q882" t="str">
        <x:f>TEXT(B882,"yyyy-mm")</x:f>
        <x:v>2024-10</x:v>
      </x:c>
    </x:row>
    <x:row r="883">
      <x:c r="A883" t="str">
        <x:v>HYD05</x:v>
      </x:c>
      <x:c r="B883" s="22" t="n">
        <x:f>DATE(C883,D883,1)</x:f>
        <x:v>45597</x:v>
      </x:c>
      <x:c r="C883" t="n">
        <x:v>2024</x:v>
      </x:c>
      <x:c r="D883" t="n">
        <x:v>11</x:v>
      </x:c>
      <x:c r="E883" t="str">
        <x:f>TEXT(B883,"mmm")</x:f>
        <x:v>Nov</x:v>
      </x:c>
      <x:c r="F883" t="str">
        <x:f>"Q"&amp;ROUNDUP(D883/3,0)</x:f>
        <x:v>Q4</x:v>
      </x:c>
      <x:c r="G883" s="23" t="n">
        <x:v>67.79</x:v>
      </x:c>
      <x:c r="H883" s="23" t="n">
        <x:v>57.58</x:v>
      </x:c>
      <x:c r="I883" s="23" t="n">
        <x:v>62.7</x:v>
      </x:c>
      <x:c r="J883" s="23" t="n">
        <x:f>G883-H883</x:f>
        <x:v>10.210000000000008</x:v>
      </x:c>
      <x:c r="K883" t="str">
        <x:v>HINDCAST</x:v>
      </x:c>
      <x:c r="L883" s="24" t="n">
        <x:v>17.4474</x:v>
      </x:c>
      <x:c r="M883" s="24" t="n">
        <x:v>78.3762</x:v>
      </x:c>
      <x:c r="N883" t="str">
        <x:f>IF(I883&gt;70,"70+ dB",IF(I883&gt;55,"56-70 dB","41-55 dB"))</x:f>
        <x:v>56-70 dB</x:v>
      </x:c>
      <x:c r="O883" t="str">
        <x:f>IF(I883&gt;70,"High",IF(I883&gt;55,"Moderate","Low"))</x:f>
        <x:v>Moderate</x:v>
      </x:c>
      <x:c r="P883" t="str">
        <x:f>IF(I883&gt;=70,"Yes","No")</x:f>
        <x:v>No</x:v>
      </x:c>
      <x:c r="Q883" t="str">
        <x:f>TEXT(B883,"yyyy-mm")</x:f>
        <x:v>2024-11</x:v>
      </x:c>
    </x:row>
    <x:row r="884">
      <x:c r="A884" t="str">
        <x:v>HYD05</x:v>
      </x:c>
      <x:c r="B884" s="22" t="n">
        <x:f>DATE(C884,D884,1)</x:f>
        <x:v>45627</x:v>
      </x:c>
      <x:c r="C884" t="n">
        <x:v>2024</x:v>
      </x:c>
      <x:c r="D884" t="n">
        <x:v>12</x:v>
      </x:c>
      <x:c r="E884" t="str">
        <x:f>TEXT(B884,"mmm")</x:f>
        <x:v>Dec</x:v>
      </x:c>
      <x:c r="F884" t="str">
        <x:f>"Q"&amp;ROUNDUP(D884/3,0)</x:f>
        <x:v>Q4</x:v>
      </x:c>
      <x:c r="G884" s="23" t="n">
        <x:v>67.22</x:v>
      </x:c>
      <x:c r="H884" s="23" t="n">
        <x:v>56.88</x:v>
      </x:c>
      <x:c r="I884" s="23" t="n">
        <x:v>62</x:v>
      </x:c>
      <x:c r="J884" s="23" t="n">
        <x:f>G884-H884</x:f>
        <x:v>10.339999999999996</x:v>
      </x:c>
      <x:c r="K884" t="str">
        <x:v>HINDCAST</x:v>
      </x:c>
      <x:c r="L884" s="24" t="n">
        <x:v>17.4474</x:v>
      </x:c>
      <x:c r="M884" s="24" t="n">
        <x:v>78.3762</x:v>
      </x:c>
      <x:c r="N884" t="str">
        <x:f>IF(I884&gt;70,"70+ dB",IF(I884&gt;55,"56-70 dB","41-55 dB"))</x:f>
        <x:v>56-70 dB</x:v>
      </x:c>
      <x:c r="O884" t="str">
        <x:f>IF(I884&gt;70,"High",IF(I884&gt;55,"Moderate","Low"))</x:f>
        <x:v>Moderate</x:v>
      </x:c>
      <x:c r="P884" t="str">
        <x:f>IF(I884&gt;=70,"Yes","No")</x:f>
        <x:v>No</x:v>
      </x:c>
      <x:c r="Q884" t="str">
        <x:f>TEXT(B884,"yyyy-mm")</x:f>
        <x:v>2024-12</x:v>
      </x:c>
    </x:row>
    <x:row r="885">
      <x:c r="A885" t="str">
        <x:v>HYD05</x:v>
      </x:c>
      <x:c r="B885" s="22" t="n">
        <x:f>DATE(C885,D885,1)</x:f>
        <x:v>45658</x:v>
      </x:c>
      <x:c r="C885" t="n">
        <x:v>2025</x:v>
      </x:c>
      <x:c r="D885" t="n">
        <x:v>1</x:v>
      </x:c>
      <x:c r="E885" t="str">
        <x:f>TEXT(B885,"mmm")</x:f>
        <x:v>Jan</x:v>
      </x:c>
      <x:c r="F885" t="str">
        <x:f>"Q"&amp;ROUNDUP(D885/3,0)</x:f>
        <x:v>Q1</x:v>
      </x:c>
      <x:c r="G885" s="23" t="n">
        <x:v>64.78</x:v>
      </x:c>
      <x:c r="H885" s="23" t="n">
        <x:v>52.7</x:v>
      </x:c>
      <x:c r="I885" s="23" t="n">
        <x:v>58.7</x:v>
      </x:c>
      <x:c r="J885" s="23" t="n">
        <x:f>G885-H885</x:f>
        <x:v>12.079999999999998</x:v>
      </x:c>
      <x:c r="K885" t="str">
        <x:v>HINDCAST</x:v>
      </x:c>
      <x:c r="L885" s="24" t="n">
        <x:v>17.4474</x:v>
      </x:c>
      <x:c r="M885" s="24" t="n">
        <x:v>78.3762</x:v>
      </x:c>
      <x:c r="N885" t="str">
        <x:f>IF(I885&gt;70,"70+ dB",IF(I885&gt;55,"56-70 dB","41-55 dB"))</x:f>
        <x:v>56-70 dB</x:v>
      </x:c>
      <x:c r="O885" t="str">
        <x:f>IF(I885&gt;70,"High",IF(I885&gt;55,"Moderate","Low"))</x:f>
        <x:v>Moderate</x:v>
      </x:c>
      <x:c r="P885" t="str">
        <x:f>IF(I885&gt;=70,"Yes","No")</x:f>
        <x:v>No</x:v>
      </x:c>
      <x:c r="Q885" t="str">
        <x:f>TEXT(B885,"yyyy-mm")</x:f>
        <x:v>2025-01</x:v>
      </x:c>
    </x:row>
    <x:row r="886">
      <x:c r="A886" t="str">
        <x:v>HYD05</x:v>
      </x:c>
      <x:c r="B886" s="22" t="n">
        <x:f>DATE(C886,D886,1)</x:f>
        <x:v>45689</x:v>
      </x:c>
      <x:c r="C886" t="n">
        <x:v>2025</x:v>
      </x:c>
      <x:c r="D886" t="n">
        <x:v>2</x:v>
      </x:c>
      <x:c r="E886" t="str">
        <x:f>TEXT(B886,"mmm")</x:f>
        <x:v>Feb</x:v>
      </x:c>
      <x:c r="F886" t="str">
        <x:f>"Q"&amp;ROUNDUP(D886/3,0)</x:f>
        <x:v>Q1</x:v>
      </x:c>
      <x:c r="G886" s="23" t="n">
        <x:v>65.28</x:v>
      </x:c>
      <x:c r="H886" s="23" t="n">
        <x:v>53.5</x:v>
      </x:c>
      <x:c r="I886" s="23" t="n">
        <x:v>59.4</x:v>
      </x:c>
      <x:c r="J886" s="23" t="n">
        <x:f>G886-H886</x:f>
        <x:v>11.780000000000001</x:v>
      </x:c>
      <x:c r="K886" t="str">
        <x:v>HINDCAST</x:v>
      </x:c>
      <x:c r="L886" s="24" t="n">
        <x:v>17.4474</x:v>
      </x:c>
      <x:c r="M886" s="24" t="n">
        <x:v>78.3762</x:v>
      </x:c>
      <x:c r="N886" t="str">
        <x:f>IF(I886&gt;70,"70+ dB",IF(I886&gt;55,"56-70 dB","41-55 dB"))</x:f>
        <x:v>56-70 dB</x:v>
      </x:c>
      <x:c r="O886" t="str">
        <x:f>IF(I886&gt;70,"High",IF(I886&gt;55,"Moderate","Low"))</x:f>
        <x:v>Moderate</x:v>
      </x:c>
      <x:c r="P886" t="str">
        <x:f>IF(I886&gt;=70,"Yes","No")</x:f>
        <x:v>No</x:v>
      </x:c>
      <x:c r="Q886" t="str">
        <x:f>TEXT(B886,"yyyy-mm")</x:f>
        <x:v>2025-02</x:v>
      </x:c>
    </x:row>
    <x:row r="887">
      <x:c r="A887" t="str">
        <x:v>HYD05</x:v>
      </x:c>
      <x:c r="B887" s="22" t="n">
        <x:f>DATE(C887,D887,1)</x:f>
        <x:v>45717</x:v>
      </x:c>
      <x:c r="C887" t="n">
        <x:v>2025</x:v>
      </x:c>
      <x:c r="D887" t="n">
        <x:v>3</x:v>
      </x:c>
      <x:c r="E887" t="str">
        <x:f>TEXT(B887,"mmm")</x:f>
        <x:v>Mar</x:v>
      </x:c>
      <x:c r="F887" t="str">
        <x:f>"Q"&amp;ROUNDUP(D887/3,0)</x:f>
        <x:v>Q1</x:v>
      </x:c>
      <x:c r="G887" s="23" t="n">
        <x:v>64.72</x:v>
      </x:c>
      <x:c r="H887" s="23" t="n">
        <x:v>53.22</x:v>
      </x:c>
      <x:c r="I887" s="23" t="n">
        <x:v>59</x:v>
      </x:c>
      <x:c r="J887" s="23" t="n">
        <x:f>G887-H887</x:f>
        <x:v>11.5</x:v>
      </x:c>
      <x:c r="K887" t="str">
        <x:v>HINDCAST</x:v>
      </x:c>
      <x:c r="L887" s="24" t="n">
        <x:v>17.4474</x:v>
      </x:c>
      <x:c r="M887" s="24" t="n">
        <x:v>78.3762</x:v>
      </x:c>
      <x:c r="N887" t="str">
        <x:f>IF(I887&gt;70,"70+ dB",IF(I887&gt;55,"56-70 dB","41-55 dB"))</x:f>
        <x:v>56-70 dB</x:v>
      </x:c>
      <x:c r="O887" t="str">
        <x:f>IF(I887&gt;70,"High",IF(I887&gt;55,"Moderate","Low"))</x:f>
        <x:v>Moderate</x:v>
      </x:c>
      <x:c r="P887" t="str">
        <x:f>IF(I887&gt;=70,"Yes","No")</x:f>
        <x:v>No</x:v>
      </x:c>
      <x:c r="Q887" t="str">
        <x:f>TEXT(B887,"yyyy-mm")</x:f>
        <x:v>2025-03</x:v>
      </x:c>
    </x:row>
    <x:row r="888">
      <x:c r="A888" t="str">
        <x:v>HYD05</x:v>
      </x:c>
      <x:c r="B888" s="22" t="n">
        <x:f>DATE(C888,D888,1)</x:f>
        <x:v>45748</x:v>
      </x:c>
      <x:c r="C888" t="n">
        <x:v>2025</x:v>
      </x:c>
      <x:c r="D888" t="n">
        <x:v>4</x:v>
      </x:c>
      <x:c r="E888" t="str">
        <x:f>TEXT(B888,"mmm")</x:f>
        <x:v>Apr</x:v>
      </x:c>
      <x:c r="F888" t="str">
        <x:f>"Q"&amp;ROUNDUP(D888/3,0)</x:f>
        <x:v>Q2</x:v>
      </x:c>
      <x:c r="G888" s="23" t="n">
        <x:v>65.14</x:v>
      </x:c>
      <x:c r="H888" s="23" t="n">
        <x:v>53.65</x:v>
      </x:c>
      <x:c r="I888" s="23" t="n">
        <x:v>59.4</x:v>
      </x:c>
      <x:c r="J888" s="23" t="n">
        <x:f>G888-H888</x:f>
        <x:v>11.490000000000002</x:v>
      </x:c>
      <x:c r="K888" t="str">
        <x:v>HINDCAST</x:v>
      </x:c>
      <x:c r="L888" s="24" t="n">
        <x:v>17.4474</x:v>
      </x:c>
      <x:c r="M888" s="24" t="n">
        <x:v>78.3762</x:v>
      </x:c>
      <x:c r="N888" t="str">
        <x:f>IF(I888&gt;70,"70+ dB",IF(I888&gt;55,"56-70 dB","41-55 dB"))</x:f>
        <x:v>56-70 dB</x:v>
      </x:c>
      <x:c r="O888" t="str">
        <x:f>IF(I888&gt;70,"High",IF(I888&gt;55,"Moderate","Low"))</x:f>
        <x:v>Moderate</x:v>
      </x:c>
      <x:c r="P888" t="str">
        <x:f>IF(I888&gt;=70,"Yes","No")</x:f>
        <x:v>No</x:v>
      </x:c>
      <x:c r="Q888" t="str">
        <x:f>TEXT(B888,"yyyy-mm")</x:f>
        <x:v>2025-04</x:v>
      </x:c>
    </x:row>
    <x:row r="889">
      <x:c r="A889" t="str">
        <x:v>HYD05</x:v>
      </x:c>
      <x:c r="B889" s="22" t="n">
        <x:f>DATE(C889,D889,1)</x:f>
        <x:v>45778</x:v>
      </x:c>
      <x:c r="C889" t="n">
        <x:v>2025</x:v>
      </x:c>
      <x:c r="D889" t="n">
        <x:v>5</x:v>
      </x:c>
      <x:c r="E889" t="str">
        <x:f>TEXT(B889,"mmm")</x:f>
        <x:v>May</x:v>
      </x:c>
      <x:c r="F889" t="str">
        <x:f>"Q"&amp;ROUNDUP(D889/3,0)</x:f>
        <x:v>Q2</x:v>
      </x:c>
      <x:c r="G889" s="23" t="n">
        <x:v>65.43</x:v>
      </x:c>
      <x:c r="H889" s="23" t="n">
        <x:v>54.5</x:v>
      </x:c>
      <x:c r="I889" s="23" t="n">
        <x:v>60</x:v>
      </x:c>
      <x:c r="J889" s="23" t="n">
        <x:f>G889-H889</x:f>
        <x:v>10.930000000000007</x:v>
      </x:c>
      <x:c r="K889" t="str">
        <x:v>HINDCAST</x:v>
      </x:c>
      <x:c r="L889" s="24" t="n">
        <x:v>17.4474</x:v>
      </x:c>
      <x:c r="M889" s="24" t="n">
        <x:v>78.3762</x:v>
      </x:c>
      <x:c r="N889" t="str">
        <x:f>IF(I889&gt;70,"70+ dB",IF(I889&gt;55,"56-70 dB","41-55 dB"))</x:f>
        <x:v>56-70 dB</x:v>
      </x:c>
      <x:c r="O889" t="str">
        <x:f>IF(I889&gt;70,"High",IF(I889&gt;55,"Moderate","Low"))</x:f>
        <x:v>Moderate</x:v>
      </x:c>
      <x:c r="P889" t="str">
        <x:f>IF(I889&gt;=70,"Yes","No")</x:f>
        <x:v>No</x:v>
      </x:c>
      <x:c r="Q889" t="str">
        <x:f>TEXT(B889,"yyyy-mm")</x:f>
        <x:v>2025-05</x:v>
      </x:c>
    </x:row>
    <x:row r="890">
      <x:c r="A890" t="str">
        <x:v>HYD05</x:v>
      </x:c>
      <x:c r="B890" s="22" t="n">
        <x:f>DATE(C890,D890,1)</x:f>
        <x:v>45809</x:v>
      </x:c>
      <x:c r="C890" t="n">
        <x:v>2025</x:v>
      </x:c>
      <x:c r="D890" t="n">
        <x:v>6</x:v>
      </x:c>
      <x:c r="E890" t="str">
        <x:f>TEXT(B890,"mmm")</x:f>
        <x:v>Jun</x:v>
      </x:c>
      <x:c r="F890" t="str">
        <x:f>"Q"&amp;ROUNDUP(D890/3,0)</x:f>
        <x:v>Q2</x:v>
      </x:c>
      <x:c r="G890" s="23" t="n">
        <x:v>66</x:v>
      </x:c>
      <x:c r="H890" s="23" t="n">
        <x:v>55.79</x:v>
      </x:c>
      <x:c r="I890" s="23" t="n">
        <x:v>60.9</x:v>
      </x:c>
      <x:c r="J890" s="23" t="n">
        <x:f>G890-H890</x:f>
        <x:v>10.21</x:v>
      </x:c>
      <x:c r="K890" t="str">
        <x:v>HINDCAST</x:v>
      </x:c>
      <x:c r="L890" s="24" t="n">
        <x:v>17.4474</x:v>
      </x:c>
      <x:c r="M890" s="24" t="n">
        <x:v>78.3762</x:v>
      </x:c>
      <x:c r="N890" t="str">
        <x:f>IF(I890&gt;70,"70+ dB",IF(I890&gt;55,"56-70 dB","41-55 dB"))</x:f>
        <x:v>56-70 dB</x:v>
      </x:c>
      <x:c r="O890" t="str">
        <x:f>IF(I890&gt;70,"High",IF(I890&gt;55,"Moderate","Low"))</x:f>
        <x:v>Moderate</x:v>
      </x:c>
      <x:c r="P890" t="str">
        <x:f>IF(I890&gt;=70,"Yes","No")</x:f>
        <x:v>No</x:v>
      </x:c>
      <x:c r="Q890" t="str">
        <x:f>TEXT(B890,"yyyy-mm")</x:f>
        <x:v>2025-06</x:v>
      </x:c>
    </x:row>
    <x:row r="891">
      <x:c r="A891" t="str">
        <x:v>HYD05</x:v>
      </x:c>
      <x:c r="B891" s="22" t="n">
        <x:f>DATE(C891,D891,1)</x:f>
        <x:v>45839</x:v>
      </x:c>
      <x:c r="C891" t="n">
        <x:v>2025</x:v>
      </x:c>
      <x:c r="D891" t="n">
        <x:v>7</x:v>
      </x:c>
      <x:c r="E891" t="str">
        <x:f>TEXT(B891,"mmm")</x:f>
        <x:v>Jul</x:v>
      </x:c>
      <x:c r="F891" t="str">
        <x:f>"Q"&amp;ROUNDUP(D891/3,0)</x:f>
        <x:v>Q3</x:v>
      </x:c>
      <x:c r="G891" s="23" t="n">
        <x:v>66.71</x:v>
      </x:c>
      <x:c r="H891" s="23" t="n">
        <x:v>56.36</x:v>
      </x:c>
      <x:c r="I891" s="23" t="n">
        <x:v>61.5</x:v>
      </x:c>
      <x:c r="J891" s="23" t="n">
        <x:f>G891-H891</x:f>
        <x:v>10.349999999999994</x:v>
      </x:c>
      <x:c r="K891" t="str">
        <x:v>HINDCAST</x:v>
      </x:c>
      <x:c r="L891" s="24" t="n">
        <x:v>17.4474</x:v>
      </x:c>
      <x:c r="M891" s="24" t="n">
        <x:v>78.3762</x:v>
      </x:c>
      <x:c r="N891" t="str">
        <x:f>IF(I891&gt;70,"70+ dB",IF(I891&gt;55,"56-70 dB","41-55 dB"))</x:f>
        <x:v>56-70 dB</x:v>
      </x:c>
      <x:c r="O891" t="str">
        <x:f>IF(I891&gt;70,"High",IF(I891&gt;55,"Moderate","Low"))</x:f>
        <x:v>Moderate</x:v>
      </x:c>
      <x:c r="P891" t="str">
        <x:f>IF(I891&gt;=70,"Yes","No")</x:f>
        <x:v>No</x:v>
      </x:c>
      <x:c r="Q891" t="str">
        <x:f>TEXT(B891,"yyyy-mm")</x:f>
        <x:v>2025-07</x:v>
      </x:c>
    </x:row>
    <x:row r="892">
      <x:c r="A892" t="str">
        <x:v>HYD05</x:v>
      </x:c>
      <x:c r="B892" s="22" t="n">
        <x:f>DATE(C892,D892,1)</x:f>
        <x:v>45870</x:v>
      </x:c>
      <x:c r="C892" t="n">
        <x:v>2025</x:v>
      </x:c>
      <x:c r="D892" t="n">
        <x:v>8</x:v>
      </x:c>
      <x:c r="E892" t="str">
        <x:f>TEXT(B892,"mmm")</x:f>
        <x:v>Aug</x:v>
      </x:c>
      <x:c r="F892" t="str">
        <x:f>"Q"&amp;ROUNDUP(D892/3,0)</x:f>
        <x:v>Q3</x:v>
      </x:c>
      <x:c r="G892" s="23" t="n">
        <x:v>66.29</x:v>
      </x:c>
      <x:c r="H892" s="23" t="n">
        <x:v>54.93</x:v>
      </x:c>
      <x:c r="I892" s="23" t="n">
        <x:v>60.6</x:v>
      </x:c>
      <x:c r="J892" s="23" t="n">
        <x:f>G892-H892</x:f>
        <x:v>11.360000000000007</x:v>
      </x:c>
      <x:c r="K892" t="str">
        <x:v>HINDCAST</x:v>
      </x:c>
      <x:c r="L892" s="24" t="n">
        <x:v>17.4474</x:v>
      </x:c>
      <x:c r="M892" s="24" t="n">
        <x:v>78.3762</x:v>
      </x:c>
      <x:c r="N892" t="str">
        <x:f>IF(I892&gt;70,"70+ dB",IF(I892&gt;55,"56-70 dB","41-55 dB"))</x:f>
        <x:v>56-70 dB</x:v>
      </x:c>
      <x:c r="O892" t="str">
        <x:f>IF(I892&gt;70,"High",IF(I892&gt;55,"Moderate","Low"))</x:f>
        <x:v>Moderate</x:v>
      </x:c>
      <x:c r="P892" t="str">
        <x:f>IF(I892&gt;=70,"Yes","No")</x:f>
        <x:v>No</x:v>
      </x:c>
      <x:c r="Q892" t="str">
        <x:f>TEXT(B892,"yyyy-mm")</x:f>
        <x:v>2025-08</x:v>
      </x:c>
    </x:row>
    <x:row r="893">
      <x:c r="A893" t="str">
        <x:v>HYD05</x:v>
      </x:c>
      <x:c r="B893" s="22" t="n">
        <x:f>DATE(C893,D893,1)</x:f>
        <x:v>45901</x:v>
      </x:c>
      <x:c r="C893" t="n">
        <x:v>2025</x:v>
      </x:c>
      <x:c r="D893" t="n">
        <x:v>9</x:v>
      </x:c>
      <x:c r="E893" t="str">
        <x:f>TEXT(B893,"mmm")</x:f>
        <x:v>Sep</x:v>
      </x:c>
      <x:c r="F893" t="str">
        <x:f>"Q"&amp;ROUNDUP(D893/3,0)</x:f>
        <x:v>Q3</x:v>
      </x:c>
      <x:c r="G893" s="23" t="n">
        <x:v>65.48</x:v>
      </x:c>
      <x:c r="H893" s="23" t="n">
        <x:v>53.47</x:v>
      </x:c>
      <x:c r="I893" s="23" t="n">
        <x:v>59.5</x:v>
      </x:c>
      <x:c r="J893" s="23" t="n">
        <x:f>G893-H893</x:f>
        <x:v>12.010000000000005</x:v>
      </x:c>
      <x:c r="K893" t="str">
        <x:v>HINDCAST</x:v>
      </x:c>
      <x:c r="L893" s="24" t="n">
        <x:v>17.4474</x:v>
      </x:c>
      <x:c r="M893" s="24" t="n">
        <x:v>78.3762</x:v>
      </x:c>
      <x:c r="N893" t="str">
        <x:f>IF(I893&gt;70,"70+ dB",IF(I893&gt;55,"56-70 dB","41-55 dB"))</x:f>
        <x:v>56-70 dB</x:v>
      </x:c>
      <x:c r="O893" t="str">
        <x:f>IF(I893&gt;70,"High",IF(I893&gt;55,"Moderate","Low"))</x:f>
        <x:v>Moderate</x:v>
      </x:c>
      <x:c r="P893" t="str">
        <x:f>IF(I893&gt;=70,"Yes","No")</x:f>
        <x:v>No</x:v>
      </x:c>
      <x:c r="Q893" t="str">
        <x:f>TEXT(B893,"yyyy-mm")</x:f>
        <x:v>2025-09</x:v>
      </x:c>
    </x:row>
    <x:row r="894">
      <x:c r="A894" t="str">
        <x:v>HYD05</x:v>
      </x:c>
      <x:c r="B894" s="22" t="n">
        <x:f>DATE(C894,D894,1)</x:f>
        <x:v>45931</x:v>
      </x:c>
      <x:c r="C894" t="n">
        <x:v>2025</x:v>
      </x:c>
      <x:c r="D894" t="n">
        <x:v>10</x:v>
      </x:c>
      <x:c r="E894" t="str">
        <x:f>TEXT(B894,"mmm")</x:f>
        <x:v>Oct</x:v>
      </x:c>
      <x:c r="F894" t="str">
        <x:f>"Q"&amp;ROUNDUP(D894/3,0)</x:f>
        <x:v>Q4</x:v>
      </x:c>
      <x:c r="G894" s="23" t="n">
        <x:v>66.17</x:v>
      </x:c>
      <x:c r="H894" s="23" t="n">
        <x:v>55.06</x:v>
      </x:c>
      <x:c r="I894" s="23" t="n">
        <x:v>60.6</x:v>
      </x:c>
      <x:c r="J894" s="23" t="n">
        <x:f>G894-H894</x:f>
        <x:v>11.11</x:v>
      </x:c>
      <x:c r="K894" t="str">
        <x:v>HINDCAST</x:v>
      </x:c>
      <x:c r="L894" s="24" t="n">
        <x:v>17.4474</x:v>
      </x:c>
      <x:c r="M894" s="24" t="n">
        <x:v>78.3762</x:v>
      </x:c>
      <x:c r="N894" t="str">
        <x:f>IF(I894&gt;70,"70+ dB",IF(I894&gt;55,"56-70 dB","41-55 dB"))</x:f>
        <x:v>56-70 dB</x:v>
      </x:c>
      <x:c r="O894" t="str">
        <x:f>IF(I894&gt;70,"High",IF(I894&gt;55,"Moderate","Low"))</x:f>
        <x:v>Moderate</x:v>
      </x:c>
      <x:c r="P894" t="str">
        <x:f>IF(I894&gt;=70,"Yes","No")</x:f>
        <x:v>No</x:v>
      </x:c>
      <x:c r="Q894" t="str">
        <x:f>TEXT(B894,"yyyy-mm")</x:f>
        <x:v>2025-10</x:v>
      </x:c>
    </x:row>
    <x:row r="895">
      <x:c r="A895" t="str">
        <x:v>HYD05</x:v>
      </x:c>
      <x:c r="B895" s="22" t="n">
        <x:f>DATE(C895,D895,1)</x:f>
        <x:v>45962</x:v>
      </x:c>
      <x:c r="C895" t="n">
        <x:v>2025</x:v>
      </x:c>
      <x:c r="D895" t="n">
        <x:v>11</x:v>
      </x:c>
      <x:c r="E895" t="str">
        <x:f>TEXT(B895,"mmm")</x:f>
        <x:v>Nov</x:v>
      </x:c>
      <x:c r="F895" t="str">
        <x:f>"Q"&amp;ROUNDUP(D895/3,0)</x:f>
        <x:v>Q4</x:v>
      </x:c>
      <x:c r="G895" s="23" t="n">
        <x:v>67.13</x:v>
      </x:c>
      <x:c r="H895" s="23" t="n">
        <x:v>56.21</x:v>
      </x:c>
      <x:c r="I895" s="23" t="n">
        <x:v>61.7</x:v>
      </x:c>
      <x:c r="J895" s="23" t="n">
        <x:f>G895-H895</x:f>
        <x:v>10.919999999999995</x:v>
      </x:c>
      <x:c r="K895" t="str">
        <x:v>HINDCAST</x:v>
      </x:c>
      <x:c r="L895" s="24" t="n">
        <x:v>17.4474</x:v>
      </x:c>
      <x:c r="M895" s="24" t="n">
        <x:v>78.3762</x:v>
      </x:c>
      <x:c r="N895" t="str">
        <x:f>IF(I895&gt;70,"70+ dB",IF(I895&gt;55,"56-70 dB","41-55 dB"))</x:f>
        <x:v>56-70 dB</x:v>
      </x:c>
      <x:c r="O895" t="str">
        <x:f>IF(I895&gt;70,"High",IF(I895&gt;55,"Moderate","Low"))</x:f>
        <x:v>Moderate</x:v>
      </x:c>
      <x:c r="P895" t="str">
        <x:f>IF(I895&gt;=70,"Yes","No")</x:f>
        <x:v>No</x:v>
      </x:c>
      <x:c r="Q895" t="str">
        <x:f>TEXT(B895,"yyyy-mm")</x:f>
        <x:v>2025-11</x:v>
      </x:c>
    </x:row>
    <x:row r="896">
      <x:c r="A896" t="str">
        <x:v>HYD05</x:v>
      </x:c>
      <x:c r="B896" s="22" t="n">
        <x:f>DATE(C896,D896,1)</x:f>
        <x:v>45992</x:v>
      </x:c>
      <x:c r="C896" t="n">
        <x:v>2025</x:v>
      </x:c>
      <x:c r="D896" t="n">
        <x:v>12</x:v>
      </x:c>
      <x:c r="E896" t="str">
        <x:f>TEXT(B896,"mmm")</x:f>
        <x:v>Dec</x:v>
      </x:c>
      <x:c r="F896" t="str">
        <x:f>"Q"&amp;ROUNDUP(D896/3,0)</x:f>
        <x:v>Q4</x:v>
      </x:c>
      <x:c r="G896" s="23" t="n">
        <x:v>66.56</x:v>
      </x:c>
      <x:c r="H896" s="23" t="n">
        <x:v>55.51</x:v>
      </x:c>
      <x:c r="I896" s="23" t="n">
        <x:v>61</x:v>
      </x:c>
      <x:c r="J896" s="23" t="n">
        <x:f>G896-H896</x:f>
        <x:v>11.050000000000004</x:v>
      </x:c>
      <x:c r="K896" t="str">
        <x:v>HINDCAST</x:v>
      </x:c>
      <x:c r="L896" s="24" t="n">
        <x:v>17.4474</x:v>
      </x:c>
      <x:c r="M896" s="24" t="n">
        <x:v>78.3762</x:v>
      </x:c>
      <x:c r="N896" t="str">
        <x:f>IF(I896&gt;70,"70+ dB",IF(I896&gt;55,"56-70 dB","41-55 dB"))</x:f>
        <x:v>56-70 dB</x:v>
      </x:c>
      <x:c r="O896" t="str">
        <x:f>IF(I896&gt;70,"High",IF(I896&gt;55,"Moderate","Low"))</x:f>
        <x:v>Moderate</x:v>
      </x:c>
      <x:c r="P896" t="str">
        <x:f>IF(I896&gt;=70,"Yes","No")</x:f>
        <x:v>No</x:v>
      </x:c>
      <x:c r="Q896" t="str">
        <x:f>TEXT(B896,"yyyy-mm")</x:f>
        <x:v>2025-12</x:v>
      </x:c>
    </x:row>
    <x:row r="897">
      <x:c r="A897" t="str">
        <x:v>HYD06</x:v>
      </x:c>
      <x:c r="B897" s="22" t="n">
        <x:f>DATE(C897,D897,1)</x:f>
        <x:v>42005</x:v>
      </x:c>
      <x:c r="C897" t="n">
        <x:v>2015</x:v>
      </x:c>
      <x:c r="D897" t="n">
        <x:v>1</x:v>
      </x:c>
      <x:c r="E897" t="str">
        <x:f>TEXT(B897,"mmm")</x:f>
        <x:v>Jan</x:v>
      </x:c>
      <x:c r="F897" t="str">
        <x:f>"Q"&amp;ROUNDUP(D897/3,0)</x:f>
        <x:v>Q1</x:v>
      </x:c>
      <x:c r="G897" s="23" t="n">
        <x:v>60</x:v>
      </x:c>
      <x:c r="H897" s="23" t="n">
        <x:v>51</x:v>
      </x:c>
      <x:c r="I897" s="23" t="n">
        <x:v>55.5</x:v>
      </x:c>
      <x:c r="J897" s="23" t="n">
        <x:f>G897-H897</x:f>
        <x:v>9</x:v>
      </x:c>
      <x:c r="K897" t="str">
        <x:v>OBSERVED</x:v>
      </x:c>
      <x:c r="L897" s="24" t="n">
        <x:v>17.426</x:v>
      </x:c>
      <x:c r="M897" s="24" t="n">
        <x:v>78.4573</x:v>
      </x:c>
      <x:c r="N897" t="str">
        <x:f>IF(I897&gt;70,"70+ dB",IF(I897&gt;55,"56-70 dB","41-55 dB"))</x:f>
        <x:v>56-70 dB</x:v>
      </x:c>
      <x:c r="O897" t="str">
        <x:f>IF(I897&gt;70,"High",IF(I897&gt;55,"Moderate","Low"))</x:f>
        <x:v>Moderate</x:v>
      </x:c>
      <x:c r="P897" t="str">
        <x:f>IF(I897&gt;=70,"Yes","No")</x:f>
        <x:v>No</x:v>
      </x:c>
      <x:c r="Q897" t="str">
        <x:f>TEXT(B897,"yyyy-mm")</x:f>
        <x:v>2015-01</x:v>
      </x:c>
    </x:row>
    <x:row r="898">
      <x:c r="A898" t="str">
        <x:v>HYD06</x:v>
      </x:c>
      <x:c r="B898" s="22" t="n">
        <x:f>DATE(C898,D898,1)</x:f>
        <x:v>42036</x:v>
      </x:c>
      <x:c r="C898" t="n">
        <x:v>2015</x:v>
      </x:c>
      <x:c r="D898" t="n">
        <x:v>2</x:v>
      </x:c>
      <x:c r="E898" t="str">
        <x:f>TEXT(B898,"mmm")</x:f>
        <x:v>Feb</x:v>
      </x:c>
      <x:c r="F898" t="str">
        <x:f>"Q"&amp;ROUNDUP(D898/3,0)</x:f>
        <x:v>Q1</x:v>
      </x:c>
      <x:c r="G898" s="23" t="n">
        <x:v>60</x:v>
      </x:c>
      <x:c r="H898" s="23" t="n">
        <x:v>51</x:v>
      </x:c>
      <x:c r="I898" s="23" t="n">
        <x:v>55.5</x:v>
      </x:c>
      <x:c r="J898" s="23" t="n">
        <x:f>G898-H898</x:f>
        <x:v>9</x:v>
      </x:c>
      <x:c r="K898" t="str">
        <x:v>OBSERVED</x:v>
      </x:c>
      <x:c r="L898" s="24" t="n">
        <x:v>17.426</x:v>
      </x:c>
      <x:c r="M898" s="24" t="n">
        <x:v>78.4573</x:v>
      </x:c>
      <x:c r="N898" t="str">
        <x:f>IF(I898&gt;70,"70+ dB",IF(I898&gt;55,"56-70 dB","41-55 dB"))</x:f>
        <x:v>56-70 dB</x:v>
      </x:c>
      <x:c r="O898" t="str">
        <x:f>IF(I898&gt;70,"High",IF(I898&gt;55,"Moderate","Low"))</x:f>
        <x:v>Moderate</x:v>
      </x:c>
      <x:c r="P898" t="str">
        <x:f>IF(I898&gt;=70,"Yes","No")</x:f>
        <x:v>No</x:v>
      </x:c>
      <x:c r="Q898" t="str">
        <x:f>TEXT(B898,"yyyy-mm")</x:f>
        <x:v>2015-02</x:v>
      </x:c>
    </x:row>
    <x:row r="899">
      <x:c r="A899" t="str">
        <x:v>HYD06</x:v>
      </x:c>
      <x:c r="B899" s="22" t="n">
        <x:f>DATE(C899,D899,1)</x:f>
        <x:v>42064</x:v>
      </x:c>
      <x:c r="C899" t="n">
        <x:v>2015</x:v>
      </x:c>
      <x:c r="D899" t="n">
        <x:v>3</x:v>
      </x:c>
      <x:c r="E899" t="str">
        <x:f>TEXT(B899,"mmm")</x:f>
        <x:v>Mar</x:v>
      </x:c>
      <x:c r="F899" t="str">
        <x:f>"Q"&amp;ROUNDUP(D899/3,0)</x:f>
        <x:v>Q1</x:v>
      </x:c>
      <x:c r="G899" s="23" t="n">
        <x:v>60</x:v>
      </x:c>
      <x:c r="H899" s="23" t="n">
        <x:v>52</x:v>
      </x:c>
      <x:c r="I899" s="23" t="n">
        <x:v>56</x:v>
      </x:c>
      <x:c r="J899" s="23" t="n">
        <x:f>G899-H899</x:f>
        <x:v>8</x:v>
      </x:c>
      <x:c r="K899" t="str">
        <x:v>OBSERVED</x:v>
      </x:c>
      <x:c r="L899" s="24" t="n">
        <x:v>17.426</x:v>
      </x:c>
      <x:c r="M899" s="24" t="n">
        <x:v>78.4573</x:v>
      </x:c>
      <x:c r="N899" t="str">
        <x:f>IF(I899&gt;70,"70+ dB",IF(I899&gt;55,"56-70 dB","41-55 dB"))</x:f>
        <x:v>56-70 dB</x:v>
      </x:c>
      <x:c r="O899" t="str">
        <x:f>IF(I899&gt;70,"High",IF(I899&gt;55,"Moderate","Low"))</x:f>
        <x:v>Moderate</x:v>
      </x:c>
      <x:c r="P899" t="str">
        <x:f>IF(I899&gt;=70,"Yes","No")</x:f>
        <x:v>No</x:v>
      </x:c>
      <x:c r="Q899" t="str">
        <x:f>TEXT(B899,"yyyy-mm")</x:f>
        <x:v>2015-03</x:v>
      </x:c>
    </x:row>
    <x:row r="900">
      <x:c r="A900" t="str">
        <x:v>HYD06</x:v>
      </x:c>
      <x:c r="B900" s="22" t="n">
        <x:f>DATE(C900,D900,1)</x:f>
        <x:v>42095</x:v>
      </x:c>
      <x:c r="C900" t="n">
        <x:v>2015</x:v>
      </x:c>
      <x:c r="D900" t="n">
        <x:v>4</x:v>
      </x:c>
      <x:c r="E900" t="str">
        <x:f>TEXT(B900,"mmm")</x:f>
        <x:v>Apr</x:v>
      </x:c>
      <x:c r="F900" t="str">
        <x:f>"Q"&amp;ROUNDUP(D900/3,0)</x:f>
        <x:v>Q2</x:v>
      </x:c>
      <x:c r="G900" s="23" t="n">
        <x:v>60</x:v>
      </x:c>
      <x:c r="H900" s="23" t="n">
        <x:v>53</x:v>
      </x:c>
      <x:c r="I900" s="23" t="n">
        <x:v>56.5</x:v>
      </x:c>
      <x:c r="J900" s="23" t="n">
        <x:f>G900-H900</x:f>
        <x:v>7</x:v>
      </x:c>
      <x:c r="K900" t="str">
        <x:v>OBSERVED</x:v>
      </x:c>
      <x:c r="L900" s="24" t="n">
        <x:v>17.426</x:v>
      </x:c>
      <x:c r="M900" s="24" t="n">
        <x:v>78.4573</x:v>
      </x:c>
      <x:c r="N900" t="str">
        <x:f>IF(I900&gt;70,"70+ dB",IF(I900&gt;55,"56-70 dB","41-55 dB"))</x:f>
        <x:v>56-70 dB</x:v>
      </x:c>
      <x:c r="O900" t="str">
        <x:f>IF(I900&gt;70,"High",IF(I900&gt;55,"Moderate","Low"))</x:f>
        <x:v>Moderate</x:v>
      </x:c>
      <x:c r="P900" t="str">
        <x:f>IF(I900&gt;=70,"Yes","No")</x:f>
        <x:v>No</x:v>
      </x:c>
      <x:c r="Q900" t="str">
        <x:f>TEXT(B900,"yyyy-mm")</x:f>
        <x:v>2015-04</x:v>
      </x:c>
    </x:row>
    <x:row r="901">
      <x:c r="A901" t="str">
        <x:v>HYD06</x:v>
      </x:c>
      <x:c r="B901" s="22" t="n">
        <x:f>DATE(C901,D901,1)</x:f>
        <x:v>42125</x:v>
      </x:c>
      <x:c r="C901" t="n">
        <x:v>2015</x:v>
      </x:c>
      <x:c r="D901" t="n">
        <x:v>5</x:v>
      </x:c>
      <x:c r="E901" t="str">
        <x:f>TEXT(B901,"mmm")</x:f>
        <x:v>May</x:v>
      </x:c>
      <x:c r="F901" t="str">
        <x:f>"Q"&amp;ROUNDUP(D901/3,0)</x:f>
        <x:v>Q2</x:v>
      </x:c>
      <x:c r="G901" s="23" t="n">
        <x:v>60</x:v>
      </x:c>
      <x:c r="H901" s="23" t="n">
        <x:v>54</x:v>
      </x:c>
      <x:c r="I901" s="23" t="n">
        <x:v>57</x:v>
      </x:c>
      <x:c r="J901" s="23" t="n">
        <x:f>G901-H901</x:f>
        <x:v>6</x:v>
      </x:c>
      <x:c r="K901" t="str">
        <x:v>OBSERVED</x:v>
      </x:c>
      <x:c r="L901" s="24" t="n">
        <x:v>17.426</x:v>
      </x:c>
      <x:c r="M901" s="24" t="n">
        <x:v>78.4573</x:v>
      </x:c>
      <x:c r="N901" t="str">
        <x:f>IF(I901&gt;70,"70+ dB",IF(I901&gt;55,"56-70 dB","41-55 dB"))</x:f>
        <x:v>56-70 dB</x:v>
      </x:c>
      <x:c r="O901" t="str">
        <x:f>IF(I901&gt;70,"High",IF(I901&gt;55,"Moderate","Low"))</x:f>
        <x:v>Moderate</x:v>
      </x:c>
      <x:c r="P901" t="str">
        <x:f>IF(I901&gt;=70,"Yes","No")</x:f>
        <x:v>No</x:v>
      </x:c>
      <x:c r="Q901" t="str">
        <x:f>TEXT(B901,"yyyy-mm")</x:f>
        <x:v>2015-05</x:v>
      </x:c>
    </x:row>
    <x:row r="902">
      <x:c r="A902" t="str">
        <x:v>HYD06</x:v>
      </x:c>
      <x:c r="B902" s="22" t="n">
        <x:f>DATE(C902,D902,1)</x:f>
        <x:v>42156</x:v>
      </x:c>
      <x:c r="C902" t="n">
        <x:v>2015</x:v>
      </x:c>
      <x:c r="D902" t="n">
        <x:v>6</x:v>
      </x:c>
      <x:c r="E902" t="str">
        <x:f>TEXT(B902,"mmm")</x:f>
        <x:v>Jun</x:v>
      </x:c>
      <x:c r="F902" t="str">
        <x:f>"Q"&amp;ROUNDUP(D902/3,0)</x:f>
        <x:v>Q2</x:v>
      </x:c>
      <x:c r="G902" s="23" t="n">
        <x:v>62</x:v>
      </x:c>
      <x:c r="H902" s="23" t="n">
        <x:v>59</x:v>
      </x:c>
      <x:c r="I902" s="23" t="n">
        <x:v>60.5</x:v>
      </x:c>
      <x:c r="J902" s="23" t="n">
        <x:f>G902-H902</x:f>
        <x:v>3</x:v>
      </x:c>
      <x:c r="K902" t="str">
        <x:v>OBSERVED</x:v>
      </x:c>
      <x:c r="L902" s="24" t="n">
        <x:v>17.426</x:v>
      </x:c>
      <x:c r="M902" s="24" t="n">
        <x:v>78.4573</x:v>
      </x:c>
      <x:c r="N902" t="str">
        <x:f>IF(I902&gt;70,"70+ dB",IF(I902&gt;55,"56-70 dB","41-55 dB"))</x:f>
        <x:v>56-70 dB</x:v>
      </x:c>
      <x:c r="O902" t="str">
        <x:f>IF(I902&gt;70,"High",IF(I902&gt;55,"Moderate","Low"))</x:f>
        <x:v>Moderate</x:v>
      </x:c>
      <x:c r="P902" t="str">
        <x:f>IF(I902&gt;=70,"Yes","No")</x:f>
        <x:v>No</x:v>
      </x:c>
      <x:c r="Q902" t="str">
        <x:f>TEXT(B902,"yyyy-mm")</x:f>
        <x:v>2015-06</x:v>
      </x:c>
    </x:row>
    <x:row r="903">
      <x:c r="A903" t="str">
        <x:v>HYD06</x:v>
      </x:c>
      <x:c r="B903" s="22" t="n">
        <x:f>DATE(C903,D903,1)</x:f>
        <x:v>42186</x:v>
      </x:c>
      <x:c r="C903" t="n">
        <x:v>2015</x:v>
      </x:c>
      <x:c r="D903" t="n">
        <x:v>7</x:v>
      </x:c>
      <x:c r="E903" t="str">
        <x:f>TEXT(B903,"mmm")</x:f>
        <x:v>Jul</x:v>
      </x:c>
      <x:c r="F903" t="str">
        <x:f>"Q"&amp;ROUNDUP(D903/3,0)</x:f>
        <x:v>Q3</x:v>
      </x:c>
      <x:c r="G903" s="23" t="n">
        <x:v>62</x:v>
      </x:c>
      <x:c r="H903" s="23" t="n">
        <x:v>59</x:v>
      </x:c>
      <x:c r="I903" s="23" t="n">
        <x:v>60.5</x:v>
      </x:c>
      <x:c r="J903" s="23" t="n">
        <x:f>G903-H903</x:f>
        <x:v>3</x:v>
      </x:c>
      <x:c r="K903" t="str">
        <x:v>OBSERVED</x:v>
      </x:c>
      <x:c r="L903" s="24" t="n">
        <x:v>17.426</x:v>
      </x:c>
      <x:c r="M903" s="24" t="n">
        <x:v>78.4573</x:v>
      </x:c>
      <x:c r="N903" t="str">
        <x:f>IF(I903&gt;70,"70+ dB",IF(I903&gt;55,"56-70 dB","41-55 dB"))</x:f>
        <x:v>56-70 dB</x:v>
      </x:c>
      <x:c r="O903" t="str">
        <x:f>IF(I903&gt;70,"High",IF(I903&gt;55,"Moderate","Low"))</x:f>
        <x:v>Moderate</x:v>
      </x:c>
      <x:c r="P903" t="str">
        <x:f>IF(I903&gt;=70,"Yes","No")</x:f>
        <x:v>No</x:v>
      </x:c>
      <x:c r="Q903" t="str">
        <x:f>TEXT(B903,"yyyy-mm")</x:f>
        <x:v>2015-07</x:v>
      </x:c>
    </x:row>
    <x:row r="904">
      <x:c r="A904" t="str">
        <x:v>HYD06</x:v>
      </x:c>
      <x:c r="B904" s="22" t="n">
        <x:f>DATE(C904,D904,1)</x:f>
        <x:v>42217</x:v>
      </x:c>
      <x:c r="C904" t="n">
        <x:v>2015</x:v>
      </x:c>
      <x:c r="D904" t="n">
        <x:v>8</x:v>
      </x:c>
      <x:c r="E904" t="str">
        <x:f>TEXT(B904,"mmm")</x:f>
        <x:v>Aug</x:v>
      </x:c>
      <x:c r="F904" t="str">
        <x:f>"Q"&amp;ROUNDUP(D904/3,0)</x:f>
        <x:v>Q3</x:v>
      </x:c>
      <x:c r="G904" s="23" t="n">
        <x:v>60</x:v>
      </x:c>
      <x:c r="H904" s="23" t="n">
        <x:v>54</x:v>
      </x:c>
      <x:c r="I904" s="23" t="n">
        <x:v>57</x:v>
      </x:c>
      <x:c r="J904" s="23" t="n">
        <x:f>G904-H904</x:f>
        <x:v>6</x:v>
      </x:c>
      <x:c r="K904" t="str">
        <x:v>OBSERVED</x:v>
      </x:c>
      <x:c r="L904" s="24" t="n">
        <x:v>17.426</x:v>
      </x:c>
      <x:c r="M904" s="24" t="n">
        <x:v>78.4573</x:v>
      </x:c>
      <x:c r="N904" t="str">
        <x:f>IF(I904&gt;70,"70+ dB",IF(I904&gt;55,"56-70 dB","41-55 dB"))</x:f>
        <x:v>56-70 dB</x:v>
      </x:c>
      <x:c r="O904" t="str">
        <x:f>IF(I904&gt;70,"High",IF(I904&gt;55,"Moderate","Low"))</x:f>
        <x:v>Moderate</x:v>
      </x:c>
      <x:c r="P904" t="str">
        <x:f>IF(I904&gt;=70,"Yes","No")</x:f>
        <x:v>No</x:v>
      </x:c>
      <x:c r="Q904" t="str">
        <x:f>TEXT(B904,"yyyy-mm")</x:f>
        <x:v>2015-08</x:v>
      </x:c>
    </x:row>
    <x:row r="905">
      <x:c r="A905" t="str">
        <x:v>HYD06</x:v>
      </x:c>
      <x:c r="B905" s="22" t="n">
        <x:f>DATE(C905,D905,1)</x:f>
        <x:v>42248</x:v>
      </x:c>
      <x:c r="C905" t="n">
        <x:v>2015</x:v>
      </x:c>
      <x:c r="D905" t="n">
        <x:v>9</x:v>
      </x:c>
      <x:c r="E905" t="str">
        <x:f>TEXT(B905,"mmm")</x:f>
        <x:v>Sep</x:v>
      </x:c>
      <x:c r="F905" t="str">
        <x:f>"Q"&amp;ROUNDUP(D905/3,0)</x:f>
        <x:v>Q3</x:v>
      </x:c>
      <x:c r="G905" s="23" t="n">
        <x:v>60</x:v>
      </x:c>
      <x:c r="H905" s="23" t="n">
        <x:v>52</x:v>
      </x:c>
      <x:c r="I905" s="23" t="n">
        <x:v>56</x:v>
      </x:c>
      <x:c r="J905" s="23" t="n">
        <x:f>G905-H905</x:f>
        <x:v>8</x:v>
      </x:c>
      <x:c r="K905" t="str">
        <x:v>OBSERVED</x:v>
      </x:c>
      <x:c r="L905" s="24" t="n">
        <x:v>17.426</x:v>
      </x:c>
      <x:c r="M905" s="24" t="n">
        <x:v>78.4573</x:v>
      </x:c>
      <x:c r="N905" t="str">
        <x:f>IF(I905&gt;70,"70+ dB",IF(I905&gt;55,"56-70 dB","41-55 dB"))</x:f>
        <x:v>56-70 dB</x:v>
      </x:c>
      <x:c r="O905" t="str">
        <x:f>IF(I905&gt;70,"High",IF(I905&gt;55,"Moderate","Low"))</x:f>
        <x:v>Moderate</x:v>
      </x:c>
      <x:c r="P905" t="str">
        <x:f>IF(I905&gt;=70,"Yes","No")</x:f>
        <x:v>No</x:v>
      </x:c>
      <x:c r="Q905" t="str">
        <x:f>TEXT(B905,"yyyy-mm")</x:f>
        <x:v>2015-09</x:v>
      </x:c>
    </x:row>
    <x:row r="906">
      <x:c r="A906" t="str">
        <x:v>HYD06</x:v>
      </x:c>
      <x:c r="B906" s="22" t="n">
        <x:f>DATE(C906,D906,1)</x:f>
        <x:v>42278</x:v>
      </x:c>
      <x:c r="C906" t="n">
        <x:v>2015</x:v>
      </x:c>
      <x:c r="D906" t="n">
        <x:v>10</x:v>
      </x:c>
      <x:c r="E906" t="str">
        <x:f>TEXT(B906,"mmm")</x:f>
        <x:v>Oct</x:v>
      </x:c>
      <x:c r="F906" t="str">
        <x:f>"Q"&amp;ROUNDUP(D906/3,0)</x:f>
        <x:v>Q4</x:v>
      </x:c>
      <x:c r="G906" s="23" t="n">
        <x:v>59</x:v>
      </x:c>
      <x:c r="H906" s="23" t="n">
        <x:v>50</x:v>
      </x:c>
      <x:c r="I906" s="23" t="n">
        <x:v>54.5</x:v>
      </x:c>
      <x:c r="J906" s="23" t="n">
        <x:f>G906-H906</x:f>
        <x:v>9</x:v>
      </x:c>
      <x:c r="K906" t="str">
        <x:v>OBSERVED</x:v>
      </x:c>
      <x:c r="L906" s="24" t="n">
        <x:v>17.426</x:v>
      </x:c>
      <x:c r="M906" s="24" t="n">
        <x:v>78.4573</x:v>
      </x:c>
      <x:c r="N906" t="str">
        <x:f>IF(I906&gt;70,"70+ dB",IF(I906&gt;55,"56-70 dB","41-55 dB"))</x:f>
        <x:v>41-55 dB</x:v>
      </x:c>
      <x:c r="O906" t="str">
        <x:f>IF(I906&gt;70,"High",IF(I906&gt;55,"Moderate","Low"))</x:f>
        <x:v>Low</x:v>
      </x:c>
      <x:c r="P906" t="str">
        <x:f>IF(I906&gt;=70,"Yes","No")</x:f>
        <x:v>No</x:v>
      </x:c>
      <x:c r="Q906" t="str">
        <x:f>TEXT(B906,"yyyy-mm")</x:f>
        <x:v>2015-10</x:v>
      </x:c>
    </x:row>
    <x:row r="907">
      <x:c r="A907" t="str">
        <x:v>HYD06</x:v>
      </x:c>
      <x:c r="B907" s="22" t="n">
        <x:f>DATE(C907,D907,1)</x:f>
        <x:v>42309</x:v>
      </x:c>
      <x:c r="C907" t="n">
        <x:v>2015</x:v>
      </x:c>
      <x:c r="D907" t="n">
        <x:v>11</x:v>
      </x:c>
      <x:c r="E907" t="str">
        <x:f>TEXT(B907,"mmm")</x:f>
        <x:v>Nov</x:v>
      </x:c>
      <x:c r="F907" t="str">
        <x:f>"Q"&amp;ROUNDUP(D907/3,0)</x:f>
        <x:v>Q4</x:v>
      </x:c>
      <x:c r="G907" s="23" t="n">
        <x:v>60</x:v>
      </x:c>
      <x:c r="H907" s="23" t="n">
        <x:v>50</x:v>
      </x:c>
      <x:c r="I907" s="23" t="n">
        <x:v>55</x:v>
      </x:c>
      <x:c r="J907" s="23" t="n">
        <x:f>G907-H907</x:f>
        <x:v>10</x:v>
      </x:c>
      <x:c r="K907" t="str">
        <x:v>OBSERVED</x:v>
      </x:c>
      <x:c r="L907" s="24" t="n">
        <x:v>17.426</x:v>
      </x:c>
      <x:c r="M907" s="24" t="n">
        <x:v>78.4573</x:v>
      </x:c>
      <x:c r="N907" t="str">
        <x:f>IF(I907&gt;70,"70+ dB",IF(I907&gt;55,"56-70 dB","41-55 dB"))</x:f>
        <x:v>41-55 dB</x:v>
      </x:c>
      <x:c r="O907" t="str">
        <x:f>IF(I907&gt;70,"High",IF(I907&gt;55,"Moderate","Low"))</x:f>
        <x:v>Low</x:v>
      </x:c>
      <x:c r="P907" t="str">
        <x:f>IF(I907&gt;=70,"Yes","No")</x:f>
        <x:v>No</x:v>
      </x:c>
      <x:c r="Q907" t="str">
        <x:f>TEXT(B907,"yyyy-mm")</x:f>
        <x:v>2015-11</x:v>
      </x:c>
    </x:row>
    <x:row r="908">
      <x:c r="A908" t="str">
        <x:v>HYD06</x:v>
      </x:c>
      <x:c r="B908" s="22" t="n">
        <x:f>DATE(C908,D908,1)</x:f>
        <x:v>42339</x:v>
      </x:c>
      <x:c r="C908" t="n">
        <x:v>2015</x:v>
      </x:c>
      <x:c r="D908" t="n">
        <x:v>12</x:v>
      </x:c>
      <x:c r="E908" t="str">
        <x:f>TEXT(B908,"mmm")</x:f>
        <x:v>Dec</x:v>
      </x:c>
      <x:c r="F908" t="str">
        <x:f>"Q"&amp;ROUNDUP(D908/3,0)</x:f>
        <x:v>Q4</x:v>
      </x:c>
      <x:c r="G908" s="23" t="n">
        <x:v>58</x:v>
      </x:c>
      <x:c r="H908" s="23" t="n">
        <x:v>50</x:v>
      </x:c>
      <x:c r="I908" s="23" t="n">
        <x:v>54</x:v>
      </x:c>
      <x:c r="J908" s="23" t="n">
        <x:f>G908-H908</x:f>
        <x:v>8</x:v>
      </x:c>
      <x:c r="K908" t="str">
        <x:v>OBSERVED</x:v>
      </x:c>
      <x:c r="L908" s="24" t="n">
        <x:v>17.426</x:v>
      </x:c>
      <x:c r="M908" s="24" t="n">
        <x:v>78.4573</x:v>
      </x:c>
      <x:c r="N908" t="str">
        <x:f>IF(I908&gt;70,"70+ dB",IF(I908&gt;55,"56-70 dB","41-55 dB"))</x:f>
        <x:v>41-55 dB</x:v>
      </x:c>
      <x:c r="O908" t="str">
        <x:f>IF(I908&gt;70,"High",IF(I908&gt;55,"Moderate","Low"))</x:f>
        <x:v>Low</x:v>
      </x:c>
      <x:c r="P908" t="str">
        <x:f>IF(I908&gt;=70,"Yes","No")</x:f>
        <x:v>No</x:v>
      </x:c>
      <x:c r="Q908" t="str">
        <x:f>TEXT(B908,"yyyy-mm")</x:f>
        <x:v>2015-12</x:v>
      </x:c>
    </x:row>
    <x:row r="909">
      <x:c r="A909" t="str">
        <x:v>HYD06</x:v>
      </x:c>
      <x:c r="B909" s="22" t="n">
        <x:f>DATE(C909,D909,1)</x:f>
        <x:v>42370</x:v>
      </x:c>
      <x:c r="C909" t="n">
        <x:v>2016</x:v>
      </x:c>
      <x:c r="D909" t="n">
        <x:v>1</x:v>
      </x:c>
      <x:c r="E909" t="str">
        <x:f>TEXT(B909,"mmm")</x:f>
        <x:v>Jan</x:v>
      </x:c>
      <x:c r="F909" t="str">
        <x:f>"Q"&amp;ROUNDUP(D909/3,0)</x:f>
        <x:v>Q1</x:v>
      </x:c>
      <x:c r="G909" s="23" t="n">
        <x:v>65</x:v>
      </x:c>
      <x:c r="H909" s="23" t="n">
        <x:v>61</x:v>
      </x:c>
      <x:c r="I909" s="23" t="n">
        <x:v>63</x:v>
      </x:c>
      <x:c r="J909" s="23" t="n">
        <x:f>G909-H909</x:f>
        <x:v>4</x:v>
      </x:c>
      <x:c r="K909" t="str">
        <x:v>OBSERVED</x:v>
      </x:c>
      <x:c r="L909" s="24" t="n">
        <x:v>17.426</x:v>
      </x:c>
      <x:c r="M909" s="24" t="n">
        <x:v>78.4573</x:v>
      </x:c>
      <x:c r="N909" t="str">
        <x:f>IF(I909&gt;70,"70+ dB",IF(I909&gt;55,"56-70 dB","41-55 dB"))</x:f>
        <x:v>56-70 dB</x:v>
      </x:c>
      <x:c r="O909" t="str">
        <x:f>IF(I909&gt;70,"High",IF(I909&gt;55,"Moderate","Low"))</x:f>
        <x:v>Moderate</x:v>
      </x:c>
      <x:c r="P909" t="str">
        <x:f>IF(I909&gt;=70,"Yes","No")</x:f>
        <x:v>No</x:v>
      </x:c>
      <x:c r="Q909" t="str">
        <x:f>TEXT(B909,"yyyy-mm")</x:f>
        <x:v>2016-01</x:v>
      </x:c>
    </x:row>
    <x:row r="910">
      <x:c r="A910" t="str">
        <x:v>HYD06</x:v>
      </x:c>
      <x:c r="B910" s="22" t="n">
        <x:f>DATE(C910,D910,1)</x:f>
        <x:v>42401</x:v>
      </x:c>
      <x:c r="C910" t="n">
        <x:v>2016</x:v>
      </x:c>
      <x:c r="D910" t="n">
        <x:v>2</x:v>
      </x:c>
      <x:c r="E910" t="str">
        <x:f>TEXT(B910,"mmm")</x:f>
        <x:v>Feb</x:v>
      </x:c>
      <x:c r="F910" t="str">
        <x:f>"Q"&amp;ROUNDUP(D910/3,0)</x:f>
        <x:v>Q1</x:v>
      </x:c>
      <x:c r="G910" s="23" t="n">
        <x:v>59</x:v>
      </x:c>
      <x:c r="H910" s="23" t="n">
        <x:v>50</x:v>
      </x:c>
      <x:c r="I910" s="23" t="n">
        <x:v>54.5</x:v>
      </x:c>
      <x:c r="J910" s="23" t="n">
        <x:f>G910-H910</x:f>
        <x:v>9</x:v>
      </x:c>
      <x:c r="K910" t="str">
        <x:v>OBSERVED</x:v>
      </x:c>
      <x:c r="L910" s="24" t="n">
        <x:v>17.426</x:v>
      </x:c>
      <x:c r="M910" s="24" t="n">
        <x:v>78.4573</x:v>
      </x:c>
      <x:c r="N910" t="str">
        <x:f>IF(I910&gt;70,"70+ dB",IF(I910&gt;55,"56-70 dB","41-55 dB"))</x:f>
        <x:v>41-55 dB</x:v>
      </x:c>
      <x:c r="O910" t="str">
        <x:f>IF(I910&gt;70,"High",IF(I910&gt;55,"Moderate","Low"))</x:f>
        <x:v>Low</x:v>
      </x:c>
      <x:c r="P910" t="str">
        <x:f>IF(I910&gt;=70,"Yes","No")</x:f>
        <x:v>No</x:v>
      </x:c>
      <x:c r="Q910" t="str">
        <x:f>TEXT(B910,"yyyy-mm")</x:f>
        <x:v>2016-02</x:v>
      </x:c>
    </x:row>
    <x:row r="911">
      <x:c r="A911" t="str">
        <x:v>HYD06</x:v>
      </x:c>
      <x:c r="B911" s="22" t="n">
        <x:f>DATE(C911,D911,1)</x:f>
        <x:v>42430</x:v>
      </x:c>
      <x:c r="C911" t="n">
        <x:v>2016</x:v>
      </x:c>
      <x:c r="D911" t="n">
        <x:v>3</x:v>
      </x:c>
      <x:c r="E911" t="str">
        <x:f>TEXT(B911,"mmm")</x:f>
        <x:v>Mar</x:v>
      </x:c>
      <x:c r="F911" t="str">
        <x:f>"Q"&amp;ROUNDUP(D911/3,0)</x:f>
        <x:v>Q1</x:v>
      </x:c>
      <x:c r="G911" s="23" t="n">
        <x:v>58</x:v>
      </x:c>
      <x:c r="H911" s="23" t="n">
        <x:v>50</x:v>
      </x:c>
      <x:c r="I911" s="23" t="n">
        <x:v>54</x:v>
      </x:c>
      <x:c r="J911" s="23" t="n">
        <x:f>G911-H911</x:f>
        <x:v>8</x:v>
      </x:c>
      <x:c r="K911" t="str">
        <x:v>OBSERVED</x:v>
      </x:c>
      <x:c r="L911" s="24" t="n">
        <x:v>17.426</x:v>
      </x:c>
      <x:c r="M911" s="24" t="n">
        <x:v>78.4573</x:v>
      </x:c>
      <x:c r="N911" t="str">
        <x:f>IF(I911&gt;70,"70+ dB",IF(I911&gt;55,"56-70 dB","41-55 dB"))</x:f>
        <x:v>41-55 dB</x:v>
      </x:c>
      <x:c r="O911" t="str">
        <x:f>IF(I911&gt;70,"High",IF(I911&gt;55,"Moderate","Low"))</x:f>
        <x:v>Low</x:v>
      </x:c>
      <x:c r="P911" t="str">
        <x:f>IF(I911&gt;=70,"Yes","No")</x:f>
        <x:v>No</x:v>
      </x:c>
      <x:c r="Q911" t="str">
        <x:f>TEXT(B911,"yyyy-mm")</x:f>
        <x:v>2016-03</x:v>
      </x:c>
    </x:row>
    <x:row r="912">
      <x:c r="A912" t="str">
        <x:v>HYD06</x:v>
      </x:c>
      <x:c r="B912" s="22" t="n">
        <x:f>DATE(C912,D912,1)</x:f>
        <x:v>42461</x:v>
      </x:c>
      <x:c r="C912" t="n">
        <x:v>2016</x:v>
      </x:c>
      <x:c r="D912" t="n">
        <x:v>4</x:v>
      </x:c>
      <x:c r="E912" t="str">
        <x:f>TEXT(B912,"mmm")</x:f>
        <x:v>Apr</x:v>
      </x:c>
      <x:c r="F912" t="str">
        <x:f>"Q"&amp;ROUNDUP(D912/3,0)</x:f>
        <x:v>Q2</x:v>
      </x:c>
      <x:c r="G912" s="23" t="n">
        <x:v>58</x:v>
      </x:c>
      <x:c r="H912" s="23" t="n">
        <x:v>51</x:v>
      </x:c>
      <x:c r="I912" s="23" t="n">
        <x:v>54.5</x:v>
      </x:c>
      <x:c r="J912" s="23" t="n">
        <x:f>G912-H912</x:f>
        <x:v>7</x:v>
      </x:c>
      <x:c r="K912" t="str">
        <x:v>OBSERVED</x:v>
      </x:c>
      <x:c r="L912" s="24" t="n">
        <x:v>17.426</x:v>
      </x:c>
      <x:c r="M912" s="24" t="n">
        <x:v>78.4573</x:v>
      </x:c>
      <x:c r="N912" t="str">
        <x:f>IF(I912&gt;70,"70+ dB",IF(I912&gt;55,"56-70 dB","41-55 dB"))</x:f>
        <x:v>41-55 dB</x:v>
      </x:c>
      <x:c r="O912" t="str">
        <x:f>IF(I912&gt;70,"High",IF(I912&gt;55,"Moderate","Low"))</x:f>
        <x:v>Low</x:v>
      </x:c>
      <x:c r="P912" t="str">
        <x:f>IF(I912&gt;=70,"Yes","No")</x:f>
        <x:v>No</x:v>
      </x:c>
      <x:c r="Q912" t="str">
        <x:f>TEXT(B912,"yyyy-mm")</x:f>
        <x:v>2016-04</x:v>
      </x:c>
    </x:row>
    <x:row r="913">
      <x:c r="A913" t="str">
        <x:v>HYD06</x:v>
      </x:c>
      <x:c r="B913" s="22" t="n">
        <x:f>DATE(C913,D913,1)</x:f>
        <x:v>42491</x:v>
      </x:c>
      <x:c r="C913" t="n">
        <x:v>2016</x:v>
      </x:c>
      <x:c r="D913" t="n">
        <x:v>5</x:v>
      </x:c>
      <x:c r="E913" t="str">
        <x:f>TEXT(B913,"mmm")</x:f>
        <x:v>May</x:v>
      </x:c>
      <x:c r="F913" t="str">
        <x:f>"Q"&amp;ROUNDUP(D913/3,0)</x:f>
        <x:v>Q2</x:v>
      </x:c>
      <x:c r="G913" s="23" t="n">
        <x:v>60</x:v>
      </x:c>
      <x:c r="H913" s="23" t="n">
        <x:v>57</x:v>
      </x:c>
      <x:c r="I913" s="23" t="n">
        <x:v>58.5</x:v>
      </x:c>
      <x:c r="J913" s="23" t="n">
        <x:f>G913-H913</x:f>
        <x:v>3</x:v>
      </x:c>
      <x:c r="K913" t="str">
        <x:v>OBSERVED</x:v>
      </x:c>
      <x:c r="L913" s="24" t="n">
        <x:v>17.426</x:v>
      </x:c>
      <x:c r="M913" s="24" t="n">
        <x:v>78.4573</x:v>
      </x:c>
      <x:c r="N913" t="str">
        <x:f>IF(I913&gt;70,"70+ dB",IF(I913&gt;55,"56-70 dB","41-55 dB"))</x:f>
        <x:v>56-70 dB</x:v>
      </x:c>
      <x:c r="O913" t="str">
        <x:f>IF(I913&gt;70,"High",IF(I913&gt;55,"Moderate","Low"))</x:f>
        <x:v>Moderate</x:v>
      </x:c>
      <x:c r="P913" t="str">
        <x:f>IF(I913&gt;=70,"Yes","No")</x:f>
        <x:v>No</x:v>
      </x:c>
      <x:c r="Q913" t="str">
        <x:f>TEXT(B913,"yyyy-mm")</x:f>
        <x:v>2016-05</x:v>
      </x:c>
    </x:row>
    <x:row r="914">
      <x:c r="A914" t="str">
        <x:v>HYD06</x:v>
      </x:c>
      <x:c r="B914" s="22" t="n">
        <x:f>DATE(C914,D914,1)</x:f>
        <x:v>42522</x:v>
      </x:c>
      <x:c r="C914" t="n">
        <x:v>2016</x:v>
      </x:c>
      <x:c r="D914" t="n">
        <x:v>6</x:v>
      </x:c>
      <x:c r="E914" t="str">
        <x:f>TEXT(B914,"mmm")</x:f>
        <x:v>Jun</x:v>
      </x:c>
      <x:c r="F914" t="str">
        <x:f>"Q"&amp;ROUNDUP(D914/3,0)</x:f>
        <x:v>Q2</x:v>
      </x:c>
      <x:c r="G914" s="23" t="n">
        <x:v>63</x:v>
      </x:c>
      <x:c r="H914" s="23" t="n">
        <x:v>61</x:v>
      </x:c>
      <x:c r="I914" s="23" t="n">
        <x:v>62</x:v>
      </x:c>
      <x:c r="J914" s="23" t="n">
        <x:f>G914-H914</x:f>
        <x:v>2</x:v>
      </x:c>
      <x:c r="K914" t="str">
        <x:v>OBSERVED</x:v>
      </x:c>
      <x:c r="L914" s="24" t="n">
        <x:v>17.426</x:v>
      </x:c>
      <x:c r="M914" s="24" t="n">
        <x:v>78.4573</x:v>
      </x:c>
      <x:c r="N914" t="str">
        <x:f>IF(I914&gt;70,"70+ dB",IF(I914&gt;55,"56-70 dB","41-55 dB"))</x:f>
        <x:v>56-70 dB</x:v>
      </x:c>
      <x:c r="O914" t="str">
        <x:f>IF(I914&gt;70,"High",IF(I914&gt;55,"Moderate","Low"))</x:f>
        <x:v>Moderate</x:v>
      </x:c>
      <x:c r="P914" t="str">
        <x:f>IF(I914&gt;=70,"Yes","No")</x:f>
        <x:v>No</x:v>
      </x:c>
      <x:c r="Q914" t="str">
        <x:f>TEXT(B914,"yyyy-mm")</x:f>
        <x:v>2016-06</x:v>
      </x:c>
    </x:row>
    <x:row r="915">
      <x:c r="A915" t="str">
        <x:v>HYD06</x:v>
      </x:c>
      <x:c r="B915" s="22" t="n">
        <x:f>DATE(C915,D915,1)</x:f>
        <x:v>42552</x:v>
      </x:c>
      <x:c r="C915" t="n">
        <x:v>2016</x:v>
      </x:c>
      <x:c r="D915" t="n">
        <x:v>7</x:v>
      </x:c>
      <x:c r="E915" t="str">
        <x:f>TEXT(B915,"mmm")</x:f>
        <x:v>Jul</x:v>
      </x:c>
      <x:c r="F915" t="str">
        <x:f>"Q"&amp;ROUNDUP(D915/3,0)</x:f>
        <x:v>Q3</x:v>
      </x:c>
      <x:c r="G915" s="23" t="n">
        <x:v>64</x:v>
      </x:c>
      <x:c r="H915" s="23" t="n">
        <x:v>61</x:v>
      </x:c>
      <x:c r="I915" s="23" t="n">
        <x:v>62.5</x:v>
      </x:c>
      <x:c r="J915" s="23" t="n">
        <x:f>G915-H915</x:f>
        <x:v>3</x:v>
      </x:c>
      <x:c r="K915" t="str">
        <x:v>OBSERVED</x:v>
      </x:c>
      <x:c r="L915" s="24" t="n">
        <x:v>17.426</x:v>
      </x:c>
      <x:c r="M915" s="24" t="n">
        <x:v>78.4573</x:v>
      </x:c>
      <x:c r="N915" t="str">
        <x:f>IF(I915&gt;70,"70+ dB",IF(I915&gt;55,"56-70 dB","41-55 dB"))</x:f>
        <x:v>56-70 dB</x:v>
      </x:c>
      <x:c r="O915" t="str">
        <x:f>IF(I915&gt;70,"High",IF(I915&gt;55,"Moderate","Low"))</x:f>
        <x:v>Moderate</x:v>
      </x:c>
      <x:c r="P915" t="str">
        <x:f>IF(I915&gt;=70,"Yes","No")</x:f>
        <x:v>No</x:v>
      </x:c>
      <x:c r="Q915" t="str">
        <x:f>TEXT(B915,"yyyy-mm")</x:f>
        <x:v>2016-07</x:v>
      </x:c>
    </x:row>
    <x:row r="916">
      <x:c r="A916" t="str">
        <x:v>HYD06</x:v>
      </x:c>
      <x:c r="B916" s="22" t="n">
        <x:f>DATE(C916,D916,1)</x:f>
        <x:v>42583</x:v>
      </x:c>
      <x:c r="C916" t="n">
        <x:v>2016</x:v>
      </x:c>
      <x:c r="D916" t="n">
        <x:v>8</x:v>
      </x:c>
      <x:c r="E916" t="str">
        <x:f>TEXT(B916,"mmm")</x:f>
        <x:v>Aug</x:v>
      </x:c>
      <x:c r="F916" t="str">
        <x:f>"Q"&amp;ROUNDUP(D916/3,0)</x:f>
        <x:v>Q3</x:v>
      </x:c>
      <x:c r="G916" s="23" t="n">
        <x:v>63</x:v>
      </x:c>
      <x:c r="H916" s="23" t="n">
        <x:v>62</x:v>
      </x:c>
      <x:c r="I916" s="23" t="n">
        <x:v>62.5</x:v>
      </x:c>
      <x:c r="J916" s="23" t="n">
        <x:f>G916-H916</x:f>
        <x:v>1</x:v>
      </x:c>
      <x:c r="K916" t="str">
        <x:v>OBSERVED</x:v>
      </x:c>
      <x:c r="L916" s="24" t="n">
        <x:v>17.426</x:v>
      </x:c>
      <x:c r="M916" s="24" t="n">
        <x:v>78.4573</x:v>
      </x:c>
      <x:c r="N916" t="str">
        <x:f>IF(I916&gt;70,"70+ dB",IF(I916&gt;55,"56-70 dB","41-55 dB"))</x:f>
        <x:v>56-70 dB</x:v>
      </x:c>
      <x:c r="O916" t="str">
        <x:f>IF(I916&gt;70,"High",IF(I916&gt;55,"Moderate","Low"))</x:f>
        <x:v>Moderate</x:v>
      </x:c>
      <x:c r="P916" t="str">
        <x:f>IF(I916&gt;=70,"Yes","No")</x:f>
        <x:v>No</x:v>
      </x:c>
      <x:c r="Q916" t="str">
        <x:f>TEXT(B916,"yyyy-mm")</x:f>
        <x:v>2016-08</x:v>
      </x:c>
    </x:row>
    <x:row r="917">
      <x:c r="A917" t="str">
        <x:v>HYD06</x:v>
      </x:c>
      <x:c r="B917" s="22" t="n">
        <x:f>DATE(C917,D917,1)</x:f>
        <x:v>42614</x:v>
      </x:c>
      <x:c r="C917" t="n">
        <x:v>2016</x:v>
      </x:c>
      <x:c r="D917" t="n">
        <x:v>9</x:v>
      </x:c>
      <x:c r="E917" t="str">
        <x:f>TEXT(B917,"mmm")</x:f>
        <x:v>Sep</x:v>
      </x:c>
      <x:c r="F917" t="str">
        <x:f>"Q"&amp;ROUNDUP(D917/3,0)</x:f>
        <x:v>Q3</x:v>
      </x:c>
      <x:c r="G917" s="23" t="n">
        <x:v>66</x:v>
      </x:c>
      <x:c r="H917" s="23" t="n">
        <x:v>66</x:v>
      </x:c>
      <x:c r="I917" s="23" t="n">
        <x:v>66</x:v>
      </x:c>
      <x:c r="J917" s="23" t="n">
        <x:f>G917-H917</x:f>
        <x:v>0</x:v>
      </x:c>
      <x:c r="K917" t="str">
        <x:v>OBSERVED</x:v>
      </x:c>
      <x:c r="L917" s="24" t="n">
        <x:v>17.426</x:v>
      </x:c>
      <x:c r="M917" s="24" t="n">
        <x:v>78.4573</x:v>
      </x:c>
      <x:c r="N917" t="str">
        <x:f>IF(I917&gt;70,"70+ dB",IF(I917&gt;55,"56-70 dB","41-55 dB"))</x:f>
        <x:v>56-70 dB</x:v>
      </x:c>
      <x:c r="O917" t="str">
        <x:f>IF(I917&gt;70,"High",IF(I917&gt;55,"Moderate","Low"))</x:f>
        <x:v>Moderate</x:v>
      </x:c>
      <x:c r="P917" t="str">
        <x:f>IF(I917&gt;=70,"Yes","No")</x:f>
        <x:v>No</x:v>
      </x:c>
      <x:c r="Q917" t="str">
        <x:f>TEXT(B917,"yyyy-mm")</x:f>
        <x:v>2016-09</x:v>
      </x:c>
    </x:row>
    <x:row r="918">
      <x:c r="A918" t="str">
        <x:v>HYD06</x:v>
      </x:c>
      <x:c r="B918" s="22" t="n">
        <x:f>DATE(C918,D918,1)</x:f>
        <x:v>42644</x:v>
      </x:c>
      <x:c r="C918" t="n">
        <x:v>2016</x:v>
      </x:c>
      <x:c r="D918" t="n">
        <x:v>10</x:v>
      </x:c>
      <x:c r="E918" t="str">
        <x:f>TEXT(B918,"mmm")</x:f>
        <x:v>Oct</x:v>
      </x:c>
      <x:c r="F918" t="str">
        <x:f>"Q"&amp;ROUNDUP(D918/3,0)</x:f>
        <x:v>Q4</x:v>
      </x:c>
      <x:c r="G918" s="23" t="n">
        <x:v>62</x:v>
      </x:c>
      <x:c r="H918" s="23" t="n">
        <x:v>52</x:v>
      </x:c>
      <x:c r="I918" s="23" t="n">
        <x:v>57</x:v>
      </x:c>
      <x:c r="J918" s="23" t="n">
        <x:f>G918-H918</x:f>
        <x:v>10</x:v>
      </x:c>
      <x:c r="K918" t="str">
        <x:v>OBSERVED</x:v>
      </x:c>
      <x:c r="L918" s="24" t="n">
        <x:v>17.426</x:v>
      </x:c>
      <x:c r="M918" s="24" t="n">
        <x:v>78.4573</x:v>
      </x:c>
      <x:c r="N918" t="str">
        <x:f>IF(I918&gt;70,"70+ dB",IF(I918&gt;55,"56-70 dB","41-55 dB"))</x:f>
        <x:v>56-70 dB</x:v>
      </x:c>
      <x:c r="O918" t="str">
        <x:f>IF(I918&gt;70,"High",IF(I918&gt;55,"Moderate","Low"))</x:f>
        <x:v>Moderate</x:v>
      </x:c>
      <x:c r="P918" t="str">
        <x:f>IF(I918&gt;=70,"Yes","No")</x:f>
        <x:v>No</x:v>
      </x:c>
      <x:c r="Q918" t="str">
        <x:f>TEXT(B918,"yyyy-mm")</x:f>
        <x:v>2016-10</x:v>
      </x:c>
    </x:row>
    <x:row r="919">
      <x:c r="A919" t="str">
        <x:v>HYD06</x:v>
      </x:c>
      <x:c r="B919" s="22" t="n">
        <x:f>DATE(C919,D919,1)</x:f>
        <x:v>42675</x:v>
      </x:c>
      <x:c r="C919" t="n">
        <x:v>2016</x:v>
      </x:c>
      <x:c r="D919" t="n">
        <x:v>11</x:v>
      </x:c>
      <x:c r="E919" t="str">
        <x:f>TEXT(B919,"mmm")</x:f>
        <x:v>Nov</x:v>
      </x:c>
      <x:c r="F919" t="str">
        <x:f>"Q"&amp;ROUNDUP(D919/3,0)</x:f>
        <x:v>Q4</x:v>
      </x:c>
      <x:c r="G919" s="23" t="n">
        <x:v>59</x:v>
      </x:c>
      <x:c r="H919" s="23" t="n">
        <x:v>52</x:v>
      </x:c>
      <x:c r="I919" s="23" t="n">
        <x:v>55.5</x:v>
      </x:c>
      <x:c r="J919" s="23" t="n">
        <x:f>G919-H919</x:f>
        <x:v>7</x:v>
      </x:c>
      <x:c r="K919" t="str">
        <x:v>OBSERVED</x:v>
      </x:c>
      <x:c r="L919" s="24" t="n">
        <x:v>17.426</x:v>
      </x:c>
      <x:c r="M919" s="24" t="n">
        <x:v>78.4573</x:v>
      </x:c>
      <x:c r="N919" t="str">
        <x:f>IF(I919&gt;70,"70+ dB",IF(I919&gt;55,"56-70 dB","41-55 dB"))</x:f>
        <x:v>56-70 dB</x:v>
      </x:c>
      <x:c r="O919" t="str">
        <x:f>IF(I919&gt;70,"High",IF(I919&gt;55,"Moderate","Low"))</x:f>
        <x:v>Moderate</x:v>
      </x:c>
      <x:c r="P919" t="str">
        <x:f>IF(I919&gt;=70,"Yes","No")</x:f>
        <x:v>No</x:v>
      </x:c>
      <x:c r="Q919" t="str">
        <x:f>TEXT(B919,"yyyy-mm")</x:f>
        <x:v>2016-11</x:v>
      </x:c>
    </x:row>
    <x:row r="920">
      <x:c r="A920" t="str">
        <x:v>HYD06</x:v>
      </x:c>
      <x:c r="B920" s="22" t="n">
        <x:f>DATE(C920,D920,1)</x:f>
        <x:v>42705</x:v>
      </x:c>
      <x:c r="C920" t="n">
        <x:v>2016</x:v>
      </x:c>
      <x:c r="D920" t="n">
        <x:v>12</x:v>
      </x:c>
      <x:c r="E920" t="str">
        <x:f>TEXT(B920,"mmm")</x:f>
        <x:v>Dec</x:v>
      </x:c>
      <x:c r="F920" t="str">
        <x:f>"Q"&amp;ROUNDUP(D920/3,0)</x:f>
        <x:v>Q4</x:v>
      </x:c>
      <x:c r="G920" s="23" t="n">
        <x:v>61</x:v>
      </x:c>
      <x:c r="H920" s="23" t="n">
        <x:v>59</x:v>
      </x:c>
      <x:c r="I920" s="23" t="n">
        <x:v>60</x:v>
      </x:c>
      <x:c r="J920" s="23" t="n">
        <x:f>G920-H920</x:f>
        <x:v>2</x:v>
      </x:c>
      <x:c r="K920" t="str">
        <x:v>OBSERVED</x:v>
      </x:c>
      <x:c r="L920" s="24" t="n">
        <x:v>17.426</x:v>
      </x:c>
      <x:c r="M920" s="24" t="n">
        <x:v>78.4573</x:v>
      </x:c>
      <x:c r="N920" t="str">
        <x:f>IF(I920&gt;70,"70+ dB",IF(I920&gt;55,"56-70 dB","41-55 dB"))</x:f>
        <x:v>56-70 dB</x:v>
      </x:c>
      <x:c r="O920" t="str">
        <x:f>IF(I920&gt;70,"High",IF(I920&gt;55,"Moderate","Low"))</x:f>
        <x:v>Moderate</x:v>
      </x:c>
      <x:c r="P920" t="str">
        <x:f>IF(I920&gt;=70,"Yes","No")</x:f>
        <x:v>No</x:v>
      </x:c>
      <x:c r="Q920" t="str">
        <x:f>TEXT(B920,"yyyy-mm")</x:f>
        <x:v>2016-12</x:v>
      </x:c>
    </x:row>
    <x:row r="921">
      <x:c r="A921" t="str">
        <x:v>HYD06</x:v>
      </x:c>
      <x:c r="B921" s="22" t="n">
        <x:f>DATE(C921,D921,1)</x:f>
        <x:v>42736</x:v>
      </x:c>
      <x:c r="C921" t="n">
        <x:v>2017</x:v>
      </x:c>
      <x:c r="D921" t="n">
        <x:v>1</x:v>
      </x:c>
      <x:c r="E921" t="str">
        <x:f>TEXT(B921,"mmm")</x:f>
        <x:v>Jan</x:v>
      </x:c>
      <x:c r="F921" t="str">
        <x:f>"Q"&amp;ROUNDUP(D921/3,0)</x:f>
        <x:v>Q1</x:v>
      </x:c>
      <x:c r="G921" s="23" t="n">
        <x:v>66</x:v>
      </x:c>
      <x:c r="H921" s="23" t="n">
        <x:v>54</x:v>
      </x:c>
      <x:c r="I921" s="23" t="n">
        <x:v>60</x:v>
      </x:c>
      <x:c r="J921" s="23" t="n">
        <x:f>G921-H921</x:f>
        <x:v>12</x:v>
      </x:c>
      <x:c r="K921" t="str">
        <x:v>OBSERVED</x:v>
      </x:c>
      <x:c r="L921" s="24" t="n">
        <x:v>17.426</x:v>
      </x:c>
      <x:c r="M921" s="24" t="n">
        <x:v>78.4573</x:v>
      </x:c>
      <x:c r="N921" t="str">
        <x:f>IF(I921&gt;70,"70+ dB",IF(I921&gt;55,"56-70 dB","41-55 dB"))</x:f>
        <x:v>56-70 dB</x:v>
      </x:c>
      <x:c r="O921" t="str">
        <x:f>IF(I921&gt;70,"High",IF(I921&gt;55,"Moderate","Low"))</x:f>
        <x:v>Moderate</x:v>
      </x:c>
      <x:c r="P921" t="str">
        <x:f>IF(I921&gt;=70,"Yes","No")</x:f>
        <x:v>No</x:v>
      </x:c>
      <x:c r="Q921" t="str">
        <x:f>TEXT(B921,"yyyy-mm")</x:f>
        <x:v>2017-01</x:v>
      </x:c>
    </x:row>
    <x:row r="922">
      <x:c r="A922" t="str">
        <x:v>HYD06</x:v>
      </x:c>
      <x:c r="B922" s="22" t="n">
        <x:f>DATE(C922,D922,1)</x:f>
        <x:v>42767</x:v>
      </x:c>
      <x:c r="C922" t="n">
        <x:v>2017</x:v>
      </x:c>
      <x:c r="D922" t="n">
        <x:v>2</x:v>
      </x:c>
      <x:c r="E922" t="str">
        <x:f>TEXT(B922,"mmm")</x:f>
        <x:v>Feb</x:v>
      </x:c>
      <x:c r="F922" t="str">
        <x:f>"Q"&amp;ROUNDUP(D922/3,0)</x:f>
        <x:v>Q1</x:v>
      </x:c>
      <x:c r="G922" s="23" t="n">
        <x:v>74</x:v>
      </x:c>
      <x:c r="H922" s="23" t="n">
        <x:v>71</x:v>
      </x:c>
      <x:c r="I922" s="23" t="n">
        <x:v>72.5</x:v>
      </x:c>
      <x:c r="J922" s="23" t="n">
        <x:f>G922-H922</x:f>
        <x:v>3</x:v>
      </x:c>
      <x:c r="K922" t="str">
        <x:v>OBSERVED</x:v>
      </x:c>
      <x:c r="L922" s="24" t="n">
        <x:v>17.426</x:v>
      </x:c>
      <x:c r="M922" s="24" t="n">
        <x:v>78.4573</x:v>
      </x:c>
      <x:c r="N922" t="str">
        <x:f>IF(I922&gt;70,"70+ dB",IF(I922&gt;55,"56-70 dB","41-55 dB"))</x:f>
        <x:v>70+ dB</x:v>
      </x:c>
      <x:c r="O922" t="str">
        <x:f>IF(I922&gt;70,"High",IF(I922&gt;55,"Moderate","Low"))</x:f>
        <x:v>High</x:v>
      </x:c>
      <x:c r="P922" t="str">
        <x:f>IF(I922&gt;=70,"Yes","No")</x:f>
        <x:v>Yes</x:v>
      </x:c>
      <x:c r="Q922" t="str">
        <x:f>TEXT(B922,"yyyy-mm")</x:f>
        <x:v>2017-02</x:v>
      </x:c>
    </x:row>
    <x:row r="923">
      <x:c r="A923" t="str">
        <x:v>HYD06</x:v>
      </x:c>
      <x:c r="B923" s="22" t="n">
        <x:f>DATE(C923,D923,1)</x:f>
        <x:v>42795</x:v>
      </x:c>
      <x:c r="C923" t="n">
        <x:v>2017</x:v>
      </x:c>
      <x:c r="D923" t="n">
        <x:v>3</x:v>
      </x:c>
      <x:c r="E923" t="str">
        <x:f>TEXT(B923,"mmm")</x:f>
        <x:v>Mar</x:v>
      </x:c>
      <x:c r="F923" t="str">
        <x:f>"Q"&amp;ROUNDUP(D923/3,0)</x:f>
        <x:v>Q1</x:v>
      </x:c>
      <x:c r="G923" s="23" t="n">
        <x:v>63</x:v>
      </x:c>
      <x:c r="H923" s="23" t="n">
        <x:v>52</x:v>
      </x:c>
      <x:c r="I923" s="23" t="n">
        <x:v>57.5</x:v>
      </x:c>
      <x:c r="J923" s="23" t="n">
        <x:f>G923-H923</x:f>
        <x:v>11</x:v>
      </x:c>
      <x:c r="K923" t="str">
        <x:v>OBSERVED</x:v>
      </x:c>
      <x:c r="L923" s="24" t="n">
        <x:v>17.426</x:v>
      </x:c>
      <x:c r="M923" s="24" t="n">
        <x:v>78.4573</x:v>
      </x:c>
      <x:c r="N923" t="str">
        <x:f>IF(I923&gt;70,"70+ dB",IF(I923&gt;55,"56-70 dB","41-55 dB"))</x:f>
        <x:v>56-70 dB</x:v>
      </x:c>
      <x:c r="O923" t="str">
        <x:f>IF(I923&gt;70,"High",IF(I923&gt;55,"Moderate","Low"))</x:f>
        <x:v>Moderate</x:v>
      </x:c>
      <x:c r="P923" t="str">
        <x:f>IF(I923&gt;=70,"Yes","No")</x:f>
        <x:v>No</x:v>
      </x:c>
      <x:c r="Q923" t="str">
        <x:f>TEXT(B923,"yyyy-mm")</x:f>
        <x:v>2017-03</x:v>
      </x:c>
    </x:row>
    <x:row r="924">
      <x:c r="A924" t="str">
        <x:v>HYD06</x:v>
      </x:c>
      <x:c r="B924" s="22" t="n">
        <x:f>DATE(C924,D924,1)</x:f>
        <x:v>42826</x:v>
      </x:c>
      <x:c r="C924" t="n">
        <x:v>2017</x:v>
      </x:c>
      <x:c r="D924" t="n">
        <x:v>4</x:v>
      </x:c>
      <x:c r="E924" t="str">
        <x:f>TEXT(B924,"mmm")</x:f>
        <x:v>Apr</x:v>
      </x:c>
      <x:c r="F924" t="str">
        <x:f>"Q"&amp;ROUNDUP(D924/3,0)</x:f>
        <x:v>Q2</x:v>
      </x:c>
      <x:c r="G924" s="23" t="n">
        <x:v>78</x:v>
      </x:c>
      <x:c r="H924" s="23" t="n">
        <x:v>75</x:v>
      </x:c>
      <x:c r="I924" s="23" t="n">
        <x:v>76.5</x:v>
      </x:c>
      <x:c r="J924" s="23" t="n">
        <x:f>G924-H924</x:f>
        <x:v>3</x:v>
      </x:c>
      <x:c r="K924" t="str">
        <x:v>OBSERVED</x:v>
      </x:c>
      <x:c r="L924" s="24" t="n">
        <x:v>17.426</x:v>
      </x:c>
      <x:c r="M924" s="24" t="n">
        <x:v>78.4573</x:v>
      </x:c>
      <x:c r="N924" t="str">
        <x:f>IF(I924&gt;70,"70+ dB",IF(I924&gt;55,"56-70 dB","41-55 dB"))</x:f>
        <x:v>70+ dB</x:v>
      </x:c>
      <x:c r="O924" t="str">
        <x:f>IF(I924&gt;70,"High",IF(I924&gt;55,"Moderate","Low"))</x:f>
        <x:v>High</x:v>
      </x:c>
      <x:c r="P924" t="str">
        <x:f>IF(I924&gt;=70,"Yes","No")</x:f>
        <x:v>Yes</x:v>
      </x:c>
      <x:c r="Q924" t="str">
        <x:f>TEXT(B924,"yyyy-mm")</x:f>
        <x:v>2017-04</x:v>
      </x:c>
    </x:row>
    <x:row r="925">
      <x:c r="A925" t="str">
        <x:v>HYD06</x:v>
      </x:c>
      <x:c r="B925" s="22" t="n">
        <x:f>DATE(C925,D925,1)</x:f>
        <x:v>42856</x:v>
      </x:c>
      <x:c r="C925" t="n">
        <x:v>2017</x:v>
      </x:c>
      <x:c r="D925" t="n">
        <x:v>5</x:v>
      </x:c>
      <x:c r="E925" t="str">
        <x:f>TEXT(B925,"mmm")</x:f>
        <x:v>May</x:v>
      </x:c>
      <x:c r="F925" t="str">
        <x:f>"Q"&amp;ROUNDUP(D925/3,0)</x:f>
        <x:v>Q2</x:v>
      </x:c>
      <x:c r="G925" s="23" t="n">
        <x:v>61</x:v>
      </x:c>
      <x:c r="H925" s="23" t="n">
        <x:v>56</x:v>
      </x:c>
      <x:c r="I925" s="23" t="n">
        <x:v>58.5</x:v>
      </x:c>
      <x:c r="J925" s="23" t="n">
        <x:f>G925-H925</x:f>
        <x:v>5</x:v>
      </x:c>
      <x:c r="K925" t="str">
        <x:v>OBSERVED</x:v>
      </x:c>
      <x:c r="L925" s="24" t="n">
        <x:v>17.426</x:v>
      </x:c>
      <x:c r="M925" s="24" t="n">
        <x:v>78.4573</x:v>
      </x:c>
      <x:c r="N925" t="str">
        <x:f>IF(I925&gt;70,"70+ dB",IF(I925&gt;55,"56-70 dB","41-55 dB"))</x:f>
        <x:v>56-70 dB</x:v>
      </x:c>
      <x:c r="O925" t="str">
        <x:f>IF(I925&gt;70,"High",IF(I925&gt;55,"Moderate","Low"))</x:f>
        <x:v>Moderate</x:v>
      </x:c>
      <x:c r="P925" t="str">
        <x:f>IF(I925&gt;=70,"Yes","No")</x:f>
        <x:v>No</x:v>
      </x:c>
      <x:c r="Q925" t="str">
        <x:f>TEXT(B925,"yyyy-mm")</x:f>
        <x:v>2017-05</x:v>
      </x:c>
    </x:row>
    <x:row r="926">
      <x:c r="A926" t="str">
        <x:v>HYD06</x:v>
      </x:c>
      <x:c r="B926" s="22" t="n">
        <x:f>DATE(C926,D926,1)</x:f>
        <x:v>42887</x:v>
      </x:c>
      <x:c r="C926" t="n">
        <x:v>2017</x:v>
      </x:c>
      <x:c r="D926" t="n">
        <x:v>6</x:v>
      </x:c>
      <x:c r="E926" t="str">
        <x:f>TEXT(B926,"mmm")</x:f>
        <x:v>Jun</x:v>
      </x:c>
      <x:c r="F926" t="str">
        <x:f>"Q"&amp;ROUNDUP(D926/3,0)</x:f>
        <x:v>Q2</x:v>
      </x:c>
      <x:c r="G926" s="23" t="n">
        <x:v>63</x:v>
      </x:c>
      <x:c r="H926" s="23" t="n">
        <x:v>59</x:v>
      </x:c>
      <x:c r="I926" s="23" t="n">
        <x:v>61</x:v>
      </x:c>
      <x:c r="J926" s="23" t="n">
        <x:f>G926-H926</x:f>
        <x:v>4</x:v>
      </x:c>
      <x:c r="K926" t="str">
        <x:v>OBSERVED</x:v>
      </x:c>
      <x:c r="L926" s="24" t="n">
        <x:v>17.426</x:v>
      </x:c>
      <x:c r="M926" s="24" t="n">
        <x:v>78.4573</x:v>
      </x:c>
      <x:c r="N926" t="str">
        <x:f>IF(I926&gt;70,"70+ dB",IF(I926&gt;55,"56-70 dB","41-55 dB"))</x:f>
        <x:v>56-70 dB</x:v>
      </x:c>
      <x:c r="O926" t="str">
        <x:f>IF(I926&gt;70,"High",IF(I926&gt;55,"Moderate","Low"))</x:f>
        <x:v>Moderate</x:v>
      </x:c>
      <x:c r="P926" t="str">
        <x:f>IF(I926&gt;=70,"Yes","No")</x:f>
        <x:v>No</x:v>
      </x:c>
      <x:c r="Q926" t="str">
        <x:f>TEXT(B926,"yyyy-mm")</x:f>
        <x:v>2017-06</x:v>
      </x:c>
    </x:row>
    <x:row r="927">
      <x:c r="A927" t="str">
        <x:v>HYD06</x:v>
      </x:c>
      <x:c r="B927" s="22" t="n">
        <x:f>DATE(C927,D927,1)</x:f>
        <x:v>42917</x:v>
      </x:c>
      <x:c r="C927" t="n">
        <x:v>2017</x:v>
      </x:c>
      <x:c r="D927" t="n">
        <x:v>7</x:v>
      </x:c>
      <x:c r="E927" t="str">
        <x:f>TEXT(B927,"mmm")</x:f>
        <x:v>Jul</x:v>
      </x:c>
      <x:c r="F927" t="str">
        <x:f>"Q"&amp;ROUNDUP(D927/3,0)</x:f>
        <x:v>Q3</x:v>
      </x:c>
      <x:c r="G927" s="23" t="n">
        <x:v>64</x:v>
      </x:c>
      <x:c r="H927" s="23" t="n">
        <x:v>60</x:v>
      </x:c>
      <x:c r="I927" s="23" t="n">
        <x:v>62</x:v>
      </x:c>
      <x:c r="J927" s="23" t="n">
        <x:f>G927-H927</x:f>
        <x:v>4</x:v>
      </x:c>
      <x:c r="K927" t="str">
        <x:v>OBSERVED</x:v>
      </x:c>
      <x:c r="L927" s="24" t="n">
        <x:v>17.426</x:v>
      </x:c>
      <x:c r="M927" s="24" t="n">
        <x:v>78.4573</x:v>
      </x:c>
      <x:c r="N927" t="str">
        <x:f>IF(I927&gt;70,"70+ dB",IF(I927&gt;55,"56-70 dB","41-55 dB"))</x:f>
        <x:v>56-70 dB</x:v>
      </x:c>
      <x:c r="O927" t="str">
        <x:f>IF(I927&gt;70,"High",IF(I927&gt;55,"Moderate","Low"))</x:f>
        <x:v>Moderate</x:v>
      </x:c>
      <x:c r="P927" t="str">
        <x:f>IF(I927&gt;=70,"Yes","No")</x:f>
        <x:v>No</x:v>
      </x:c>
      <x:c r="Q927" t="str">
        <x:f>TEXT(B927,"yyyy-mm")</x:f>
        <x:v>2017-07</x:v>
      </x:c>
    </x:row>
    <x:row r="928">
      <x:c r="A928" t="str">
        <x:v>HYD06</x:v>
      </x:c>
      <x:c r="B928" s="22" t="n">
        <x:f>DATE(C928,D928,1)</x:f>
        <x:v>42948</x:v>
      </x:c>
      <x:c r="C928" t="n">
        <x:v>2017</x:v>
      </x:c>
      <x:c r="D928" t="n">
        <x:v>8</x:v>
      </x:c>
      <x:c r="E928" t="str">
        <x:f>TEXT(B928,"mmm")</x:f>
        <x:v>Aug</x:v>
      </x:c>
      <x:c r="F928" t="str">
        <x:f>"Q"&amp;ROUNDUP(D928/3,0)</x:f>
        <x:v>Q3</x:v>
      </x:c>
      <x:c r="G928" s="23" t="n">
        <x:v>62</x:v>
      </x:c>
      <x:c r="H928" s="23" t="n">
        <x:v>55</x:v>
      </x:c>
      <x:c r="I928" s="23" t="n">
        <x:v>58.5</x:v>
      </x:c>
      <x:c r="J928" s="23" t="n">
        <x:f>G928-H928</x:f>
        <x:v>7</x:v>
      </x:c>
      <x:c r="K928" t="str">
        <x:v>OBSERVED</x:v>
      </x:c>
      <x:c r="L928" s="24" t="n">
        <x:v>17.426</x:v>
      </x:c>
      <x:c r="M928" s="24" t="n">
        <x:v>78.4573</x:v>
      </x:c>
      <x:c r="N928" t="str">
        <x:f>IF(I928&gt;70,"70+ dB",IF(I928&gt;55,"56-70 dB","41-55 dB"))</x:f>
        <x:v>56-70 dB</x:v>
      </x:c>
      <x:c r="O928" t="str">
        <x:f>IF(I928&gt;70,"High",IF(I928&gt;55,"Moderate","Low"))</x:f>
        <x:v>Moderate</x:v>
      </x:c>
      <x:c r="P928" t="str">
        <x:f>IF(I928&gt;=70,"Yes","No")</x:f>
        <x:v>No</x:v>
      </x:c>
      <x:c r="Q928" t="str">
        <x:f>TEXT(B928,"yyyy-mm")</x:f>
        <x:v>2017-08</x:v>
      </x:c>
    </x:row>
    <x:row r="929">
      <x:c r="A929" t="str">
        <x:v>HYD06</x:v>
      </x:c>
      <x:c r="B929" s="22" t="n">
        <x:f>DATE(C929,D929,1)</x:f>
        <x:v>42979</x:v>
      </x:c>
      <x:c r="C929" t="n">
        <x:v>2017</x:v>
      </x:c>
      <x:c r="D929" t="n">
        <x:v>9</x:v>
      </x:c>
      <x:c r="E929" t="str">
        <x:f>TEXT(B929,"mmm")</x:f>
        <x:v>Sep</x:v>
      </x:c>
      <x:c r="F929" t="str">
        <x:f>"Q"&amp;ROUNDUP(D929/3,0)</x:f>
        <x:v>Q3</x:v>
      </x:c>
      <x:c r="G929" s="23" t="n">
        <x:v>61</x:v>
      </x:c>
      <x:c r="H929" s="23" t="n">
        <x:v>54</x:v>
      </x:c>
      <x:c r="I929" s="23" t="n">
        <x:v>57.5</x:v>
      </x:c>
      <x:c r="J929" s="23" t="n">
        <x:f>G929-H929</x:f>
        <x:v>7</x:v>
      </x:c>
      <x:c r="K929" t="str">
        <x:v>OBSERVED</x:v>
      </x:c>
      <x:c r="L929" s="24" t="n">
        <x:v>17.426</x:v>
      </x:c>
      <x:c r="M929" s="24" t="n">
        <x:v>78.4573</x:v>
      </x:c>
      <x:c r="N929" t="str">
        <x:f>IF(I929&gt;70,"70+ dB",IF(I929&gt;55,"56-70 dB","41-55 dB"))</x:f>
        <x:v>56-70 dB</x:v>
      </x:c>
      <x:c r="O929" t="str">
        <x:f>IF(I929&gt;70,"High",IF(I929&gt;55,"Moderate","Low"))</x:f>
        <x:v>Moderate</x:v>
      </x:c>
      <x:c r="P929" t="str">
        <x:f>IF(I929&gt;=70,"Yes","No")</x:f>
        <x:v>No</x:v>
      </x:c>
      <x:c r="Q929" t="str">
        <x:f>TEXT(B929,"yyyy-mm")</x:f>
        <x:v>2017-09</x:v>
      </x:c>
    </x:row>
    <x:row r="930">
      <x:c r="A930" t="str">
        <x:v>HYD06</x:v>
      </x:c>
      <x:c r="B930" s="22" t="n">
        <x:f>DATE(C930,D930,1)</x:f>
        <x:v>43009</x:v>
      </x:c>
      <x:c r="C930" t="n">
        <x:v>2017</x:v>
      </x:c>
      <x:c r="D930" t="n">
        <x:v>10</x:v>
      </x:c>
      <x:c r="E930" t="str">
        <x:f>TEXT(B930,"mmm")</x:f>
        <x:v>Oct</x:v>
      </x:c>
      <x:c r="F930" t="str">
        <x:f>"Q"&amp;ROUNDUP(D930/3,0)</x:f>
        <x:v>Q4</x:v>
      </x:c>
      <x:c r="G930" s="23" t="n">
        <x:v>60</x:v>
      </x:c>
      <x:c r="H930" s="23" t="n">
        <x:v>54</x:v>
      </x:c>
      <x:c r="I930" s="23" t="n">
        <x:v>57</x:v>
      </x:c>
      <x:c r="J930" s="23" t="n">
        <x:f>G930-H930</x:f>
        <x:v>6</x:v>
      </x:c>
      <x:c r="K930" t="str">
        <x:v>OBSERVED</x:v>
      </x:c>
      <x:c r="L930" s="24" t="n">
        <x:v>17.426</x:v>
      </x:c>
      <x:c r="M930" s="24" t="n">
        <x:v>78.4573</x:v>
      </x:c>
      <x:c r="N930" t="str">
        <x:f>IF(I930&gt;70,"70+ dB",IF(I930&gt;55,"56-70 dB","41-55 dB"))</x:f>
        <x:v>56-70 dB</x:v>
      </x:c>
      <x:c r="O930" t="str">
        <x:f>IF(I930&gt;70,"High",IF(I930&gt;55,"Moderate","Low"))</x:f>
        <x:v>Moderate</x:v>
      </x:c>
      <x:c r="P930" t="str">
        <x:f>IF(I930&gt;=70,"Yes","No")</x:f>
        <x:v>No</x:v>
      </x:c>
      <x:c r="Q930" t="str">
        <x:f>TEXT(B930,"yyyy-mm")</x:f>
        <x:v>2017-10</x:v>
      </x:c>
    </x:row>
    <x:row r="931">
      <x:c r="A931" t="str">
        <x:v>HYD06</x:v>
      </x:c>
      <x:c r="B931" s="22" t="n">
        <x:f>DATE(C931,D931,1)</x:f>
        <x:v>43040</x:v>
      </x:c>
      <x:c r="C931" t="n">
        <x:v>2017</x:v>
      </x:c>
      <x:c r="D931" t="n">
        <x:v>11</x:v>
      </x:c>
      <x:c r="E931" t="str">
        <x:f>TEXT(B931,"mmm")</x:f>
        <x:v>Nov</x:v>
      </x:c>
      <x:c r="F931" t="str">
        <x:f>"Q"&amp;ROUNDUP(D931/3,0)</x:f>
        <x:v>Q4</x:v>
      </x:c>
      <x:c r="G931" s="23" t="n">
        <x:v>65</x:v>
      </x:c>
      <x:c r="H931" s="23" t="n">
        <x:v>63</x:v>
      </x:c>
      <x:c r="I931" s="23" t="n">
        <x:v>64</x:v>
      </x:c>
      <x:c r="J931" s="23" t="n">
        <x:f>G931-H931</x:f>
        <x:v>2</x:v>
      </x:c>
      <x:c r="K931" t="str">
        <x:v>OBSERVED</x:v>
      </x:c>
      <x:c r="L931" s="24" t="n">
        <x:v>17.426</x:v>
      </x:c>
      <x:c r="M931" s="24" t="n">
        <x:v>78.4573</x:v>
      </x:c>
      <x:c r="N931" t="str">
        <x:f>IF(I931&gt;70,"70+ dB",IF(I931&gt;55,"56-70 dB","41-55 dB"))</x:f>
        <x:v>56-70 dB</x:v>
      </x:c>
      <x:c r="O931" t="str">
        <x:f>IF(I931&gt;70,"High",IF(I931&gt;55,"Moderate","Low"))</x:f>
        <x:v>Moderate</x:v>
      </x:c>
      <x:c r="P931" t="str">
        <x:f>IF(I931&gt;=70,"Yes","No")</x:f>
        <x:v>No</x:v>
      </x:c>
      <x:c r="Q931" t="str">
        <x:f>TEXT(B931,"yyyy-mm")</x:f>
        <x:v>2017-11</x:v>
      </x:c>
    </x:row>
    <x:row r="932">
      <x:c r="A932" t="str">
        <x:v>HYD06</x:v>
      </x:c>
      <x:c r="B932" s="22" t="n">
        <x:f>DATE(C932,D932,1)</x:f>
        <x:v>43070</x:v>
      </x:c>
      <x:c r="C932" t="n">
        <x:v>2017</x:v>
      </x:c>
      <x:c r="D932" t="n">
        <x:v>12</x:v>
      </x:c>
      <x:c r="E932" t="str">
        <x:f>TEXT(B932,"mmm")</x:f>
        <x:v>Dec</x:v>
      </x:c>
      <x:c r="F932" t="str">
        <x:f>"Q"&amp;ROUNDUP(D932/3,0)</x:f>
        <x:v>Q4</x:v>
      </x:c>
      <x:c r="G932" s="23" t="n">
        <x:v>60</x:v>
      </x:c>
      <x:c r="H932" s="23" t="n">
        <x:v>51</x:v>
      </x:c>
      <x:c r="I932" s="23" t="n">
        <x:v>55.5</x:v>
      </x:c>
      <x:c r="J932" s="23" t="n">
        <x:f>G932-H932</x:f>
        <x:v>9</x:v>
      </x:c>
      <x:c r="K932" t="str">
        <x:v>OBSERVED</x:v>
      </x:c>
      <x:c r="L932" s="24" t="n">
        <x:v>17.426</x:v>
      </x:c>
      <x:c r="M932" s="24" t="n">
        <x:v>78.4573</x:v>
      </x:c>
      <x:c r="N932" t="str">
        <x:f>IF(I932&gt;70,"70+ dB",IF(I932&gt;55,"56-70 dB","41-55 dB"))</x:f>
        <x:v>56-70 dB</x:v>
      </x:c>
      <x:c r="O932" t="str">
        <x:f>IF(I932&gt;70,"High",IF(I932&gt;55,"Moderate","Low"))</x:f>
        <x:v>Moderate</x:v>
      </x:c>
      <x:c r="P932" t="str">
        <x:f>IF(I932&gt;=70,"Yes","No")</x:f>
        <x:v>No</x:v>
      </x:c>
      <x:c r="Q932" t="str">
        <x:f>TEXT(B932,"yyyy-mm")</x:f>
        <x:v>2017-12</x:v>
      </x:c>
    </x:row>
    <x:row r="933">
      <x:c r="A933" t="str">
        <x:v>HYD06</x:v>
      </x:c>
      <x:c r="B933" s="22" t="n">
        <x:f>DATE(C933,D933,1)</x:f>
        <x:v>43101</x:v>
      </x:c>
      <x:c r="C933" t="n">
        <x:v>2018</x:v>
      </x:c>
      <x:c r="D933" t="n">
        <x:v>1</x:v>
      </x:c>
      <x:c r="E933" t="str">
        <x:f>TEXT(B933,"mmm")</x:f>
        <x:v>Jan</x:v>
      </x:c>
      <x:c r="F933" t="str">
        <x:f>"Q"&amp;ROUNDUP(D933/3,0)</x:f>
        <x:v>Q1</x:v>
      </x:c>
      <x:c r="G933" s="23" t="n">
        <x:v>60</x:v>
      </x:c>
      <x:c r="H933" s="23" t="n">
        <x:v>52</x:v>
      </x:c>
      <x:c r="I933" s="23" t="n">
        <x:v>56</x:v>
      </x:c>
      <x:c r="J933" s="23" t="n">
        <x:f>G933-H933</x:f>
        <x:v>8</x:v>
      </x:c>
      <x:c r="K933" t="str">
        <x:v>OBSERVED</x:v>
      </x:c>
      <x:c r="L933" s="24" t="n">
        <x:v>17.426</x:v>
      </x:c>
      <x:c r="M933" s="24" t="n">
        <x:v>78.4573</x:v>
      </x:c>
      <x:c r="N933" t="str">
        <x:f>IF(I933&gt;70,"70+ dB",IF(I933&gt;55,"56-70 dB","41-55 dB"))</x:f>
        <x:v>56-70 dB</x:v>
      </x:c>
      <x:c r="O933" t="str">
        <x:f>IF(I933&gt;70,"High",IF(I933&gt;55,"Moderate","Low"))</x:f>
        <x:v>Moderate</x:v>
      </x:c>
      <x:c r="P933" t="str">
        <x:f>IF(I933&gt;=70,"Yes","No")</x:f>
        <x:v>No</x:v>
      </x:c>
      <x:c r="Q933" t="str">
        <x:f>TEXT(B933,"yyyy-mm")</x:f>
        <x:v>2018-01</x:v>
      </x:c>
    </x:row>
    <x:row r="934">
      <x:c r="A934" t="str">
        <x:v>HYD06</x:v>
      </x:c>
      <x:c r="B934" s="22" t="n">
        <x:f>DATE(C934,D934,1)</x:f>
        <x:v>43132</x:v>
      </x:c>
      <x:c r="C934" t="n">
        <x:v>2018</x:v>
      </x:c>
      <x:c r="D934" t="n">
        <x:v>2</x:v>
      </x:c>
      <x:c r="E934" t="str">
        <x:f>TEXT(B934,"mmm")</x:f>
        <x:v>Feb</x:v>
      </x:c>
      <x:c r="F934" t="str">
        <x:f>"Q"&amp;ROUNDUP(D934/3,0)</x:f>
        <x:v>Q1</x:v>
      </x:c>
      <x:c r="G934" s="23" t="n">
        <x:v>60</x:v>
      </x:c>
      <x:c r="H934" s="23" t="n">
        <x:v>52</x:v>
      </x:c>
      <x:c r="I934" s="23" t="n">
        <x:v>56</x:v>
      </x:c>
      <x:c r="J934" s="23" t="n">
        <x:f>G934-H934</x:f>
        <x:v>8</x:v>
      </x:c>
      <x:c r="K934" t="str">
        <x:v>OBSERVED</x:v>
      </x:c>
      <x:c r="L934" s="24" t="n">
        <x:v>17.426</x:v>
      </x:c>
      <x:c r="M934" s="24" t="n">
        <x:v>78.4573</x:v>
      </x:c>
      <x:c r="N934" t="str">
        <x:f>IF(I934&gt;70,"70+ dB",IF(I934&gt;55,"56-70 dB","41-55 dB"))</x:f>
        <x:v>56-70 dB</x:v>
      </x:c>
      <x:c r="O934" t="str">
        <x:f>IF(I934&gt;70,"High",IF(I934&gt;55,"Moderate","Low"))</x:f>
        <x:v>Moderate</x:v>
      </x:c>
      <x:c r="P934" t="str">
        <x:f>IF(I934&gt;=70,"Yes","No")</x:f>
        <x:v>No</x:v>
      </x:c>
      <x:c r="Q934" t="str">
        <x:f>TEXT(B934,"yyyy-mm")</x:f>
        <x:v>2018-02</x:v>
      </x:c>
    </x:row>
    <x:row r="935">
      <x:c r="A935" t="str">
        <x:v>HYD06</x:v>
      </x:c>
      <x:c r="B935" s="22" t="n">
        <x:f>DATE(C935,D935,1)</x:f>
        <x:v>43160</x:v>
      </x:c>
      <x:c r="C935" t="n">
        <x:v>2018</x:v>
      </x:c>
      <x:c r="D935" t="n">
        <x:v>3</x:v>
      </x:c>
      <x:c r="E935" t="str">
        <x:f>TEXT(B935,"mmm")</x:f>
        <x:v>Mar</x:v>
      </x:c>
      <x:c r="F935" t="str">
        <x:f>"Q"&amp;ROUNDUP(D935/3,0)</x:f>
        <x:v>Q1</x:v>
      </x:c>
      <x:c r="G935" s="23" t="n">
        <x:v>60</x:v>
      </x:c>
      <x:c r="H935" s="23" t="n">
        <x:v>53</x:v>
      </x:c>
      <x:c r="I935" s="23" t="n">
        <x:v>56.5</x:v>
      </x:c>
      <x:c r="J935" s="23" t="n">
        <x:f>G935-H935</x:f>
        <x:v>7</x:v>
      </x:c>
      <x:c r="K935" t="str">
        <x:v>OBSERVED</x:v>
      </x:c>
      <x:c r="L935" s="24" t="n">
        <x:v>17.426</x:v>
      </x:c>
      <x:c r="M935" s="24" t="n">
        <x:v>78.4573</x:v>
      </x:c>
      <x:c r="N935" t="str">
        <x:f>IF(I935&gt;70,"70+ dB",IF(I935&gt;55,"56-70 dB","41-55 dB"))</x:f>
        <x:v>56-70 dB</x:v>
      </x:c>
      <x:c r="O935" t="str">
        <x:f>IF(I935&gt;70,"High",IF(I935&gt;55,"Moderate","Low"))</x:f>
        <x:v>Moderate</x:v>
      </x:c>
      <x:c r="P935" t="str">
        <x:f>IF(I935&gt;=70,"Yes","No")</x:f>
        <x:v>No</x:v>
      </x:c>
      <x:c r="Q935" t="str">
        <x:f>TEXT(B935,"yyyy-mm")</x:f>
        <x:v>2018-03</x:v>
      </x:c>
    </x:row>
    <x:row r="936">
      <x:c r="A936" t="str">
        <x:v>HYD06</x:v>
      </x:c>
      <x:c r="B936" s="22" t="n">
        <x:f>DATE(C936,D936,1)</x:f>
        <x:v>43191</x:v>
      </x:c>
      <x:c r="C936" t="n">
        <x:v>2018</x:v>
      </x:c>
      <x:c r="D936" t="n">
        <x:v>4</x:v>
      </x:c>
      <x:c r="E936" t="str">
        <x:f>TEXT(B936,"mmm")</x:f>
        <x:v>Apr</x:v>
      </x:c>
      <x:c r="F936" t="str">
        <x:f>"Q"&amp;ROUNDUP(D936/3,0)</x:f>
        <x:v>Q2</x:v>
      </x:c>
      <x:c r="G936" s="23" t="n">
        <x:v>60</x:v>
      </x:c>
      <x:c r="H936" s="23" t="n">
        <x:v>54</x:v>
      </x:c>
      <x:c r="I936" s="23" t="n">
        <x:v>57</x:v>
      </x:c>
      <x:c r="J936" s="23" t="n">
        <x:f>G936-H936</x:f>
        <x:v>6</x:v>
      </x:c>
      <x:c r="K936" t="str">
        <x:v>OBSERVED</x:v>
      </x:c>
      <x:c r="L936" s="24" t="n">
        <x:v>17.426</x:v>
      </x:c>
      <x:c r="M936" s="24" t="n">
        <x:v>78.4573</x:v>
      </x:c>
      <x:c r="N936" t="str">
        <x:f>IF(I936&gt;70,"70+ dB",IF(I936&gt;55,"56-70 dB","41-55 dB"))</x:f>
        <x:v>56-70 dB</x:v>
      </x:c>
      <x:c r="O936" t="str">
        <x:f>IF(I936&gt;70,"High",IF(I936&gt;55,"Moderate","Low"))</x:f>
        <x:v>Moderate</x:v>
      </x:c>
      <x:c r="P936" t="str">
        <x:f>IF(I936&gt;=70,"Yes","No")</x:f>
        <x:v>No</x:v>
      </x:c>
      <x:c r="Q936" t="str">
        <x:f>TEXT(B936,"yyyy-mm")</x:f>
        <x:v>2018-04</x:v>
      </x:c>
    </x:row>
    <x:row r="937">
      <x:c r="A937" t="str">
        <x:v>HYD06</x:v>
      </x:c>
      <x:c r="B937" s="22" t="n">
        <x:f>DATE(C937,D937,1)</x:f>
        <x:v>43221</x:v>
      </x:c>
      <x:c r="C937" t="n">
        <x:v>2018</x:v>
      </x:c>
      <x:c r="D937" t="n">
        <x:v>5</x:v>
      </x:c>
      <x:c r="E937" t="str">
        <x:f>TEXT(B937,"mmm")</x:f>
        <x:v>May</x:v>
      </x:c>
      <x:c r="F937" t="str">
        <x:f>"Q"&amp;ROUNDUP(D937/3,0)</x:f>
        <x:v>Q2</x:v>
      </x:c>
      <x:c r="G937" s="23" t="n">
        <x:v>59</x:v>
      </x:c>
      <x:c r="H937" s="23" t="n">
        <x:v>54</x:v>
      </x:c>
      <x:c r="I937" s="23" t="n">
        <x:v>56.5</x:v>
      </x:c>
      <x:c r="J937" s="23" t="n">
        <x:f>G937-H937</x:f>
        <x:v>5</x:v>
      </x:c>
      <x:c r="K937" t="str">
        <x:v>OBSERVED</x:v>
      </x:c>
      <x:c r="L937" s="24" t="n">
        <x:v>17.426</x:v>
      </x:c>
      <x:c r="M937" s="24" t="n">
        <x:v>78.4573</x:v>
      </x:c>
      <x:c r="N937" t="str">
        <x:f>IF(I937&gt;70,"70+ dB",IF(I937&gt;55,"56-70 dB","41-55 dB"))</x:f>
        <x:v>56-70 dB</x:v>
      </x:c>
      <x:c r="O937" t="str">
        <x:f>IF(I937&gt;70,"High",IF(I937&gt;55,"Moderate","Low"))</x:f>
        <x:v>Moderate</x:v>
      </x:c>
      <x:c r="P937" t="str">
        <x:f>IF(I937&gt;=70,"Yes","No")</x:f>
        <x:v>No</x:v>
      </x:c>
      <x:c r="Q937" t="str">
        <x:f>TEXT(B937,"yyyy-mm")</x:f>
        <x:v>2018-05</x:v>
      </x:c>
    </x:row>
    <x:row r="938">
      <x:c r="A938" t="str">
        <x:v>HYD06</x:v>
      </x:c>
      <x:c r="B938" s="22" t="n">
        <x:f>DATE(C938,D938,1)</x:f>
        <x:v>43252</x:v>
      </x:c>
      <x:c r="C938" t="n">
        <x:v>2018</x:v>
      </x:c>
      <x:c r="D938" t="n">
        <x:v>6</x:v>
      </x:c>
      <x:c r="E938" t="str">
        <x:f>TEXT(B938,"mmm")</x:f>
        <x:v>Jun</x:v>
      </x:c>
      <x:c r="F938" t="str">
        <x:f>"Q"&amp;ROUNDUP(D938/3,0)</x:f>
        <x:v>Q2</x:v>
      </x:c>
      <x:c r="G938" s="23" t="n">
        <x:v>62</x:v>
      </x:c>
      <x:c r="H938" s="23" t="n">
        <x:v>59</x:v>
      </x:c>
      <x:c r="I938" s="23" t="n">
        <x:v>60.5</x:v>
      </x:c>
      <x:c r="J938" s="23" t="n">
        <x:f>G938-H938</x:f>
        <x:v>3</x:v>
      </x:c>
      <x:c r="K938" t="str">
        <x:v>OBSERVED</x:v>
      </x:c>
      <x:c r="L938" s="24" t="n">
        <x:v>17.426</x:v>
      </x:c>
      <x:c r="M938" s="24" t="n">
        <x:v>78.4573</x:v>
      </x:c>
      <x:c r="N938" t="str">
        <x:f>IF(I938&gt;70,"70+ dB",IF(I938&gt;55,"56-70 dB","41-55 dB"))</x:f>
        <x:v>56-70 dB</x:v>
      </x:c>
      <x:c r="O938" t="str">
        <x:f>IF(I938&gt;70,"High",IF(I938&gt;55,"Moderate","Low"))</x:f>
        <x:v>Moderate</x:v>
      </x:c>
      <x:c r="P938" t="str">
        <x:f>IF(I938&gt;=70,"Yes","No")</x:f>
        <x:v>No</x:v>
      </x:c>
      <x:c r="Q938" t="str">
        <x:f>TEXT(B938,"yyyy-mm")</x:f>
        <x:v>2018-06</x:v>
      </x:c>
    </x:row>
    <x:row r="939">
      <x:c r="A939" t="str">
        <x:v>HYD06</x:v>
      </x:c>
      <x:c r="B939" s="22" t="n">
        <x:f>DATE(C939,D939,1)</x:f>
        <x:v>43282</x:v>
      </x:c>
      <x:c r="C939" t="n">
        <x:v>2018</x:v>
      </x:c>
      <x:c r="D939" t="n">
        <x:v>7</x:v>
      </x:c>
      <x:c r="E939" t="str">
        <x:f>TEXT(B939,"mmm")</x:f>
        <x:v>Jul</x:v>
      </x:c>
      <x:c r="F939" t="str">
        <x:f>"Q"&amp;ROUNDUP(D939/3,0)</x:f>
        <x:v>Q3</x:v>
      </x:c>
      <x:c r="G939" s="23" t="n">
        <x:v>64</x:v>
      </x:c>
      <x:c r="H939" s="23" t="n">
        <x:v>61</x:v>
      </x:c>
      <x:c r="I939" s="23" t="n">
        <x:v>62.5</x:v>
      </x:c>
      <x:c r="J939" s="23" t="n">
        <x:f>G939-H939</x:f>
        <x:v>3</x:v>
      </x:c>
      <x:c r="K939" t="str">
        <x:v>OBSERVED</x:v>
      </x:c>
      <x:c r="L939" s="24" t="n">
        <x:v>17.426</x:v>
      </x:c>
      <x:c r="M939" s="24" t="n">
        <x:v>78.4573</x:v>
      </x:c>
      <x:c r="N939" t="str">
        <x:f>IF(I939&gt;70,"70+ dB",IF(I939&gt;55,"56-70 dB","41-55 dB"))</x:f>
        <x:v>56-70 dB</x:v>
      </x:c>
      <x:c r="O939" t="str">
        <x:f>IF(I939&gt;70,"High",IF(I939&gt;55,"Moderate","Low"))</x:f>
        <x:v>Moderate</x:v>
      </x:c>
      <x:c r="P939" t="str">
        <x:f>IF(I939&gt;=70,"Yes","No")</x:f>
        <x:v>No</x:v>
      </x:c>
      <x:c r="Q939" t="str">
        <x:f>TEXT(B939,"yyyy-mm")</x:f>
        <x:v>2018-07</x:v>
      </x:c>
    </x:row>
    <x:row r="940">
      <x:c r="A940" t="str">
        <x:v>HYD06</x:v>
      </x:c>
      <x:c r="B940" s="22" t="n">
        <x:f>DATE(C940,D940,1)</x:f>
        <x:v>43313</x:v>
      </x:c>
      <x:c r="C940" t="n">
        <x:v>2018</x:v>
      </x:c>
      <x:c r="D940" t="n">
        <x:v>8</x:v>
      </x:c>
      <x:c r="E940" t="str">
        <x:f>TEXT(B940,"mmm")</x:f>
        <x:v>Aug</x:v>
      </x:c>
      <x:c r="F940" t="str">
        <x:f>"Q"&amp;ROUNDUP(D940/3,0)</x:f>
        <x:v>Q3</x:v>
      </x:c>
      <x:c r="G940" s="23" t="n">
        <x:v>64</x:v>
      </x:c>
      <x:c r="H940" s="23" t="n">
        <x:v>59</x:v>
      </x:c>
      <x:c r="I940" s="23" t="n">
        <x:v>61.5</x:v>
      </x:c>
      <x:c r="J940" s="23" t="n">
        <x:f>G940-H940</x:f>
        <x:v>5</x:v>
      </x:c>
      <x:c r="K940" t="str">
        <x:v>OBSERVED</x:v>
      </x:c>
      <x:c r="L940" s="24" t="n">
        <x:v>17.426</x:v>
      </x:c>
      <x:c r="M940" s="24" t="n">
        <x:v>78.4573</x:v>
      </x:c>
      <x:c r="N940" t="str">
        <x:f>IF(I940&gt;70,"70+ dB",IF(I940&gt;55,"56-70 dB","41-55 dB"))</x:f>
        <x:v>56-70 dB</x:v>
      </x:c>
      <x:c r="O940" t="str">
        <x:f>IF(I940&gt;70,"High",IF(I940&gt;55,"Moderate","Low"))</x:f>
        <x:v>Moderate</x:v>
      </x:c>
      <x:c r="P940" t="str">
        <x:f>IF(I940&gt;=70,"Yes","No")</x:f>
        <x:v>No</x:v>
      </x:c>
      <x:c r="Q940" t="str">
        <x:f>TEXT(B940,"yyyy-mm")</x:f>
        <x:v>2018-08</x:v>
      </x:c>
    </x:row>
    <x:row r="941">
      <x:c r="A941" t="str">
        <x:v>HYD06</x:v>
      </x:c>
      <x:c r="B941" s="22" t="n">
        <x:f>DATE(C941,D941,1)</x:f>
        <x:v>43344</x:v>
      </x:c>
      <x:c r="C941" t="n">
        <x:v>2018</x:v>
      </x:c>
      <x:c r="D941" t="n">
        <x:v>9</x:v>
      </x:c>
      <x:c r="E941" t="str">
        <x:f>TEXT(B941,"mmm")</x:f>
        <x:v>Sep</x:v>
      </x:c>
      <x:c r="F941" t="str">
        <x:f>"Q"&amp;ROUNDUP(D941/3,0)</x:f>
        <x:v>Q3</x:v>
      </x:c>
      <x:c r="G941" s="23" t="n">
        <x:v>57</x:v>
      </x:c>
      <x:c r="H941" s="23" t="n">
        <x:v>53</x:v>
      </x:c>
      <x:c r="I941" s="23" t="n">
        <x:v>55</x:v>
      </x:c>
      <x:c r="J941" s="23" t="n">
        <x:f>G941-H941</x:f>
        <x:v>4</x:v>
      </x:c>
      <x:c r="K941" t="str">
        <x:v>OBSERVED</x:v>
      </x:c>
      <x:c r="L941" s="24" t="n">
        <x:v>17.426</x:v>
      </x:c>
      <x:c r="M941" s="24" t="n">
        <x:v>78.4573</x:v>
      </x:c>
      <x:c r="N941" t="str">
        <x:f>IF(I941&gt;70,"70+ dB",IF(I941&gt;55,"56-70 dB","41-55 dB"))</x:f>
        <x:v>41-55 dB</x:v>
      </x:c>
      <x:c r="O941" t="str">
        <x:f>IF(I941&gt;70,"High",IF(I941&gt;55,"Moderate","Low"))</x:f>
        <x:v>Low</x:v>
      </x:c>
      <x:c r="P941" t="str">
        <x:f>IF(I941&gt;=70,"Yes","No")</x:f>
        <x:v>No</x:v>
      </x:c>
      <x:c r="Q941" t="str">
        <x:f>TEXT(B941,"yyyy-mm")</x:f>
        <x:v>2018-09</x:v>
      </x:c>
    </x:row>
    <x:row r="942">
      <x:c r="A942" t="str">
        <x:v>HYD06</x:v>
      </x:c>
      <x:c r="B942" s="22" t="n">
        <x:f>DATE(C942,D942,1)</x:f>
        <x:v>43374</x:v>
      </x:c>
      <x:c r="C942" t="n">
        <x:v>2018</x:v>
      </x:c>
      <x:c r="D942" t="n">
        <x:v>10</x:v>
      </x:c>
      <x:c r="E942" t="str">
        <x:f>TEXT(B942,"mmm")</x:f>
        <x:v>Oct</x:v>
      </x:c>
      <x:c r="F942" t="str">
        <x:f>"Q"&amp;ROUNDUP(D942/3,0)</x:f>
        <x:v>Q4</x:v>
      </x:c>
      <x:c r="G942" s="23" t="n">
        <x:v>61</x:v>
      </x:c>
      <x:c r="H942" s="23" t="n">
        <x:v>53</x:v>
      </x:c>
      <x:c r="I942" s="23" t="n">
        <x:v>57</x:v>
      </x:c>
      <x:c r="J942" s="23" t="n">
        <x:f>G942-H942</x:f>
        <x:v>8</x:v>
      </x:c>
      <x:c r="K942" t="str">
        <x:v>OBSERVED</x:v>
      </x:c>
      <x:c r="L942" s="24" t="n">
        <x:v>17.426</x:v>
      </x:c>
      <x:c r="M942" s="24" t="n">
        <x:v>78.4573</x:v>
      </x:c>
      <x:c r="N942" t="str">
        <x:f>IF(I942&gt;70,"70+ dB",IF(I942&gt;55,"56-70 dB","41-55 dB"))</x:f>
        <x:v>56-70 dB</x:v>
      </x:c>
      <x:c r="O942" t="str">
        <x:f>IF(I942&gt;70,"High",IF(I942&gt;55,"Moderate","Low"))</x:f>
        <x:v>Moderate</x:v>
      </x:c>
      <x:c r="P942" t="str">
        <x:f>IF(I942&gt;=70,"Yes","No")</x:f>
        <x:v>No</x:v>
      </x:c>
      <x:c r="Q942" t="str">
        <x:f>TEXT(B942,"yyyy-mm")</x:f>
        <x:v>2018-10</x:v>
      </x:c>
    </x:row>
    <x:row r="943">
      <x:c r="A943" t="str">
        <x:v>HYD06</x:v>
      </x:c>
      <x:c r="B943" s="22" t="n">
        <x:f>DATE(C943,D943,1)</x:f>
        <x:v>43405</x:v>
      </x:c>
      <x:c r="C943" t="n">
        <x:v>2018</x:v>
      </x:c>
      <x:c r="D943" t="n">
        <x:v>11</x:v>
      </x:c>
      <x:c r="E943" t="str">
        <x:f>TEXT(B943,"mmm")</x:f>
        <x:v>Nov</x:v>
      </x:c>
      <x:c r="F943" t="str">
        <x:f>"Q"&amp;ROUNDUP(D943/3,0)</x:f>
        <x:v>Q4</x:v>
      </x:c>
      <x:c r="G943" s="23" t="n">
        <x:v>66</x:v>
      </x:c>
      <x:c r="H943" s="23" t="n">
        <x:v>60</x:v>
      </x:c>
      <x:c r="I943" s="23" t="n">
        <x:v>63</x:v>
      </x:c>
      <x:c r="J943" s="23" t="n">
        <x:f>G943-H943</x:f>
        <x:v>6</x:v>
      </x:c>
      <x:c r="K943" t="str">
        <x:v>OBSERVED</x:v>
      </x:c>
      <x:c r="L943" s="24" t="n">
        <x:v>17.426</x:v>
      </x:c>
      <x:c r="M943" s="24" t="n">
        <x:v>78.4573</x:v>
      </x:c>
      <x:c r="N943" t="str">
        <x:f>IF(I943&gt;70,"70+ dB",IF(I943&gt;55,"56-70 dB","41-55 dB"))</x:f>
        <x:v>56-70 dB</x:v>
      </x:c>
      <x:c r="O943" t="str">
        <x:f>IF(I943&gt;70,"High",IF(I943&gt;55,"Moderate","Low"))</x:f>
        <x:v>Moderate</x:v>
      </x:c>
      <x:c r="P943" t="str">
        <x:f>IF(I943&gt;=70,"Yes","No")</x:f>
        <x:v>No</x:v>
      </x:c>
      <x:c r="Q943" t="str">
        <x:f>TEXT(B943,"yyyy-mm")</x:f>
        <x:v>2018-11</x:v>
      </x:c>
    </x:row>
    <x:row r="944">
      <x:c r="A944" t="str">
        <x:v>HYD06</x:v>
      </x:c>
      <x:c r="B944" s="22" t="n">
        <x:f>DATE(C944,D944,1)</x:f>
        <x:v>43435</x:v>
      </x:c>
      <x:c r="C944" t="n">
        <x:v>2018</x:v>
      </x:c>
      <x:c r="D944" t="n">
        <x:v>12</x:v>
      </x:c>
      <x:c r="E944" t="str">
        <x:f>TEXT(B944,"mmm")</x:f>
        <x:v>Dec</x:v>
      </x:c>
      <x:c r="F944" t="str">
        <x:f>"Q"&amp;ROUNDUP(D944/3,0)</x:f>
        <x:v>Q4</x:v>
      </x:c>
      <x:c r="G944" s="23" t="n">
        <x:v>80</x:v>
      </x:c>
      <x:c r="H944" s="23" t="n">
        <x:v>76</x:v>
      </x:c>
      <x:c r="I944" s="23" t="n">
        <x:v>78</x:v>
      </x:c>
      <x:c r="J944" s="23" t="n">
        <x:f>G944-H944</x:f>
        <x:v>4</x:v>
      </x:c>
      <x:c r="K944" t="str">
        <x:v>OBSERVED</x:v>
      </x:c>
      <x:c r="L944" s="24" t="n">
        <x:v>17.426</x:v>
      </x:c>
      <x:c r="M944" s="24" t="n">
        <x:v>78.4573</x:v>
      </x:c>
      <x:c r="N944" t="str">
        <x:f>IF(I944&gt;70,"70+ dB",IF(I944&gt;55,"56-70 dB","41-55 dB"))</x:f>
        <x:v>70+ dB</x:v>
      </x:c>
      <x:c r="O944" t="str">
        <x:f>IF(I944&gt;70,"High",IF(I944&gt;55,"Moderate","Low"))</x:f>
        <x:v>High</x:v>
      </x:c>
      <x:c r="P944" t="str">
        <x:f>IF(I944&gt;=70,"Yes","No")</x:f>
        <x:v>Yes</x:v>
      </x:c>
      <x:c r="Q944" t="str">
        <x:f>TEXT(B944,"yyyy-mm")</x:f>
        <x:v>2018-12</x:v>
      </x:c>
    </x:row>
    <x:row r="945">
      <x:c r="A945" t="str">
        <x:v>HYD06</x:v>
      </x:c>
      <x:c r="B945" s="22" t="n">
        <x:f>DATE(C945,D945,1)</x:f>
        <x:v>43466</x:v>
      </x:c>
      <x:c r="C945" t="n">
        <x:v>2019</x:v>
      </x:c>
      <x:c r="D945" t="n">
        <x:v>1</x:v>
      </x:c>
      <x:c r="E945" t="str">
        <x:f>TEXT(B945,"mmm")</x:f>
        <x:v>Jan</x:v>
      </x:c>
      <x:c r="F945" t="str">
        <x:f>"Q"&amp;ROUNDUP(D945/3,0)</x:f>
        <x:v>Q1</x:v>
      </x:c>
      <x:c r="G945" s="23" t="n">
        <x:v>87.9</x:v>
      </x:c>
      <x:c r="H945" s="23" t="n">
        <x:v>74.58</x:v>
      </x:c>
      <x:c r="I945" s="23" t="n">
        <x:v>81.2</x:v>
      </x:c>
      <x:c r="J945" s="23" t="n">
        <x:f>G945-H945</x:f>
        <x:v>13.320000000000007</x:v>
      </x:c>
      <x:c r="K945" t="str">
        <x:v>HINDCAST</x:v>
      </x:c>
      <x:c r="L945" s="24" t="n">
        <x:v>17.426</x:v>
      </x:c>
      <x:c r="M945" s="24" t="n">
        <x:v>78.4573</x:v>
      </x:c>
      <x:c r="N945" t="str">
        <x:f>IF(I945&gt;70,"70+ dB",IF(I945&gt;55,"56-70 dB","41-55 dB"))</x:f>
        <x:v>70+ dB</x:v>
      </x:c>
      <x:c r="O945" t="str">
        <x:f>IF(I945&gt;70,"High",IF(I945&gt;55,"Moderate","Low"))</x:f>
        <x:v>High</x:v>
      </x:c>
      <x:c r="P945" t="str">
        <x:f>IF(I945&gt;=70,"Yes","No")</x:f>
        <x:v>Yes</x:v>
      </x:c>
      <x:c r="Q945" t="str">
        <x:f>TEXT(B945,"yyyy-mm")</x:f>
        <x:v>2019-01</x:v>
      </x:c>
    </x:row>
    <x:row r="946">
      <x:c r="A946" t="str">
        <x:v>HYD06</x:v>
      </x:c>
      <x:c r="B946" s="22" t="n">
        <x:f>DATE(C946,D946,1)</x:f>
        <x:v>43497</x:v>
      </x:c>
      <x:c r="C946" t="n">
        <x:v>2019</x:v>
      </x:c>
      <x:c r="D946" t="n">
        <x:v>2</x:v>
      </x:c>
      <x:c r="E946" t="str">
        <x:f>TEXT(B946,"mmm")</x:f>
        <x:v>Feb</x:v>
      </x:c>
      <x:c r="F946" t="str">
        <x:f>"Q"&amp;ROUNDUP(D946/3,0)</x:f>
        <x:v>Q1</x:v>
      </x:c>
      <x:c r="G946" s="23" t="n">
        <x:v>92.29</x:v>
      </x:c>
      <x:c r="H946" s="23" t="n">
        <x:v>86.02</x:v>
      </x:c>
      <x:c r="I946" s="23" t="n">
        <x:v>89.2</x:v>
      </x:c>
      <x:c r="J946" s="23" t="n">
        <x:f>G946-H946</x:f>
        <x:v>6.27000000000001</x:v>
      </x:c>
      <x:c r="K946" t="str">
        <x:v>HINDCAST</x:v>
      </x:c>
      <x:c r="L946" s="24" t="n">
        <x:v>17.426</x:v>
      </x:c>
      <x:c r="M946" s="24" t="n">
        <x:v>78.4573</x:v>
      </x:c>
      <x:c r="N946" t="str">
        <x:f>IF(I946&gt;70,"70+ dB",IF(I946&gt;55,"56-70 dB","41-55 dB"))</x:f>
        <x:v>70+ dB</x:v>
      </x:c>
      <x:c r="O946" t="str">
        <x:f>IF(I946&gt;70,"High",IF(I946&gt;55,"Moderate","Low"))</x:f>
        <x:v>High</x:v>
      </x:c>
      <x:c r="P946" t="str">
        <x:f>IF(I946&gt;=70,"Yes","No")</x:f>
        <x:v>Yes</x:v>
      </x:c>
      <x:c r="Q946" t="str">
        <x:f>TEXT(B946,"yyyy-mm")</x:f>
        <x:v>2019-02</x:v>
      </x:c>
    </x:row>
    <x:row r="947">
      <x:c r="A947" t="str">
        <x:v>HYD06</x:v>
      </x:c>
      <x:c r="B947" s="22" t="n">
        <x:f>DATE(C947,D947,1)</x:f>
        <x:v>43525</x:v>
      </x:c>
      <x:c r="C947" t="n">
        <x:v>2019</x:v>
      </x:c>
      <x:c r="D947" t="n">
        <x:v>3</x:v>
      </x:c>
      <x:c r="E947" t="str">
        <x:f>TEXT(B947,"mmm")</x:f>
        <x:v>Mar</x:v>
      </x:c>
      <x:c r="F947" t="str">
        <x:f>"Q"&amp;ROUNDUP(D947/3,0)</x:f>
        <x:v>Q1</x:v>
      </x:c>
      <x:c r="G947" s="23" t="n">
        <x:v>83.54</x:v>
      </x:c>
      <x:c r="H947" s="23" t="n">
        <x:v>70.04</x:v>
      </x:c>
      <x:c r="I947" s="23" t="n">
        <x:v>76.8</x:v>
      </x:c>
      <x:c r="J947" s="23" t="n">
        <x:f>G947-H947</x:f>
        <x:v>13.5</x:v>
      </x:c>
      <x:c r="K947" t="str">
        <x:v>HINDCAST</x:v>
      </x:c>
      <x:c r="L947" s="24" t="n">
        <x:v>17.426</x:v>
      </x:c>
      <x:c r="M947" s="24" t="n">
        <x:v>78.4573</x:v>
      </x:c>
      <x:c r="N947" t="str">
        <x:f>IF(I947&gt;70,"70+ dB",IF(I947&gt;55,"56-70 dB","41-55 dB"))</x:f>
        <x:v>70+ dB</x:v>
      </x:c>
      <x:c r="O947" t="str">
        <x:f>IF(I947&gt;70,"High",IF(I947&gt;55,"Moderate","Low"))</x:f>
        <x:v>High</x:v>
      </x:c>
      <x:c r="P947" t="str">
        <x:f>IF(I947&gt;=70,"Yes","No")</x:f>
        <x:v>Yes</x:v>
      </x:c>
      <x:c r="Q947" t="str">
        <x:f>TEXT(B947,"yyyy-mm")</x:f>
        <x:v>2019-03</x:v>
      </x:c>
    </x:row>
    <x:row r="948">
      <x:c r="A948" t="str">
        <x:v>HYD06</x:v>
      </x:c>
      <x:c r="B948" s="22" t="n">
        <x:f>DATE(C948,D948,1)</x:f>
        <x:v>43556</x:v>
      </x:c>
      <x:c r="C948" t="n">
        <x:v>2019</x:v>
      </x:c>
      <x:c r="D948" t="n">
        <x:v>4</x:v>
      </x:c>
      <x:c r="E948" t="str">
        <x:f>TEXT(B948,"mmm")</x:f>
        <x:v>Apr</x:v>
      </x:c>
      <x:c r="F948" t="str">
        <x:f>"Q"&amp;ROUNDUP(D948/3,0)</x:f>
        <x:v>Q2</x:v>
      </x:c>
      <x:c r="G948" s="23" t="n">
        <x:v>95.12</x:v>
      </x:c>
      <x:c r="H948" s="23" t="n">
        <x:v>88.55</x:v>
      </x:c>
      <x:c r="I948" s="23" t="n">
        <x:v>91.8</x:v>
      </x:c>
      <x:c r="J948" s="23" t="n">
        <x:f>G948-H948</x:f>
        <x:v>6.570000000000007</x:v>
      </x:c>
      <x:c r="K948" t="str">
        <x:v>HINDCAST</x:v>
      </x:c>
      <x:c r="L948" s="24" t="n">
        <x:v>17.426</x:v>
      </x:c>
      <x:c r="M948" s="24" t="n">
        <x:v>78.4573</x:v>
      </x:c>
      <x:c r="N948" t="str">
        <x:f>IF(I948&gt;70,"70+ dB",IF(I948&gt;55,"56-70 dB","41-55 dB"))</x:f>
        <x:v>70+ dB</x:v>
      </x:c>
      <x:c r="O948" t="str">
        <x:f>IF(I948&gt;70,"High",IF(I948&gt;55,"Moderate","Low"))</x:f>
        <x:v>High</x:v>
      </x:c>
      <x:c r="P948" t="str">
        <x:f>IF(I948&gt;=70,"Yes","No")</x:f>
        <x:v>Yes</x:v>
      </x:c>
      <x:c r="Q948" t="str">
        <x:f>TEXT(B948,"yyyy-mm")</x:f>
        <x:v>2019-04</x:v>
      </x:c>
    </x:row>
    <x:row r="949">
      <x:c r="A949" t="str">
        <x:v>HYD06</x:v>
      </x:c>
      <x:c r="B949" s="22" t="n">
        <x:f>DATE(C949,D949,1)</x:f>
        <x:v>43586</x:v>
      </x:c>
      <x:c r="C949" t="n">
        <x:v>2019</x:v>
      </x:c>
      <x:c r="D949" t="n">
        <x:v>5</x:v>
      </x:c>
      <x:c r="E949" t="str">
        <x:f>TEXT(B949,"mmm")</x:f>
        <x:v>May</x:v>
      </x:c>
      <x:c r="F949" t="str">
        <x:f>"Q"&amp;ROUNDUP(D949/3,0)</x:f>
        <x:v>Q2</x:v>
      </x:c>
      <x:c r="G949" s="23" t="n">
        <x:v>82.7</x:v>
      </x:c>
      <x:c r="H949" s="23" t="n">
        <x:v>75.8</x:v>
      </x:c>
      <x:c r="I949" s="23" t="n">
        <x:v>79.2</x:v>
      </x:c>
      <x:c r="J949" s="23" t="n">
        <x:f>G949-H949</x:f>
        <x:v>6.900000000000006</x:v>
      </x:c>
      <x:c r="K949" t="str">
        <x:v>HINDCAST</x:v>
      </x:c>
      <x:c r="L949" s="24" t="n">
        <x:v>17.426</x:v>
      </x:c>
      <x:c r="M949" s="24" t="n">
        <x:v>78.4573</x:v>
      </x:c>
      <x:c r="N949" t="str">
        <x:f>IF(I949&gt;70,"70+ dB",IF(I949&gt;55,"56-70 dB","41-55 dB"))</x:f>
        <x:v>70+ dB</x:v>
      </x:c>
      <x:c r="O949" t="str">
        <x:f>IF(I949&gt;70,"High",IF(I949&gt;55,"Moderate","Low"))</x:f>
        <x:v>High</x:v>
      </x:c>
      <x:c r="P949" t="str">
        <x:f>IF(I949&gt;=70,"Yes","No")</x:f>
        <x:v>Yes</x:v>
      </x:c>
      <x:c r="Q949" t="str">
        <x:f>TEXT(B949,"yyyy-mm")</x:f>
        <x:v>2019-05</x:v>
      </x:c>
    </x:row>
    <x:row r="950">
      <x:c r="A950" t="str">
        <x:v>HYD06</x:v>
      </x:c>
      <x:c r="B950" s="22" t="n">
        <x:f>DATE(C950,D950,1)</x:f>
        <x:v>43617</x:v>
      </x:c>
      <x:c r="C950" t="n">
        <x:v>2019</x:v>
      </x:c>
      <x:c r="D950" t="n">
        <x:v>6</x:v>
      </x:c>
      <x:c r="E950" t="str">
        <x:f>TEXT(B950,"mmm")</x:f>
        <x:v>Jun</x:v>
      </x:c>
      <x:c r="F950" t="str">
        <x:f>"Q"&amp;ROUNDUP(D950/3,0)</x:f>
        <x:v>Q2</x:v>
      </x:c>
      <x:c r="G950" s="23" t="n">
        <x:v>84.82</x:v>
      </x:c>
      <x:c r="H950" s="23" t="n">
        <x:v>79.98</x:v>
      </x:c>
      <x:c r="I950" s="23" t="n">
        <x:v>82.4</x:v>
      </x:c>
      <x:c r="J950" s="23" t="n">
        <x:f>G950-H950</x:f>
        <x:v>4.839999999999989</x:v>
      </x:c>
      <x:c r="K950" t="str">
        <x:v>HINDCAST</x:v>
      </x:c>
      <x:c r="L950" s="24" t="n">
        <x:v>17.426</x:v>
      </x:c>
      <x:c r="M950" s="24" t="n">
        <x:v>78.4573</x:v>
      </x:c>
      <x:c r="N950" t="str">
        <x:f>IF(I950&gt;70,"70+ dB",IF(I950&gt;55,"56-70 dB","41-55 dB"))</x:f>
        <x:v>70+ dB</x:v>
      </x:c>
      <x:c r="O950" t="str">
        <x:f>IF(I950&gt;70,"High",IF(I950&gt;55,"Moderate","Low"))</x:f>
        <x:v>High</x:v>
      </x:c>
      <x:c r="P950" t="str">
        <x:f>IF(I950&gt;=70,"Yes","No")</x:f>
        <x:v>Yes</x:v>
      </x:c>
      <x:c r="Q950" t="str">
        <x:f>TEXT(B950,"yyyy-mm")</x:f>
        <x:v>2019-06</x:v>
      </x:c>
    </x:row>
    <x:row r="951">
      <x:c r="A951" t="str">
        <x:v>HYD06</x:v>
      </x:c>
      <x:c r="B951" s="22" t="n">
        <x:f>DATE(C951,D951,1)</x:f>
        <x:v>43647</x:v>
      </x:c>
      <x:c r="C951" t="n">
        <x:v>2019</x:v>
      </x:c>
      <x:c r="D951" t="n">
        <x:v>7</x:v>
      </x:c>
      <x:c r="E951" t="str">
        <x:f>TEXT(B951,"mmm")</x:f>
        <x:v>Jul</x:v>
      </x:c>
      <x:c r="F951" t="str">
        <x:f>"Q"&amp;ROUNDUP(D951/3,0)</x:f>
        <x:v>Q3</x:v>
      </x:c>
      <x:c r="G951" s="23" t="n">
        <x:v>85.62</x:v>
      </x:c>
      <x:c r="H951" s="23" t="n">
        <x:v>79.62</x:v>
      </x:c>
      <x:c r="I951" s="23" t="n">
        <x:v>82.6</x:v>
      </x:c>
      <x:c r="J951" s="23" t="n">
        <x:f>G951-H951</x:f>
        <x:v>6</x:v>
      </x:c>
      <x:c r="K951" t="str">
        <x:v>HINDCAST</x:v>
      </x:c>
      <x:c r="L951" s="24" t="n">
        <x:v>17.426</x:v>
      </x:c>
      <x:c r="M951" s="24" t="n">
        <x:v>78.4573</x:v>
      </x:c>
      <x:c r="N951" t="str">
        <x:f>IF(I951&gt;70,"70+ dB",IF(I951&gt;55,"56-70 dB","41-55 dB"))</x:f>
        <x:v>70+ dB</x:v>
      </x:c>
      <x:c r="O951" t="str">
        <x:f>IF(I951&gt;70,"High",IF(I951&gt;55,"Moderate","Low"))</x:f>
        <x:v>High</x:v>
      </x:c>
      <x:c r="P951" t="str">
        <x:f>IF(I951&gt;=70,"Yes","No")</x:f>
        <x:v>Yes</x:v>
      </x:c>
      <x:c r="Q951" t="str">
        <x:f>TEXT(B951,"yyyy-mm")</x:f>
        <x:v>2019-07</x:v>
      </x:c>
    </x:row>
    <x:row r="952">
      <x:c r="A952" t="str">
        <x:v>HYD06</x:v>
      </x:c>
      <x:c r="B952" s="22" t="n">
        <x:f>DATE(C952,D952,1)</x:f>
        <x:v>43678</x:v>
      </x:c>
      <x:c r="C952" t="n">
        <x:v>2019</x:v>
      </x:c>
      <x:c r="D952" t="n">
        <x:v>8</x:v>
      </x:c>
      <x:c r="E952" t="str">
        <x:f>TEXT(B952,"mmm")</x:f>
        <x:v>Aug</x:v>
      </x:c>
      <x:c r="F952" t="str">
        <x:f>"Q"&amp;ROUNDUP(D952/3,0)</x:f>
        <x:v>Q3</x:v>
      </x:c>
      <x:c r="G952" s="23" t="n">
        <x:v>83.6</x:v>
      </x:c>
      <x:c r="H952" s="23" t="n">
        <x:v>76.72</x:v>
      </x:c>
      <x:c r="I952" s="23" t="n">
        <x:v>80.2</x:v>
      </x:c>
      <x:c r="J952" s="23" t="n">
        <x:f>G952-H952</x:f>
        <x:v>6.8799999999999955</x:v>
      </x:c>
      <x:c r="K952" t="str">
        <x:v>HINDCAST</x:v>
      </x:c>
      <x:c r="L952" s="24" t="n">
        <x:v>17.426</x:v>
      </x:c>
      <x:c r="M952" s="24" t="n">
        <x:v>78.4573</x:v>
      </x:c>
      <x:c r="N952" t="str">
        <x:f>IF(I952&gt;70,"70+ dB",IF(I952&gt;55,"56-70 dB","41-55 dB"))</x:f>
        <x:v>70+ dB</x:v>
      </x:c>
      <x:c r="O952" t="str">
        <x:f>IF(I952&gt;70,"High",IF(I952&gt;55,"Moderate","Low"))</x:f>
        <x:v>High</x:v>
      </x:c>
      <x:c r="P952" t="str">
        <x:f>IF(I952&gt;=70,"Yes","No")</x:f>
        <x:v>Yes</x:v>
      </x:c>
      <x:c r="Q952" t="str">
        <x:f>TEXT(B952,"yyyy-mm")</x:f>
        <x:v>2019-08</x:v>
      </x:c>
    </x:row>
    <x:row r="953">
      <x:c r="A953" t="str">
        <x:v>HYD06</x:v>
      </x:c>
      <x:c r="B953" s="22" t="n">
        <x:f>DATE(C953,D953,1)</x:f>
        <x:v>43709</x:v>
      </x:c>
      <x:c r="C953" t="n">
        <x:v>2019</x:v>
      </x:c>
      <x:c r="D953" t="n">
        <x:v>9</x:v>
      </x:c>
      <x:c r="E953" t="str">
        <x:f>TEXT(B953,"mmm")</x:f>
        <x:v>Sep</x:v>
      </x:c>
      <x:c r="F953" t="str">
        <x:f>"Q"&amp;ROUNDUP(D953/3,0)</x:f>
        <x:v>Q3</x:v>
      </x:c>
      <x:c r="G953" s="23" t="n">
        <x:v>84.7</x:v>
      </x:c>
      <x:c r="H953" s="23" t="n">
        <x:v>77.79</x:v>
      </x:c>
      <x:c r="I953" s="23" t="n">
        <x:v>81.2</x:v>
      </x:c>
      <x:c r="J953" s="23" t="n">
        <x:f>G953-H953</x:f>
        <x:v>6.909999999999997</x:v>
      </x:c>
      <x:c r="K953" t="str">
        <x:v>HINDCAST</x:v>
      </x:c>
      <x:c r="L953" s="24" t="n">
        <x:v>17.426</x:v>
      </x:c>
      <x:c r="M953" s="24" t="n">
        <x:v>78.4573</x:v>
      </x:c>
      <x:c r="N953" t="str">
        <x:f>IF(I953&gt;70,"70+ dB",IF(I953&gt;55,"56-70 dB","41-55 dB"))</x:f>
        <x:v>70+ dB</x:v>
      </x:c>
      <x:c r="O953" t="str">
        <x:f>IF(I953&gt;70,"High",IF(I953&gt;55,"Moderate","Low"))</x:f>
        <x:v>High</x:v>
      </x:c>
      <x:c r="P953" t="str">
        <x:f>IF(I953&gt;=70,"Yes","No")</x:f>
        <x:v>Yes</x:v>
      </x:c>
      <x:c r="Q953" t="str">
        <x:f>TEXT(B953,"yyyy-mm")</x:f>
        <x:v>2019-09</x:v>
      </x:c>
    </x:row>
    <x:row r="954">
      <x:c r="A954" t="str">
        <x:v>HYD06</x:v>
      </x:c>
      <x:c r="B954" s="22" t="n">
        <x:f>DATE(C954,D954,1)</x:f>
        <x:v>43739</x:v>
      </x:c>
      <x:c r="C954" t="n">
        <x:v>2019</x:v>
      </x:c>
      <x:c r="D954" t="n">
        <x:v>10</x:v>
      </x:c>
      <x:c r="E954" t="str">
        <x:f>TEXT(B954,"mmm")</x:f>
        <x:v>Oct</x:v>
      </x:c>
      <x:c r="F954" t="str">
        <x:f>"Q"&amp;ROUNDUP(D954/3,0)</x:f>
        <x:v>Q4</x:v>
      </x:c>
      <x:c r="G954" s="23" t="n">
        <x:v>82.12</x:v>
      </x:c>
      <x:c r="H954" s="23" t="n">
        <x:v>73.06</x:v>
      </x:c>
      <x:c r="I954" s="23" t="n">
        <x:v>77.6</x:v>
      </x:c>
      <x:c r="J954" s="23" t="n">
        <x:f>G954-H954</x:f>
        <x:v>9.060000000000002</x:v>
      </x:c>
      <x:c r="K954" t="str">
        <x:v>HINDCAST</x:v>
      </x:c>
      <x:c r="L954" s="24" t="n">
        <x:v>17.426</x:v>
      </x:c>
      <x:c r="M954" s="24" t="n">
        <x:v>78.4573</x:v>
      </x:c>
      <x:c r="N954" t="str">
        <x:f>IF(I954&gt;70,"70+ dB",IF(I954&gt;55,"56-70 dB","41-55 dB"))</x:f>
        <x:v>70+ dB</x:v>
      </x:c>
      <x:c r="O954" t="str">
        <x:f>IF(I954&gt;70,"High",IF(I954&gt;55,"Moderate","Low"))</x:f>
        <x:v>High</x:v>
      </x:c>
      <x:c r="P954" t="str">
        <x:f>IF(I954&gt;=70,"Yes","No")</x:f>
        <x:v>Yes</x:v>
      </x:c>
      <x:c r="Q954" t="str">
        <x:f>TEXT(B954,"yyyy-mm")</x:f>
        <x:v>2019-10</x:v>
      </x:c>
    </x:row>
    <x:row r="955">
      <x:c r="A955" t="str">
        <x:v>HYD06</x:v>
      </x:c>
      <x:c r="B955" s="22" t="n">
        <x:f>DATE(C955,D955,1)</x:f>
        <x:v>43770</x:v>
      </x:c>
      <x:c r="C955" t="n">
        <x:v>2019</x:v>
      </x:c>
      <x:c r="D955" t="n">
        <x:v>11</x:v>
      </x:c>
      <x:c r="E955" t="str">
        <x:f>TEXT(B955,"mmm")</x:f>
        <x:v>Nov</x:v>
      </x:c>
      <x:c r="F955" t="str">
        <x:f>"Q"&amp;ROUNDUP(D955/3,0)</x:f>
        <x:v>Q4</x:v>
      </x:c>
      <x:c r="G955" s="23" t="n">
        <x:v>84.5</x:v>
      </x:c>
      <x:c r="H955" s="23" t="n">
        <x:v>78.06</x:v>
      </x:c>
      <x:c r="I955" s="23" t="n">
        <x:v>81.3</x:v>
      </x:c>
      <x:c r="J955" s="23" t="n">
        <x:f>G955-H955</x:f>
        <x:v>6.439999999999998</x:v>
      </x:c>
      <x:c r="K955" t="str">
        <x:v>HINDCAST</x:v>
      </x:c>
      <x:c r="L955" s="24" t="n">
        <x:v>17.426</x:v>
      </x:c>
      <x:c r="M955" s="24" t="n">
        <x:v>78.4573</x:v>
      </x:c>
      <x:c r="N955" t="str">
        <x:f>IF(I955&gt;70,"70+ dB",IF(I955&gt;55,"56-70 dB","41-55 dB"))</x:f>
        <x:v>70+ dB</x:v>
      </x:c>
      <x:c r="O955" t="str">
        <x:f>IF(I955&gt;70,"High",IF(I955&gt;55,"Moderate","Low"))</x:f>
        <x:v>High</x:v>
      </x:c>
      <x:c r="P955" t="str">
        <x:f>IF(I955&gt;=70,"Yes","No")</x:f>
        <x:v>Yes</x:v>
      </x:c>
      <x:c r="Q955" t="str">
        <x:f>TEXT(B955,"yyyy-mm")</x:f>
        <x:v>2019-11</x:v>
      </x:c>
    </x:row>
    <x:row r="956">
      <x:c r="A956" t="str">
        <x:v>HYD06</x:v>
      </x:c>
      <x:c r="B956" s="22" t="n">
        <x:f>DATE(C956,D956,1)</x:f>
        <x:v>43800</x:v>
      </x:c>
      <x:c r="C956" t="n">
        <x:v>2019</x:v>
      </x:c>
      <x:c r="D956" t="n">
        <x:v>12</x:v>
      </x:c>
      <x:c r="E956" t="str">
        <x:f>TEXT(B956,"mmm")</x:f>
        <x:v>Dec</x:v>
      </x:c>
      <x:c r="F956" t="str">
        <x:f>"Q"&amp;ROUNDUP(D956/3,0)</x:f>
        <x:v>Q4</x:v>
      </x:c>
      <x:c r="G956" s="23" t="n">
        <x:v>79.03</x:v>
      </x:c>
      <x:c r="H956" s="23" t="n">
        <x:v>69.26</x:v>
      </x:c>
      <x:c r="I956" s="23" t="n">
        <x:v>74.1</x:v>
      </x:c>
      <x:c r="J956" s="23" t="n">
        <x:f>G956-H956</x:f>
        <x:v>9.769999999999996</x:v>
      </x:c>
      <x:c r="K956" t="str">
        <x:v>HINDCAST</x:v>
      </x:c>
      <x:c r="L956" s="24" t="n">
        <x:v>17.426</x:v>
      </x:c>
      <x:c r="M956" s="24" t="n">
        <x:v>78.4573</x:v>
      </x:c>
      <x:c r="N956" t="str">
        <x:f>IF(I956&gt;70,"70+ dB",IF(I956&gt;55,"56-70 dB","41-55 dB"))</x:f>
        <x:v>70+ dB</x:v>
      </x:c>
      <x:c r="O956" t="str">
        <x:f>IF(I956&gt;70,"High",IF(I956&gt;55,"Moderate","Low"))</x:f>
        <x:v>High</x:v>
      </x:c>
      <x:c r="P956" t="str">
        <x:f>IF(I956&gt;=70,"Yes","No")</x:f>
        <x:v>Yes</x:v>
      </x:c>
      <x:c r="Q956" t="str">
        <x:f>TEXT(B956,"yyyy-mm")</x:f>
        <x:v>2019-12</x:v>
      </x:c>
    </x:row>
    <x:row r="957">
      <x:c r="A957" t="str">
        <x:v>HYD06</x:v>
      </x:c>
      <x:c r="B957" s="22" t="n">
        <x:f>DATE(C957,D957,1)</x:f>
        <x:v>43831</x:v>
      </x:c>
      <x:c r="C957" t="n">
        <x:v>2020</x:v>
      </x:c>
      <x:c r="D957" t="n">
        <x:v>1</x:v>
      </x:c>
      <x:c r="E957" t="str">
        <x:f>TEXT(B957,"mmm")</x:f>
        <x:v>Jan</x:v>
      </x:c>
      <x:c r="F957" t="str">
        <x:f>"Q"&amp;ROUNDUP(D957/3,0)</x:f>
        <x:v>Q1</x:v>
      </x:c>
      <x:c r="G957" s="23" t="n">
        <x:v>79.91</x:v>
      </x:c>
      <x:c r="H957" s="23" t="n">
        <x:v>69.57</x:v>
      </x:c>
      <x:c r="I957" s="23" t="n">
        <x:v>74.7</x:v>
      </x:c>
      <x:c r="J957" s="23" t="n">
        <x:f>G957-H957</x:f>
        <x:v>10.340000000000003</x:v>
      </x:c>
      <x:c r="K957" t="str">
        <x:v>HINDCAST</x:v>
      </x:c>
      <x:c r="L957" s="24" t="n">
        <x:v>17.426</x:v>
      </x:c>
      <x:c r="M957" s="24" t="n">
        <x:v>78.4573</x:v>
      </x:c>
      <x:c r="N957" t="str">
        <x:f>IF(I957&gt;70,"70+ dB",IF(I957&gt;55,"56-70 dB","41-55 dB"))</x:f>
        <x:v>70+ dB</x:v>
      </x:c>
      <x:c r="O957" t="str">
        <x:f>IF(I957&gt;70,"High",IF(I957&gt;55,"Moderate","Low"))</x:f>
        <x:v>High</x:v>
      </x:c>
      <x:c r="P957" t="str">
        <x:f>IF(I957&gt;=70,"Yes","No")</x:f>
        <x:v>Yes</x:v>
      </x:c>
      <x:c r="Q957" t="str">
        <x:f>TEXT(B957,"yyyy-mm")</x:f>
        <x:v>2020-01</x:v>
      </x:c>
    </x:row>
    <x:row r="958">
      <x:c r="A958" t="str">
        <x:v>HYD06</x:v>
      </x:c>
      <x:c r="B958" s="22" t="n">
        <x:f>DATE(C958,D958,1)</x:f>
        <x:v>43862</x:v>
      </x:c>
      <x:c r="C958" t="n">
        <x:v>2020</x:v>
      </x:c>
      <x:c r="D958" t="n">
        <x:v>2</x:v>
      </x:c>
      <x:c r="E958" t="str">
        <x:f>TEXT(B958,"mmm")</x:f>
        <x:v>Feb</x:v>
      </x:c>
      <x:c r="F958" t="str">
        <x:f>"Q"&amp;ROUNDUP(D958/3,0)</x:f>
        <x:v>Q1</x:v>
      </x:c>
      <x:c r="G958" s="23" t="n">
        <x:v>81.21</x:v>
      </x:c>
      <x:c r="H958" s="23" t="n">
        <x:v>72.32</x:v>
      </x:c>
      <x:c r="I958" s="23" t="n">
        <x:v>76.8</x:v>
      </x:c>
      <x:c r="J958" s="23" t="n">
        <x:f>G958-H958</x:f>
        <x:v>8.89</x:v>
      </x:c>
      <x:c r="K958" t="str">
        <x:v>HINDCAST</x:v>
      </x:c>
      <x:c r="L958" s="24" t="n">
        <x:v>17.426</x:v>
      </x:c>
      <x:c r="M958" s="24" t="n">
        <x:v>78.4573</x:v>
      </x:c>
      <x:c r="N958" t="str">
        <x:f>IF(I958&gt;70,"70+ dB",IF(I958&gt;55,"56-70 dB","41-55 dB"))</x:f>
        <x:v>70+ dB</x:v>
      </x:c>
      <x:c r="O958" t="str">
        <x:f>IF(I958&gt;70,"High",IF(I958&gt;55,"Moderate","Low"))</x:f>
        <x:v>High</x:v>
      </x:c>
      <x:c r="P958" t="str">
        <x:f>IF(I958&gt;=70,"Yes","No")</x:f>
        <x:v>Yes</x:v>
      </x:c>
      <x:c r="Q958" t="str">
        <x:f>TEXT(B958,"yyyy-mm")</x:f>
        <x:v>2020-02</x:v>
      </x:c>
    </x:row>
    <x:row r="959">
      <x:c r="A959" t="str">
        <x:v>HYD06</x:v>
      </x:c>
      <x:c r="B959" s="22" t="n">
        <x:f>DATE(C959,D959,1)</x:f>
        <x:v>43891</x:v>
      </x:c>
      <x:c r="C959" t="n">
        <x:v>2020</x:v>
      </x:c>
      <x:c r="D959" t="n">
        <x:v>3</x:v>
      </x:c>
      <x:c r="E959" t="str">
        <x:f>TEXT(B959,"mmm")</x:f>
        <x:v>Mar</x:v>
      </x:c>
      <x:c r="F959" t="str">
        <x:f>"Q"&amp;ROUNDUP(D959/3,0)</x:f>
        <x:v>Q1</x:v>
      </x:c>
      <x:c r="G959" s="23" t="n">
        <x:v>79.2</x:v>
      </x:c>
      <x:c r="H959" s="23" t="n">
        <x:v>69.31</x:v>
      </x:c>
      <x:c r="I959" s="23" t="n">
        <x:v>74.3</x:v>
      </x:c>
      <x:c r="J959" s="23" t="n">
        <x:f>G959-H959</x:f>
        <x:v>9.89</x:v>
      </x:c>
      <x:c r="K959" t="str">
        <x:v>HINDCAST</x:v>
      </x:c>
      <x:c r="L959" s="24" t="n">
        <x:v>17.426</x:v>
      </x:c>
      <x:c r="M959" s="24" t="n">
        <x:v>78.4573</x:v>
      </x:c>
      <x:c r="N959" t="str">
        <x:f>IF(I959&gt;70,"70+ dB",IF(I959&gt;55,"56-70 dB","41-55 dB"))</x:f>
        <x:v>70+ dB</x:v>
      </x:c>
      <x:c r="O959" t="str">
        <x:f>IF(I959&gt;70,"High",IF(I959&gt;55,"Moderate","Low"))</x:f>
        <x:v>High</x:v>
      </x:c>
      <x:c r="P959" t="str">
        <x:f>IF(I959&gt;=70,"Yes","No")</x:f>
        <x:v>Yes</x:v>
      </x:c>
      <x:c r="Q959" t="str">
        <x:f>TEXT(B959,"yyyy-mm")</x:f>
        <x:v>2020-03</x:v>
      </x:c>
    </x:row>
    <x:row r="960">
      <x:c r="A960" t="str">
        <x:v>HYD06</x:v>
      </x:c>
      <x:c r="B960" s="22" t="n">
        <x:f>DATE(C960,D960,1)</x:f>
        <x:v>43922</x:v>
      </x:c>
      <x:c r="C960" t="n">
        <x:v>2020</x:v>
      </x:c>
      <x:c r="D960" t="n">
        <x:v>4</x:v>
      </x:c>
      <x:c r="E960" t="str">
        <x:f>TEXT(B960,"mmm")</x:f>
        <x:v>Apr</x:v>
      </x:c>
      <x:c r="F960" t="str">
        <x:f>"Q"&amp;ROUNDUP(D960/3,0)</x:f>
        <x:v>Q2</x:v>
      </x:c>
      <x:c r="G960" s="23" t="n">
        <x:v>81.66</x:v>
      </x:c>
      <x:c r="H960" s="23" t="n">
        <x:v>74.43</x:v>
      </x:c>
      <x:c r="I960" s="23" t="n">
        <x:v>78</x:v>
      </x:c>
      <x:c r="J960" s="23" t="n">
        <x:f>G960-H960</x:f>
        <x:v>7.22999999999999</x:v>
      </x:c>
      <x:c r="K960" t="str">
        <x:v>HINDCAST</x:v>
      </x:c>
      <x:c r="L960" s="24" t="n">
        <x:v>17.426</x:v>
      </x:c>
      <x:c r="M960" s="24" t="n">
        <x:v>78.4573</x:v>
      </x:c>
      <x:c r="N960" t="str">
        <x:f>IF(I960&gt;70,"70+ dB",IF(I960&gt;55,"56-70 dB","41-55 dB"))</x:f>
        <x:v>70+ dB</x:v>
      </x:c>
      <x:c r="O960" t="str">
        <x:f>IF(I960&gt;70,"High",IF(I960&gt;55,"Moderate","Low"))</x:f>
        <x:v>High</x:v>
      </x:c>
      <x:c r="P960" t="str">
        <x:f>IF(I960&gt;=70,"Yes","No")</x:f>
        <x:v>Yes</x:v>
      </x:c>
      <x:c r="Q960" t="str">
        <x:f>TEXT(B960,"yyyy-mm")</x:f>
        <x:v>2020-04</x:v>
      </x:c>
    </x:row>
    <x:row r="961">
      <x:c r="A961" t="str">
        <x:v>HYD06</x:v>
      </x:c>
      <x:c r="B961" s="22" t="n">
        <x:f>DATE(C961,D961,1)</x:f>
        <x:v>43952</x:v>
      </x:c>
      <x:c r="C961" t="n">
        <x:v>2020</x:v>
      </x:c>
      <x:c r="D961" t="n">
        <x:v>5</x:v>
      </x:c>
      <x:c r="E961" t="str">
        <x:f>TEXT(B961,"mmm")</x:f>
        <x:v>May</x:v>
      </x:c>
      <x:c r="F961" t="str">
        <x:f>"Q"&amp;ROUNDUP(D961/3,0)</x:f>
        <x:v>Q2</x:v>
      </x:c>
      <x:c r="G961" s="23" t="n">
        <x:v>78.29</x:v>
      </x:c>
      <x:c r="H961" s="23" t="n">
        <x:v>71.43</x:v>
      </x:c>
      <x:c r="I961" s="23" t="n">
        <x:v>74.9</x:v>
      </x:c>
      <x:c r="J961" s="23" t="n">
        <x:f>G961-H961</x:f>
        <x:v>6.859999999999999</x:v>
      </x:c>
      <x:c r="K961" t="str">
        <x:v>HINDCAST</x:v>
      </x:c>
      <x:c r="L961" s="24" t="n">
        <x:v>17.426</x:v>
      </x:c>
      <x:c r="M961" s="24" t="n">
        <x:v>78.4573</x:v>
      </x:c>
      <x:c r="N961" t="str">
        <x:f>IF(I961&gt;70,"70+ dB",IF(I961&gt;55,"56-70 dB","41-55 dB"))</x:f>
        <x:v>70+ dB</x:v>
      </x:c>
      <x:c r="O961" t="str">
        <x:f>IF(I961&gt;70,"High",IF(I961&gt;55,"Moderate","Low"))</x:f>
        <x:v>High</x:v>
      </x:c>
      <x:c r="P961" t="str">
        <x:f>IF(I961&gt;=70,"Yes","No")</x:f>
        <x:v>Yes</x:v>
      </x:c>
      <x:c r="Q961" t="str">
        <x:f>TEXT(B961,"yyyy-mm")</x:f>
        <x:v>2020-05</x:v>
      </x:c>
    </x:row>
    <x:row r="962">
      <x:c r="A962" t="str">
        <x:v>HYD06</x:v>
      </x:c>
      <x:c r="B962" s="22" t="n">
        <x:f>DATE(C962,D962,1)</x:f>
        <x:v>43983</x:v>
      </x:c>
      <x:c r="C962" t="n">
        <x:v>2020</x:v>
      </x:c>
      <x:c r="D962" t="n">
        <x:v>6</x:v>
      </x:c>
      <x:c r="E962" t="str">
        <x:f>TEXT(B962,"mmm")</x:f>
        <x:v>Jun</x:v>
      </x:c>
      <x:c r="F962" t="str">
        <x:f>"Q"&amp;ROUNDUP(D962/3,0)</x:f>
        <x:v>Q2</x:v>
      </x:c>
      <x:c r="G962" s="23" t="n">
        <x:v>81.3</x:v>
      </x:c>
      <x:c r="H962" s="23" t="n">
        <x:v>76.27</x:v>
      </x:c>
      <x:c r="I962" s="23" t="n">
        <x:v>78.8</x:v>
      </x:c>
      <x:c r="J962" s="23" t="n">
        <x:f>G962-H962</x:f>
        <x:v>5.030000000000001</x:v>
      </x:c>
      <x:c r="K962" t="str">
        <x:v>HINDCAST</x:v>
      </x:c>
      <x:c r="L962" s="24" t="n">
        <x:v>17.426</x:v>
      </x:c>
      <x:c r="M962" s="24" t="n">
        <x:v>78.4573</x:v>
      </x:c>
      <x:c r="N962" t="str">
        <x:f>IF(I962&gt;70,"70+ dB",IF(I962&gt;55,"56-70 dB","41-55 dB"))</x:f>
        <x:v>70+ dB</x:v>
      </x:c>
      <x:c r="O962" t="str">
        <x:f>IF(I962&gt;70,"High",IF(I962&gt;55,"Moderate","Low"))</x:f>
        <x:v>High</x:v>
      </x:c>
      <x:c r="P962" t="str">
        <x:f>IF(I962&gt;=70,"Yes","No")</x:f>
        <x:v>Yes</x:v>
      </x:c>
      <x:c r="Q962" t="str">
        <x:f>TEXT(B962,"yyyy-mm")</x:f>
        <x:v>2020-06</x:v>
      </x:c>
    </x:row>
    <x:row r="963">
      <x:c r="A963" t="str">
        <x:v>HYD06</x:v>
      </x:c>
      <x:c r="B963" s="22" t="n">
        <x:f>DATE(C963,D963,1)</x:f>
        <x:v>44013</x:v>
      </x:c>
      <x:c r="C963" t="n">
        <x:v>2020</x:v>
      </x:c>
      <x:c r="D963" t="n">
        <x:v>7</x:v>
      </x:c>
      <x:c r="E963" t="str">
        <x:f>TEXT(B963,"mmm")</x:f>
        <x:v>Jul</x:v>
      </x:c>
      <x:c r="F963" t="str">
        <x:f>"Q"&amp;ROUNDUP(D963/3,0)</x:f>
        <x:v>Q3</x:v>
      </x:c>
      <x:c r="G963" s="23" t="n">
        <x:v>82.94</x:v>
      </x:c>
      <x:c r="H963" s="23" t="n">
        <x:v>77.7</x:v>
      </x:c>
      <x:c r="I963" s="23" t="n">
        <x:v>80.3</x:v>
      </x:c>
      <x:c r="J963" s="23" t="n">
        <x:f>G963-H963</x:f>
        <x:v>5.239999999999995</x:v>
      </x:c>
      <x:c r="K963" t="str">
        <x:v>HINDCAST</x:v>
      </x:c>
      <x:c r="L963" s="24" t="n">
        <x:v>17.426</x:v>
      </x:c>
      <x:c r="M963" s="24" t="n">
        <x:v>78.4573</x:v>
      </x:c>
      <x:c r="N963" t="str">
        <x:f>IF(I963&gt;70,"70+ dB",IF(I963&gt;55,"56-70 dB","41-55 dB"))</x:f>
        <x:v>70+ dB</x:v>
      </x:c>
      <x:c r="O963" t="str">
        <x:f>IF(I963&gt;70,"High",IF(I963&gt;55,"Moderate","Low"))</x:f>
        <x:v>High</x:v>
      </x:c>
      <x:c r="P963" t="str">
        <x:f>IF(I963&gt;=70,"Yes","No")</x:f>
        <x:v>Yes</x:v>
      </x:c>
      <x:c r="Q963" t="str">
        <x:f>TEXT(B963,"yyyy-mm")</x:f>
        <x:v>2020-07</x:v>
      </x:c>
    </x:row>
    <x:row r="964">
      <x:c r="A964" t="str">
        <x:v>HYD06</x:v>
      </x:c>
      <x:c r="B964" s="22" t="n">
        <x:f>DATE(C964,D964,1)</x:f>
        <x:v>44044</x:v>
      </x:c>
      <x:c r="C964" t="n">
        <x:v>2020</x:v>
      </x:c>
      <x:c r="D964" t="n">
        <x:v>8</x:v>
      </x:c>
      <x:c r="E964" t="str">
        <x:f>TEXT(B964,"mmm")</x:f>
        <x:v>Aug</x:v>
      </x:c>
      <x:c r="F964" t="str">
        <x:f>"Q"&amp;ROUNDUP(D964/3,0)</x:f>
        <x:v>Q3</x:v>
      </x:c>
      <x:c r="G964" s="23" t="n">
        <x:v>82.66</x:v>
      </x:c>
      <x:c r="H964" s="23" t="n">
        <x:v>75.51</x:v>
      </x:c>
      <x:c r="I964" s="23" t="n">
        <x:v>79.1</x:v>
      </x:c>
      <x:c r="J964" s="23" t="n">
        <x:f>G964-H964</x:f>
        <x:v>7.1499999999999915</x:v>
      </x:c>
      <x:c r="K964" t="str">
        <x:v>HINDCAST</x:v>
      </x:c>
      <x:c r="L964" s="24" t="n">
        <x:v>17.426</x:v>
      </x:c>
      <x:c r="M964" s="24" t="n">
        <x:v>78.4573</x:v>
      </x:c>
      <x:c r="N964" t="str">
        <x:f>IF(I964&gt;70,"70+ dB",IF(I964&gt;55,"56-70 dB","41-55 dB"))</x:f>
        <x:v>70+ dB</x:v>
      </x:c>
      <x:c r="O964" t="str">
        <x:f>IF(I964&gt;70,"High",IF(I964&gt;55,"Moderate","Low"))</x:f>
        <x:v>High</x:v>
      </x:c>
      <x:c r="P964" t="str">
        <x:f>IF(I964&gt;=70,"Yes","No")</x:f>
        <x:v>Yes</x:v>
      </x:c>
      <x:c r="Q964" t="str">
        <x:f>TEXT(B964,"yyyy-mm")</x:f>
        <x:v>2020-08</x:v>
      </x:c>
    </x:row>
    <x:row r="965">
      <x:c r="A965" t="str">
        <x:v>HYD06</x:v>
      </x:c>
      <x:c r="B965" s="22" t="n">
        <x:f>DATE(C965,D965,1)</x:f>
        <x:v>44075</x:v>
      </x:c>
      <x:c r="C965" t="n">
        <x:v>2020</x:v>
      </x:c>
      <x:c r="D965" t="n">
        <x:v>9</x:v>
      </x:c>
      <x:c r="E965" t="str">
        <x:f>TEXT(B965,"mmm")</x:f>
        <x:v>Sep</x:v>
      </x:c>
      <x:c r="F965" t="str">
        <x:f>"Q"&amp;ROUNDUP(D965/3,0)</x:f>
        <x:v>Q3</x:v>
      </x:c>
      <x:c r="G965" s="23" t="n">
        <x:v>77.1</x:v>
      </x:c>
      <x:c r="H965" s="23" t="n">
        <x:v>71.13</x:v>
      </x:c>
      <x:c r="I965" s="23" t="n">
        <x:v>74.1</x:v>
      </x:c>
      <x:c r="J965" s="23" t="n">
        <x:f>G965-H965</x:f>
        <x:v>5.969999999999999</x:v>
      </x:c>
      <x:c r="K965" t="str">
        <x:v>HINDCAST</x:v>
      </x:c>
      <x:c r="L965" s="24" t="n">
        <x:v>17.426</x:v>
      </x:c>
      <x:c r="M965" s="24" t="n">
        <x:v>78.4573</x:v>
      </x:c>
      <x:c r="N965" t="str">
        <x:f>IF(I965&gt;70,"70+ dB",IF(I965&gt;55,"56-70 dB","41-55 dB"))</x:f>
        <x:v>70+ dB</x:v>
      </x:c>
      <x:c r="O965" t="str">
        <x:f>IF(I965&gt;70,"High",IF(I965&gt;55,"Moderate","Low"))</x:f>
        <x:v>High</x:v>
      </x:c>
      <x:c r="P965" t="str">
        <x:f>IF(I965&gt;=70,"Yes","No")</x:f>
        <x:v>Yes</x:v>
      </x:c>
      <x:c r="Q965" t="str">
        <x:f>TEXT(B965,"yyyy-mm")</x:f>
        <x:v>2020-09</x:v>
      </x:c>
    </x:row>
    <x:row r="966">
      <x:c r="A966" t="str">
        <x:v>HYD06</x:v>
      </x:c>
      <x:c r="B966" s="22" t="n">
        <x:f>DATE(C966,D966,1)</x:f>
        <x:v>44105</x:v>
      </x:c>
      <x:c r="C966" t="n">
        <x:v>2020</x:v>
      </x:c>
      <x:c r="D966" t="n">
        <x:v>10</x:v>
      </x:c>
      <x:c r="E966" t="str">
        <x:f>TEXT(B966,"mmm")</x:f>
        <x:v>Oct</x:v>
      </x:c>
      <x:c r="F966" t="str">
        <x:f>"Q"&amp;ROUNDUP(D966/3,0)</x:f>
        <x:v>Q4</x:v>
      </x:c>
      <x:c r="G966" s="23" t="n">
        <x:v>79.93</x:v>
      </x:c>
      <x:c r="H966" s="23" t="n">
        <x:v>70.05</x:v>
      </x:c>
      <x:c r="I966" s="23" t="n">
        <x:v>75</x:v>
      </x:c>
      <x:c r="J966" s="23" t="n">
        <x:f>G966-H966</x:f>
        <x:v>9.88000000000001</x:v>
      </x:c>
      <x:c r="K966" t="str">
        <x:v>HINDCAST</x:v>
      </x:c>
      <x:c r="L966" s="24" t="n">
        <x:v>17.426</x:v>
      </x:c>
      <x:c r="M966" s="24" t="n">
        <x:v>78.4573</x:v>
      </x:c>
      <x:c r="N966" t="str">
        <x:f>IF(I966&gt;70,"70+ dB",IF(I966&gt;55,"56-70 dB","41-55 dB"))</x:f>
        <x:v>70+ dB</x:v>
      </x:c>
      <x:c r="O966" t="str">
        <x:f>IF(I966&gt;70,"High",IF(I966&gt;55,"Moderate","Low"))</x:f>
        <x:v>High</x:v>
      </x:c>
      <x:c r="P966" t="str">
        <x:f>IF(I966&gt;=70,"Yes","No")</x:f>
        <x:v>Yes</x:v>
      </x:c>
      <x:c r="Q966" t="str">
        <x:f>TEXT(B966,"yyyy-mm")</x:f>
        <x:v>2020-10</x:v>
      </x:c>
    </x:row>
    <x:row r="967">
      <x:c r="A967" t="str">
        <x:v>HYD06</x:v>
      </x:c>
      <x:c r="B967" s="22" t="n">
        <x:f>DATE(C967,D967,1)</x:f>
        <x:v>44136</x:v>
      </x:c>
      <x:c r="C967" t="n">
        <x:v>2020</x:v>
      </x:c>
      <x:c r="D967" t="n">
        <x:v>11</x:v>
      </x:c>
      <x:c r="E967" t="str">
        <x:f>TEXT(B967,"mmm")</x:f>
        <x:v>Nov</x:v>
      </x:c>
      <x:c r="F967" t="str">
        <x:f>"Q"&amp;ROUNDUP(D967/3,0)</x:f>
        <x:v>Q4</x:v>
      </x:c>
      <x:c r="G967" s="23" t="n">
        <x:v>84.39</x:v>
      </x:c>
      <x:c r="H967" s="23" t="n">
        <x:v>76.58</x:v>
      </x:c>
      <x:c r="I967" s="23" t="n">
        <x:v>80.5</x:v>
      </x:c>
      <x:c r="J967" s="23" t="n">
        <x:f>G967-H967</x:f>
        <x:v>7.810000000000002</x:v>
      </x:c>
      <x:c r="K967" t="str">
        <x:v>HINDCAST</x:v>
      </x:c>
      <x:c r="L967" s="24" t="n">
        <x:v>17.426</x:v>
      </x:c>
      <x:c r="M967" s="24" t="n">
        <x:v>78.4573</x:v>
      </x:c>
      <x:c r="N967" t="str">
        <x:f>IF(I967&gt;70,"70+ dB",IF(I967&gt;55,"56-70 dB","41-55 dB"))</x:f>
        <x:v>70+ dB</x:v>
      </x:c>
      <x:c r="O967" t="str">
        <x:f>IF(I967&gt;70,"High",IF(I967&gt;55,"Moderate","Low"))</x:f>
        <x:v>High</x:v>
      </x:c>
      <x:c r="P967" t="str">
        <x:f>IF(I967&gt;=70,"Yes","No")</x:f>
        <x:v>Yes</x:v>
      </x:c>
      <x:c r="Q967" t="str">
        <x:f>TEXT(B967,"yyyy-mm")</x:f>
        <x:v>2020-11</x:v>
      </x:c>
    </x:row>
    <x:row r="968">
      <x:c r="A968" t="str">
        <x:v>HYD06</x:v>
      </x:c>
      <x:c r="B968" s="22" t="n">
        <x:f>DATE(C968,D968,1)</x:f>
        <x:v>44166</x:v>
      </x:c>
      <x:c r="C968" t="n">
        <x:v>2020</x:v>
      </x:c>
      <x:c r="D968" t="n">
        <x:v>12</x:v>
      </x:c>
      <x:c r="E968" t="str">
        <x:f>TEXT(B968,"mmm")</x:f>
        <x:v>Dec</x:v>
      </x:c>
      <x:c r="F968" t="str">
        <x:f>"Q"&amp;ROUNDUP(D968/3,0)</x:f>
        <x:v>Q4</x:v>
      </x:c>
      <x:c r="G968" s="23" t="n">
        <x:v>94.77</x:v>
      </x:c>
      <x:c r="H968" s="23" t="n">
        <x:v>86.83</x:v>
      </x:c>
      <x:c r="I968" s="23" t="n">
        <x:v>90.8</x:v>
      </x:c>
      <x:c r="J968" s="23" t="n">
        <x:f>G968-H968</x:f>
        <x:v>7.939999999999998</x:v>
      </x:c>
      <x:c r="K968" t="str">
        <x:v>HINDCAST</x:v>
      </x:c>
      <x:c r="L968" s="24" t="n">
        <x:v>17.426</x:v>
      </x:c>
      <x:c r="M968" s="24" t="n">
        <x:v>78.4573</x:v>
      </x:c>
      <x:c r="N968" t="str">
        <x:f>IF(I968&gt;70,"70+ dB",IF(I968&gt;55,"56-70 dB","41-55 dB"))</x:f>
        <x:v>70+ dB</x:v>
      </x:c>
      <x:c r="O968" t="str">
        <x:f>IF(I968&gt;70,"High",IF(I968&gt;55,"Moderate","Low"))</x:f>
        <x:v>High</x:v>
      </x:c>
      <x:c r="P968" t="str">
        <x:f>IF(I968&gt;=70,"Yes","No")</x:f>
        <x:v>Yes</x:v>
      </x:c>
      <x:c r="Q968" t="str">
        <x:f>TEXT(B968,"yyyy-mm")</x:f>
        <x:v>2020-12</x:v>
      </x:c>
    </x:row>
    <x:row r="969">
      <x:c r="A969" t="str">
        <x:v>HYD06</x:v>
      </x:c>
      <x:c r="B969" s="22" t="n">
        <x:f>DATE(C969,D969,1)</x:f>
        <x:v>44197</x:v>
      </x:c>
      <x:c r="C969" t="n">
        <x:v>2021</x:v>
      </x:c>
      <x:c r="D969" t="n">
        <x:v>1</x:v>
      </x:c>
      <x:c r="E969" t="str">
        <x:f>TEXT(B969,"mmm")</x:f>
        <x:v>Jan</x:v>
      </x:c>
      <x:c r="F969" t="str">
        <x:f>"Q"&amp;ROUNDUP(D969/3,0)</x:f>
        <x:v>Q1</x:v>
      </x:c>
      <x:c r="G969" s="23" t="n">
        <x:v>101.31</x:v>
      </x:c>
      <x:c r="H969" s="23" t="n">
        <x:v>85.81</x:v>
      </x:c>
      <x:c r="I969" s="23" t="n">
        <x:v>93.6</x:v>
      </x:c>
      <x:c r="J969" s="23" t="n">
        <x:f>G969-H969</x:f>
        <x:v>15.5</x:v>
      </x:c>
      <x:c r="K969" t="str">
        <x:v>HINDCAST</x:v>
      </x:c>
      <x:c r="L969" s="24" t="n">
        <x:v>17.426</x:v>
      </x:c>
      <x:c r="M969" s="24" t="n">
        <x:v>78.4573</x:v>
      </x:c>
      <x:c r="N969" t="str">
        <x:f>IF(I969&gt;70,"70+ dB",IF(I969&gt;55,"56-70 dB","41-55 dB"))</x:f>
        <x:v>70+ dB</x:v>
      </x:c>
      <x:c r="O969" t="str">
        <x:f>IF(I969&gt;70,"High",IF(I969&gt;55,"Moderate","Low"))</x:f>
        <x:v>High</x:v>
      </x:c>
      <x:c r="P969" t="str">
        <x:f>IF(I969&gt;=70,"Yes","No")</x:f>
        <x:v>Yes</x:v>
      </x:c>
      <x:c r="Q969" t="str">
        <x:f>TEXT(B969,"yyyy-mm")</x:f>
        <x:v>2021-01</x:v>
      </x:c>
    </x:row>
    <x:row r="970">
      <x:c r="A970" t="str">
        <x:v>HYD06</x:v>
      </x:c>
      <x:c r="B970" s="22" t="n">
        <x:f>DATE(C970,D970,1)</x:f>
        <x:v>44228</x:v>
      </x:c>
      <x:c r="C970" t="n">
        <x:v>2021</x:v>
      </x:c>
      <x:c r="D970" t="n">
        <x:v>2</x:v>
      </x:c>
      <x:c r="E970" t="str">
        <x:f>TEXT(B970,"mmm")</x:f>
        <x:v>Feb</x:v>
      </x:c>
      <x:c r="F970" t="str">
        <x:f>"Q"&amp;ROUNDUP(D970/3,0)</x:f>
        <x:v>Q1</x:v>
      </x:c>
      <x:c r="G970" s="23" t="n">
        <x:v>105.15</x:v>
      </x:c>
      <x:c r="H970" s="23" t="n">
        <x:v>95.24</x:v>
      </x:c>
      <x:c r="I970" s="23" t="n">
        <x:v>100.2</x:v>
      </x:c>
      <x:c r="J970" s="23" t="n">
        <x:f>G970-H970</x:f>
        <x:v>9.91000000000001</x:v>
      </x:c>
      <x:c r="K970" t="str">
        <x:v>HINDCAST</x:v>
      </x:c>
      <x:c r="L970" s="24" t="n">
        <x:v>17.426</x:v>
      </x:c>
      <x:c r="M970" s="24" t="n">
        <x:v>78.4573</x:v>
      </x:c>
      <x:c r="N970" t="str">
        <x:f>IF(I970&gt;70,"70+ dB",IF(I970&gt;55,"56-70 dB","41-55 dB"))</x:f>
        <x:v>70+ dB</x:v>
      </x:c>
      <x:c r="O970" t="str">
        <x:f>IF(I970&gt;70,"High",IF(I970&gt;55,"Moderate","Low"))</x:f>
        <x:v>High</x:v>
      </x:c>
      <x:c r="P970" t="str">
        <x:f>IF(I970&gt;=70,"Yes","No")</x:f>
        <x:v>Yes</x:v>
      </x:c>
      <x:c r="Q970" t="str">
        <x:f>TEXT(B970,"yyyy-mm")</x:f>
        <x:v>2021-02</x:v>
      </x:c>
    </x:row>
    <x:row r="971">
      <x:c r="A971" t="str">
        <x:v>HYD06</x:v>
      </x:c>
      <x:c r="B971" s="22" t="n">
        <x:f>DATE(C971,D971,1)</x:f>
        <x:v>44256</x:v>
      </x:c>
      <x:c r="C971" t="n">
        <x:v>2021</x:v>
      </x:c>
      <x:c r="D971" t="n">
        <x:v>3</x:v>
      </x:c>
      <x:c r="E971" t="str">
        <x:f>TEXT(B971,"mmm")</x:f>
        <x:v>Mar</x:v>
      </x:c>
      <x:c r="F971" t="str">
        <x:f>"Q"&amp;ROUNDUP(D971/3,0)</x:f>
        <x:v>Q1</x:v>
      </x:c>
      <x:c r="G971" s="23" t="n">
        <x:v>97.65</x:v>
      </x:c>
      <x:c r="H971" s="23" t="n">
        <x:v>82.26</x:v>
      </x:c>
      <x:c r="I971" s="23" t="n">
        <x:v>90</x:v>
      </x:c>
      <x:c r="J971" s="23" t="n">
        <x:f>G971-H971</x:f>
        <x:v>15.39</x:v>
      </x:c>
      <x:c r="K971" t="str">
        <x:v>HINDCAST</x:v>
      </x:c>
      <x:c r="L971" s="24" t="n">
        <x:v>17.426</x:v>
      </x:c>
      <x:c r="M971" s="24" t="n">
        <x:v>78.4573</x:v>
      </x:c>
      <x:c r="N971" t="str">
        <x:f>IF(I971&gt;70,"70+ dB",IF(I971&gt;55,"56-70 dB","41-55 dB"))</x:f>
        <x:v>70+ dB</x:v>
      </x:c>
      <x:c r="O971" t="str">
        <x:f>IF(I971&gt;70,"High",IF(I971&gt;55,"Moderate","Low"))</x:f>
        <x:v>High</x:v>
      </x:c>
      <x:c r="P971" t="str">
        <x:f>IF(I971&gt;=70,"Yes","No")</x:f>
        <x:v>Yes</x:v>
      </x:c>
      <x:c r="Q971" t="str">
        <x:f>TEXT(B971,"yyyy-mm")</x:f>
        <x:v>2021-03</x:v>
      </x:c>
    </x:row>
    <x:row r="972">
      <x:c r="A972" t="str">
        <x:v>HYD06</x:v>
      </x:c>
      <x:c r="B972" s="22" t="n">
        <x:f>DATE(C972,D972,1)</x:f>
        <x:v>44287</x:v>
      </x:c>
      <x:c r="C972" t="n">
        <x:v>2021</x:v>
      </x:c>
      <x:c r="D972" t="n">
        <x:v>4</x:v>
      </x:c>
      <x:c r="E972" t="str">
        <x:f>TEXT(B972,"mmm")</x:f>
        <x:v>Apr</x:v>
      </x:c>
      <x:c r="F972" t="str">
        <x:f>"Q"&amp;ROUNDUP(D972/3,0)</x:f>
        <x:v>Q2</x:v>
      </x:c>
      <x:c r="G972" s="23" t="n">
        <x:v>107.52</x:v>
      </x:c>
      <x:c r="H972" s="23" t="n">
        <x:v>97.67</x:v>
      </x:c>
      <x:c r="I972" s="23" t="n">
        <x:v>102.6</x:v>
      </x:c>
      <x:c r="J972" s="23" t="n">
        <x:f>G972-H972</x:f>
        <x:v>9.849999999999994</x:v>
      </x:c>
      <x:c r="K972" t="str">
        <x:v>HINDCAST</x:v>
      </x:c>
      <x:c r="L972" s="24" t="n">
        <x:v>17.426</x:v>
      </x:c>
      <x:c r="M972" s="24" t="n">
        <x:v>78.4573</x:v>
      </x:c>
      <x:c r="N972" t="str">
        <x:f>IF(I972&gt;70,"70+ dB",IF(I972&gt;55,"56-70 dB","41-55 dB"))</x:f>
        <x:v>70+ dB</x:v>
      </x:c>
      <x:c r="O972" t="str">
        <x:f>IF(I972&gt;70,"High",IF(I972&gt;55,"Moderate","Low"))</x:f>
        <x:v>High</x:v>
      </x:c>
      <x:c r="P972" t="str">
        <x:f>IF(I972&gt;=70,"Yes","No")</x:f>
        <x:v>Yes</x:v>
      </x:c>
      <x:c r="Q972" t="str">
        <x:f>TEXT(B972,"yyyy-mm")</x:f>
        <x:v>2021-04</x:v>
      </x:c>
    </x:row>
    <x:row r="973">
      <x:c r="A973" t="str">
        <x:v>HYD06</x:v>
      </x:c>
      <x:c r="B973" s="22" t="n">
        <x:f>DATE(C973,D973,1)</x:f>
        <x:v>44317</x:v>
      </x:c>
      <x:c r="C973" t="n">
        <x:v>2021</x:v>
      </x:c>
      <x:c r="D973" t="n">
        <x:v>5</x:v>
      </x:c>
      <x:c r="E973" t="str">
        <x:f>TEXT(B973,"mmm")</x:f>
        <x:v>May</x:v>
      </x:c>
      <x:c r="F973" t="str">
        <x:f>"Q"&amp;ROUNDUP(D973/3,0)</x:f>
        <x:v>Q2</x:v>
      </x:c>
      <x:c r="G973" s="23" t="n">
        <x:v>96.8</x:v>
      </x:c>
      <x:c r="H973" s="23" t="n">
        <x:v>87.17</x:v>
      </x:c>
      <x:c r="I973" s="23" t="n">
        <x:v>92</x:v>
      </x:c>
      <x:c r="J973" s="23" t="n">
        <x:f>G973-H973</x:f>
        <x:v>9.629999999999995</x:v>
      </x:c>
      <x:c r="K973" t="str">
        <x:v>HINDCAST</x:v>
      </x:c>
      <x:c r="L973" s="24" t="n">
        <x:v>17.426</x:v>
      </x:c>
      <x:c r="M973" s="24" t="n">
        <x:v>78.4573</x:v>
      </x:c>
      <x:c r="N973" t="str">
        <x:f>IF(I973&gt;70,"70+ dB",IF(I973&gt;55,"56-70 dB","41-55 dB"))</x:f>
        <x:v>70+ dB</x:v>
      </x:c>
      <x:c r="O973" t="str">
        <x:f>IF(I973&gt;70,"High",IF(I973&gt;55,"Moderate","Low"))</x:f>
        <x:v>High</x:v>
      </x:c>
      <x:c r="P973" t="str">
        <x:f>IF(I973&gt;=70,"Yes","No")</x:f>
        <x:v>Yes</x:v>
      </x:c>
      <x:c r="Q973" t="str">
        <x:f>TEXT(B973,"yyyy-mm")</x:f>
        <x:v>2021-05</x:v>
      </x:c>
    </x:row>
    <x:row r="974">
      <x:c r="A974" t="str">
        <x:v>HYD06</x:v>
      </x:c>
      <x:c r="B974" s="22" t="n">
        <x:f>DATE(C974,D974,1)</x:f>
        <x:v>44348</x:v>
      </x:c>
      <x:c r="C974" t="n">
        <x:v>2021</x:v>
      </x:c>
      <x:c r="D974" t="n">
        <x:v>6</x:v>
      </x:c>
      <x:c r="E974" t="str">
        <x:f>TEXT(B974,"mmm")</x:f>
        <x:v>Jun</x:v>
      </x:c>
      <x:c r="F974" t="str">
        <x:f>"Q"&amp;ROUNDUP(D974/3,0)</x:f>
        <x:v>Q2</x:v>
      </x:c>
      <x:c r="G974" s="23" t="n">
        <x:v>99.09</x:v>
      </x:c>
      <x:c r="H974" s="23" t="n">
        <x:v>91.52</x:v>
      </x:c>
      <x:c r="I974" s="23" t="n">
        <x:v>95.3</x:v>
      </x:c>
      <x:c r="J974" s="23" t="n">
        <x:f>G974-H974</x:f>
        <x:v>7.570000000000007</x:v>
      </x:c>
      <x:c r="K974" t="str">
        <x:v>HINDCAST</x:v>
      </x:c>
      <x:c r="L974" s="24" t="n">
        <x:v>17.426</x:v>
      </x:c>
      <x:c r="M974" s="24" t="n">
        <x:v>78.4573</x:v>
      </x:c>
      <x:c r="N974" t="str">
        <x:f>IF(I974&gt;70,"70+ dB",IF(I974&gt;55,"56-70 dB","41-55 dB"))</x:f>
        <x:v>70+ dB</x:v>
      </x:c>
      <x:c r="O974" t="str">
        <x:f>IF(I974&gt;70,"High",IF(I974&gt;55,"Moderate","Low"))</x:f>
        <x:v>High</x:v>
      </x:c>
      <x:c r="P974" t="str">
        <x:f>IF(I974&gt;=70,"Yes","No")</x:f>
        <x:v>Yes</x:v>
      </x:c>
      <x:c r="Q974" t="str">
        <x:f>TEXT(B974,"yyyy-mm")</x:f>
        <x:v>2021-06</x:v>
      </x:c>
    </x:row>
    <x:row r="975">
      <x:c r="A975" t="str">
        <x:v>HYD06</x:v>
      </x:c>
      <x:c r="B975" s="22" t="n">
        <x:f>DATE(C975,D975,1)</x:f>
        <x:v>44378</x:v>
      </x:c>
      <x:c r="C975" t="n">
        <x:v>2021</x:v>
      </x:c>
      <x:c r="D975" t="n">
        <x:v>7</x:v>
      </x:c>
      <x:c r="E975" t="str">
        <x:f>TEXT(B975,"mmm")</x:f>
        <x:v>Jul</x:v>
      </x:c>
      <x:c r="F975" t="str">
        <x:f>"Q"&amp;ROUNDUP(D975/3,0)</x:f>
        <x:v>Q3</x:v>
      </x:c>
      <x:c r="G975" s="23" t="n">
        <x:v>100.04</x:v>
      </x:c>
      <x:c r="H975" s="23" t="n">
        <x:v>91.57</x:v>
      </x:c>
      <x:c r="I975" s="23" t="n">
        <x:v>95.8</x:v>
      </x:c>
      <x:c r="J975" s="23" t="n">
        <x:f>G975-H975</x:f>
        <x:v>8.470000000000013</x:v>
      </x:c>
      <x:c r="K975" t="str">
        <x:v>HINDCAST</x:v>
      </x:c>
      <x:c r="L975" s="24" t="n">
        <x:v>17.426</x:v>
      </x:c>
      <x:c r="M975" s="24" t="n">
        <x:v>78.4573</x:v>
      </x:c>
      <x:c r="N975" t="str">
        <x:f>IF(I975&gt;70,"70+ dB",IF(I975&gt;55,"56-70 dB","41-55 dB"))</x:f>
        <x:v>70+ dB</x:v>
      </x:c>
      <x:c r="O975" t="str">
        <x:f>IF(I975&gt;70,"High",IF(I975&gt;55,"Moderate","Low"))</x:f>
        <x:v>High</x:v>
      </x:c>
      <x:c r="P975" t="str">
        <x:f>IF(I975&gt;=70,"Yes","No")</x:f>
        <x:v>Yes</x:v>
      </x:c>
      <x:c r="Q975" t="str">
        <x:f>TEXT(B975,"yyyy-mm")</x:f>
        <x:v>2021-07</x:v>
      </x:c>
    </x:row>
    <x:row r="976">
      <x:c r="A976" t="str">
        <x:v>HYD06</x:v>
      </x:c>
      <x:c r="B976" s="22" t="n">
        <x:f>DATE(C976,D976,1)</x:f>
        <x:v>44409</x:v>
      </x:c>
      <x:c r="C976" t="n">
        <x:v>2021</x:v>
      </x:c>
      <x:c r="D976" t="n">
        <x:v>8</x:v>
      </x:c>
      <x:c r="E976" t="str">
        <x:f>TEXT(B976,"mmm")</x:f>
        <x:v>Aug</x:v>
      </x:c>
      <x:c r="F976" t="str">
        <x:f>"Q"&amp;ROUNDUP(D976/3,0)</x:f>
        <x:v>Q3</x:v>
      </x:c>
      <x:c r="G976" s="23" t="n">
        <x:v>98.36</x:v>
      </x:c>
      <x:c r="H976" s="23" t="n">
        <x:v>88.83</x:v>
      </x:c>
      <x:c r="I976" s="23" t="n">
        <x:v>93.6</x:v>
      </x:c>
      <x:c r="J976" s="23" t="n">
        <x:f>G976-H976</x:f>
        <x:v>9.530000000000001</x:v>
      </x:c>
      <x:c r="K976" t="str">
        <x:v>HINDCAST</x:v>
      </x:c>
      <x:c r="L976" s="24" t="n">
        <x:v>17.426</x:v>
      </x:c>
      <x:c r="M976" s="24" t="n">
        <x:v>78.4573</x:v>
      </x:c>
      <x:c r="N976" t="str">
        <x:f>IF(I976&gt;70,"70+ dB",IF(I976&gt;55,"56-70 dB","41-55 dB"))</x:f>
        <x:v>70+ dB</x:v>
      </x:c>
      <x:c r="O976" t="str">
        <x:f>IF(I976&gt;70,"High",IF(I976&gt;55,"Moderate","Low"))</x:f>
        <x:v>High</x:v>
      </x:c>
      <x:c r="P976" t="str">
        <x:f>IF(I976&gt;=70,"Yes","No")</x:f>
        <x:v>Yes</x:v>
      </x:c>
      <x:c r="Q976" t="str">
        <x:f>TEXT(B976,"yyyy-mm")</x:f>
        <x:v>2021-08</x:v>
      </x:c>
    </x:row>
    <x:row r="977">
      <x:c r="A977" t="str">
        <x:v>HYD06</x:v>
      </x:c>
      <x:c r="B977" s="22" t="n">
        <x:f>DATE(C977,D977,1)</x:f>
        <x:v>44440</x:v>
      </x:c>
      <x:c r="C977" t="n">
        <x:v>2021</x:v>
      </x:c>
      <x:c r="D977" t="n">
        <x:v>9</x:v>
      </x:c>
      <x:c r="E977" t="str">
        <x:f>TEXT(B977,"mmm")</x:f>
        <x:v>Sep</x:v>
      </x:c>
      <x:c r="F977" t="str">
        <x:f>"Q"&amp;ROUNDUP(D977/3,0)</x:f>
        <x:v>Q3</x:v>
      </x:c>
      <x:c r="G977" s="23" t="n">
        <x:v>98.2</x:v>
      </x:c>
      <x:c r="H977" s="23" t="n">
        <x:v>88.64</x:v>
      </x:c>
      <x:c r="I977" s="23" t="n">
        <x:v>93.4</x:v>
      </x:c>
      <x:c r="J977" s="23" t="n">
        <x:f>G977-H977</x:f>
        <x:v>9.560000000000002</x:v>
      </x:c>
      <x:c r="K977" t="str">
        <x:v>HINDCAST</x:v>
      </x:c>
      <x:c r="L977" s="24" t="n">
        <x:v>17.426</x:v>
      </x:c>
      <x:c r="M977" s="24" t="n">
        <x:v>78.4573</x:v>
      </x:c>
      <x:c r="N977" t="str">
        <x:f>IF(I977&gt;70,"70+ dB",IF(I977&gt;55,"56-70 dB","41-55 dB"))</x:f>
        <x:v>70+ dB</x:v>
      </x:c>
      <x:c r="O977" t="str">
        <x:f>IF(I977&gt;70,"High",IF(I977&gt;55,"Moderate","Low"))</x:f>
        <x:v>High</x:v>
      </x:c>
      <x:c r="P977" t="str">
        <x:f>IF(I977&gt;=70,"Yes","No")</x:f>
        <x:v>Yes</x:v>
      </x:c>
      <x:c r="Q977" t="str">
        <x:f>TEXT(B977,"yyyy-mm")</x:f>
        <x:v>2021-09</x:v>
      </x:c>
    </x:row>
    <x:row r="978">
      <x:c r="A978" t="str">
        <x:v>HYD06</x:v>
      </x:c>
      <x:c r="B978" s="22" t="n">
        <x:f>DATE(C978,D978,1)</x:f>
        <x:v>44470</x:v>
      </x:c>
      <x:c r="C978" t="n">
        <x:v>2021</x:v>
      </x:c>
      <x:c r="D978" t="n">
        <x:v>10</x:v>
      </x:c>
      <x:c r="E978" t="str">
        <x:f>TEXT(B978,"mmm")</x:f>
        <x:v>Oct</x:v>
      </x:c>
      <x:c r="F978" t="str">
        <x:f>"Q"&amp;ROUNDUP(D978/3,0)</x:f>
        <x:v>Q4</x:v>
      </x:c>
      <x:c r="G978" s="23" t="n">
        <x:v>96.64</x:v>
      </x:c>
      <x:c r="H978" s="23" t="n">
        <x:v>84.75</x:v>
      </x:c>
      <x:c r="I978" s="23" t="n">
        <x:v>90.7</x:v>
      </x:c>
      <x:c r="J978" s="23" t="n">
        <x:f>G978-H978</x:f>
        <x:v>11.89</x:v>
      </x:c>
      <x:c r="K978" t="str">
        <x:v>HINDCAST</x:v>
      </x:c>
      <x:c r="L978" s="24" t="n">
        <x:v>17.426</x:v>
      </x:c>
      <x:c r="M978" s="24" t="n">
        <x:v>78.4573</x:v>
      </x:c>
      <x:c r="N978" t="str">
        <x:f>IF(I978&gt;70,"70+ dB",IF(I978&gt;55,"56-70 dB","41-55 dB"))</x:f>
        <x:v>70+ dB</x:v>
      </x:c>
      <x:c r="O978" t="str">
        <x:f>IF(I978&gt;70,"High",IF(I978&gt;55,"Moderate","Low"))</x:f>
        <x:v>High</x:v>
      </x:c>
      <x:c r="P978" t="str">
        <x:f>IF(I978&gt;=70,"Yes","No")</x:f>
        <x:v>Yes</x:v>
      </x:c>
      <x:c r="Q978" t="str">
        <x:f>TEXT(B978,"yyyy-mm")</x:f>
        <x:v>2021-10</x:v>
      </x:c>
    </x:row>
    <x:row r="979">
      <x:c r="A979" t="str">
        <x:v>HYD06</x:v>
      </x:c>
      <x:c r="B979" s="22" t="n">
        <x:f>DATE(C979,D979,1)</x:f>
        <x:v>44501</x:v>
      </x:c>
      <x:c r="C979" t="n">
        <x:v>2021</x:v>
      </x:c>
      <x:c r="D979" t="n">
        <x:v>11</x:v>
      </x:c>
      <x:c r="E979" t="str">
        <x:f>TEXT(B979,"mmm")</x:f>
        <x:v>Nov</x:v>
      </x:c>
      <x:c r="F979" t="str">
        <x:f>"Q"&amp;ROUNDUP(D979/3,0)</x:f>
        <x:v>Q4</x:v>
      </x:c>
      <x:c r="G979" s="23" t="n">
        <x:v>99.41</x:v>
      </x:c>
      <x:c r="H979" s="23" t="n">
        <x:v>90.11</x:v>
      </x:c>
      <x:c r="I979" s="23" t="n">
        <x:v>94.8</x:v>
      </x:c>
      <x:c r="J979" s="23" t="n">
        <x:f>G979-H979</x:f>
        <x:v>9.299999999999997</x:v>
      </x:c>
      <x:c r="K979" t="str">
        <x:v>HINDCAST</x:v>
      </x:c>
      <x:c r="L979" s="24" t="n">
        <x:v>17.426</x:v>
      </x:c>
      <x:c r="M979" s="24" t="n">
        <x:v>78.4573</x:v>
      </x:c>
      <x:c r="N979" t="str">
        <x:f>IF(I979&gt;70,"70+ dB",IF(I979&gt;55,"56-70 dB","41-55 dB"))</x:f>
        <x:v>70+ dB</x:v>
      </x:c>
      <x:c r="O979" t="str">
        <x:f>IF(I979&gt;70,"High",IF(I979&gt;55,"Moderate","Low"))</x:f>
        <x:v>High</x:v>
      </x:c>
      <x:c r="P979" t="str">
        <x:f>IF(I979&gt;=70,"Yes","No")</x:f>
        <x:v>Yes</x:v>
      </x:c>
      <x:c r="Q979" t="str">
        <x:f>TEXT(B979,"yyyy-mm")</x:f>
        <x:v>2021-11</x:v>
      </x:c>
    </x:row>
    <x:row r="980">
      <x:c r="A980" t="str">
        <x:v>HYD06</x:v>
      </x:c>
      <x:c r="B980" s="22" t="n">
        <x:f>DATE(C980,D980,1)</x:f>
        <x:v>44531</x:v>
      </x:c>
      <x:c r="C980" t="n">
        <x:v>2021</x:v>
      </x:c>
      <x:c r="D980" t="n">
        <x:v>12</x:v>
      </x:c>
      <x:c r="E980" t="str">
        <x:f>TEXT(B980,"mmm")</x:f>
        <x:v>Dec</x:v>
      </x:c>
      <x:c r="F980" t="str">
        <x:f>"Q"&amp;ROUNDUP(D980/3,0)</x:f>
        <x:v>Q4</x:v>
      </x:c>
      <x:c r="G980" s="23" t="n">
        <x:v>96.92</x:v>
      </x:c>
      <x:c r="H980" s="23" t="n">
        <x:v>85.73</x:v>
      </x:c>
      <x:c r="I980" s="23" t="n">
        <x:v>91.3</x:v>
      </x:c>
      <x:c r="J980" s="23" t="n">
        <x:f>G980-H980</x:f>
        <x:v>11.189999999999998</x:v>
      </x:c>
      <x:c r="K980" t="str">
        <x:v>HINDCAST</x:v>
      </x:c>
      <x:c r="L980" s="24" t="n">
        <x:v>17.426</x:v>
      </x:c>
      <x:c r="M980" s="24" t="n">
        <x:v>78.4573</x:v>
      </x:c>
      <x:c r="N980" t="str">
        <x:f>IF(I980&gt;70,"70+ dB",IF(I980&gt;55,"56-70 dB","41-55 dB"))</x:f>
        <x:v>70+ dB</x:v>
      </x:c>
      <x:c r="O980" t="str">
        <x:f>IF(I980&gt;70,"High",IF(I980&gt;55,"Moderate","Low"))</x:f>
        <x:v>High</x:v>
      </x:c>
      <x:c r="P980" t="str">
        <x:f>IF(I980&gt;=70,"Yes","No")</x:f>
        <x:v>Yes</x:v>
      </x:c>
      <x:c r="Q980" t="str">
        <x:f>TEXT(B980,"yyyy-mm")</x:f>
        <x:v>2021-12</x:v>
      </x:c>
    </x:row>
    <x:row r="981">
      <x:c r="A981" t="str">
        <x:v>HYD06</x:v>
      </x:c>
      <x:c r="B981" s="22" t="n">
        <x:f>DATE(C981,D981,1)</x:f>
        <x:v>44562</x:v>
      </x:c>
      <x:c r="C981" t="n">
        <x:v>2022</x:v>
      </x:c>
      <x:c r="D981" t="n">
        <x:v>1</x:v>
      </x:c>
      <x:c r="E981" t="str">
        <x:f>TEXT(B981,"mmm")</x:f>
        <x:v>Jan</x:v>
      </x:c>
      <x:c r="F981" t="str">
        <x:f>"Q"&amp;ROUNDUP(D981/3,0)</x:f>
        <x:v>Q1</x:v>
      </x:c>
      <x:c r="G981" s="23" t="n">
        <x:v>98.86</x:v>
      </x:c>
      <x:c r="H981" s="23" t="n">
        <x:v>85.73</x:v>
      </x:c>
      <x:c r="I981" s="23" t="n">
        <x:v>92.3</x:v>
      </x:c>
      <x:c r="J981" s="23" t="n">
        <x:f>G981-H981</x:f>
        <x:v>13.129999999999995</x:v>
      </x:c>
      <x:c r="K981" t="str">
        <x:v>HINDCAST</x:v>
      </x:c>
      <x:c r="L981" s="24" t="n">
        <x:v>17.426</x:v>
      </x:c>
      <x:c r="M981" s="24" t="n">
        <x:v>78.4573</x:v>
      </x:c>
      <x:c r="N981" t="str">
        <x:f>IF(I981&gt;70,"70+ dB",IF(I981&gt;55,"56-70 dB","41-55 dB"))</x:f>
        <x:v>70+ dB</x:v>
      </x:c>
      <x:c r="O981" t="str">
        <x:f>IF(I981&gt;70,"High",IF(I981&gt;55,"Moderate","Low"))</x:f>
        <x:v>High</x:v>
      </x:c>
      <x:c r="P981" t="str">
        <x:f>IF(I981&gt;=70,"Yes","No")</x:f>
        <x:v>Yes</x:v>
      </x:c>
      <x:c r="Q981" t="str">
        <x:f>TEXT(B981,"yyyy-mm")</x:f>
        <x:v>2022-01</x:v>
      </x:c>
    </x:row>
    <x:row r="982">
      <x:c r="A982" t="str">
        <x:v>HYD06</x:v>
      </x:c>
      <x:c r="B982" s="22" t="n">
        <x:f>DATE(C982,D982,1)</x:f>
        <x:v>44593</x:v>
      </x:c>
      <x:c r="C982" t="n">
        <x:v>2022</x:v>
      </x:c>
      <x:c r="D982" t="n">
        <x:v>2</x:v>
      </x:c>
      <x:c r="E982" t="str">
        <x:f>TEXT(B982,"mmm")</x:f>
        <x:v>Feb</x:v>
      </x:c>
      <x:c r="F982" t="str">
        <x:f>"Q"&amp;ROUNDUP(D982/3,0)</x:f>
        <x:v>Q1</x:v>
      </x:c>
      <x:c r="G982" s="23" t="n">
        <x:v>100.64</x:v>
      </x:c>
      <x:c r="H982" s="23" t="n">
        <x:v>90.03</x:v>
      </x:c>
      <x:c r="I982" s="23" t="n">
        <x:v>95.3</x:v>
      </x:c>
      <x:c r="J982" s="23" t="n">
        <x:f>G982-H982</x:f>
        <x:v>10.61</x:v>
      </x:c>
      <x:c r="K982" t="str">
        <x:v>HINDCAST</x:v>
      </x:c>
      <x:c r="L982" s="24" t="n">
        <x:v>17.426</x:v>
      </x:c>
      <x:c r="M982" s="24" t="n">
        <x:v>78.4573</x:v>
      </x:c>
      <x:c r="N982" t="str">
        <x:f>IF(I982&gt;70,"70+ dB",IF(I982&gt;55,"56-70 dB","41-55 dB"))</x:f>
        <x:v>70+ dB</x:v>
      </x:c>
      <x:c r="O982" t="str">
        <x:f>IF(I982&gt;70,"High",IF(I982&gt;55,"Moderate","Low"))</x:f>
        <x:v>High</x:v>
      </x:c>
      <x:c r="P982" t="str">
        <x:f>IF(I982&gt;=70,"Yes","No")</x:f>
        <x:v>Yes</x:v>
      </x:c>
      <x:c r="Q982" t="str">
        <x:f>TEXT(B982,"yyyy-mm")</x:f>
        <x:v>2022-02</x:v>
      </x:c>
    </x:row>
    <x:row r="983">
      <x:c r="A983" t="str">
        <x:v>HYD06</x:v>
      </x:c>
      <x:c r="B983" s="22" t="n">
        <x:f>DATE(C983,D983,1)</x:f>
        <x:v>44621</x:v>
      </x:c>
      <x:c r="C983" t="n">
        <x:v>2022</x:v>
      </x:c>
      <x:c r="D983" t="n">
        <x:v>3</x:v>
      </x:c>
      <x:c r="E983" t="str">
        <x:f>TEXT(B983,"mmm")</x:f>
        <x:v>Mar</x:v>
      </x:c>
      <x:c r="F983" t="str">
        <x:f>"Q"&amp;ROUNDUP(D983/3,0)</x:f>
        <x:v>Q1</x:v>
      </x:c>
      <x:c r="G983" s="23" t="n">
        <x:v>97.6</x:v>
      </x:c>
      <x:c r="H983" s="23" t="n">
        <x:v>84.71</x:v>
      </x:c>
      <x:c r="I983" s="23" t="n">
        <x:v>91.2</x:v>
      </x:c>
      <x:c r="J983" s="23" t="n">
        <x:f>G983-H983</x:f>
        <x:v>12.89</x:v>
      </x:c>
      <x:c r="K983" t="str">
        <x:v>HINDCAST</x:v>
      </x:c>
      <x:c r="L983" s="24" t="n">
        <x:v>17.426</x:v>
      </x:c>
      <x:c r="M983" s="24" t="n">
        <x:v>78.4573</x:v>
      </x:c>
      <x:c r="N983" t="str">
        <x:f>IF(I983&gt;70,"70+ dB",IF(I983&gt;55,"56-70 dB","41-55 dB"))</x:f>
        <x:v>70+ dB</x:v>
      </x:c>
      <x:c r="O983" t="str">
        <x:f>IF(I983&gt;70,"High",IF(I983&gt;55,"Moderate","Low"))</x:f>
        <x:v>High</x:v>
      </x:c>
      <x:c r="P983" t="str">
        <x:f>IF(I983&gt;=70,"Yes","No")</x:f>
        <x:v>Yes</x:v>
      </x:c>
      <x:c r="Q983" t="str">
        <x:f>TEXT(B983,"yyyy-mm")</x:f>
        <x:v>2022-03</x:v>
      </x:c>
    </x:row>
    <x:row r="984">
      <x:c r="A984" t="str">
        <x:v>HYD06</x:v>
      </x:c>
      <x:c r="B984" s="22" t="n">
        <x:f>DATE(C984,D984,1)</x:f>
        <x:v>44652</x:v>
      </x:c>
      <x:c r="C984" t="n">
        <x:v>2022</x:v>
      </x:c>
      <x:c r="D984" t="n">
        <x:v>4</x:v>
      </x:c>
      <x:c r="E984" t="str">
        <x:f>TEXT(B984,"mmm")</x:f>
        <x:v>Apr</x:v>
      </x:c>
      <x:c r="F984" t="str">
        <x:f>"Q"&amp;ROUNDUP(D984/3,0)</x:f>
        <x:v>Q2</x:v>
      </x:c>
      <x:c r="G984" s="23" t="n">
        <x:v>101.45</x:v>
      </x:c>
      <x:c r="H984" s="23" t="n">
        <x:v>92.21</x:v>
      </x:c>
      <x:c r="I984" s="23" t="n">
        <x:v>96.8</x:v>
      </x:c>
      <x:c r="J984" s="23" t="n">
        <x:f>G984-H984</x:f>
        <x:v>9.240000000000009</x:v>
      </x:c>
      <x:c r="K984" t="str">
        <x:v>HINDCAST</x:v>
      </x:c>
      <x:c r="L984" s="24" t="n">
        <x:v>17.426</x:v>
      </x:c>
      <x:c r="M984" s="24" t="n">
        <x:v>78.4573</x:v>
      </x:c>
      <x:c r="N984" t="str">
        <x:f>IF(I984&gt;70,"70+ dB",IF(I984&gt;55,"56-70 dB","41-55 dB"))</x:f>
        <x:v>70+ dB</x:v>
      </x:c>
      <x:c r="O984" t="str">
        <x:f>IF(I984&gt;70,"High",IF(I984&gt;55,"Moderate","Low"))</x:f>
        <x:v>High</x:v>
      </x:c>
      <x:c r="P984" t="str">
        <x:f>IF(I984&gt;=70,"Yes","No")</x:f>
        <x:v>Yes</x:v>
      </x:c>
      <x:c r="Q984" t="str">
        <x:f>TEXT(B984,"yyyy-mm")</x:f>
        <x:v>2022-04</x:v>
      </x:c>
    </x:row>
    <x:row r="985">
      <x:c r="A985" t="str">
        <x:v>HYD06</x:v>
      </x:c>
      <x:c r="B985" s="22" t="n">
        <x:f>DATE(C985,D985,1)</x:f>
        <x:v>44682</x:v>
      </x:c>
      <x:c r="C985" t="n">
        <x:v>2022</x:v>
      </x:c>
      <x:c r="D985" t="n">
        <x:v>5</x:v>
      </x:c>
      <x:c r="E985" t="str">
        <x:f>TEXT(B985,"mmm")</x:f>
        <x:v>May</x:v>
      </x:c>
      <x:c r="F985" t="str">
        <x:f>"Q"&amp;ROUNDUP(D985/3,0)</x:f>
        <x:v>Q2</x:v>
      </x:c>
      <x:c r="G985" s="23" t="n">
        <x:v>96.7</x:v>
      </x:c>
      <x:c r="H985" s="23" t="n">
        <x:v>87.47</x:v>
      </x:c>
      <x:c r="I985" s="23" t="n">
        <x:v>92.1</x:v>
      </x:c>
      <x:c r="J985" s="23" t="n">
        <x:f>G985-H985</x:f>
        <x:v>9.230000000000004</x:v>
      </x:c>
      <x:c r="K985" t="str">
        <x:v>HINDCAST</x:v>
      </x:c>
      <x:c r="L985" s="24" t="n">
        <x:v>17.426</x:v>
      </x:c>
      <x:c r="M985" s="24" t="n">
        <x:v>78.4573</x:v>
      </x:c>
      <x:c r="N985" t="str">
        <x:f>IF(I985&gt;70,"70+ dB",IF(I985&gt;55,"56-70 dB","41-55 dB"))</x:f>
        <x:v>70+ dB</x:v>
      </x:c>
      <x:c r="O985" t="str">
        <x:f>IF(I985&gt;70,"High",IF(I985&gt;55,"Moderate","Low"))</x:f>
        <x:v>High</x:v>
      </x:c>
      <x:c r="P985" t="str">
        <x:f>IF(I985&gt;=70,"Yes","No")</x:f>
        <x:v>Yes</x:v>
      </x:c>
      <x:c r="Q985" t="str">
        <x:f>TEXT(B985,"yyyy-mm")</x:f>
        <x:v>2022-05</x:v>
      </x:c>
    </x:row>
    <x:row r="986">
      <x:c r="A986" t="str">
        <x:v>HYD06</x:v>
      </x:c>
      <x:c r="B986" s="22" t="n">
        <x:f>DATE(C986,D986,1)</x:f>
        <x:v>44713</x:v>
      </x:c>
      <x:c r="C986" t="n">
        <x:v>2022</x:v>
      </x:c>
      <x:c r="D986" t="n">
        <x:v>6</x:v>
      </x:c>
      <x:c r="E986" t="str">
        <x:f>TEXT(B986,"mmm")</x:f>
        <x:v>Jun</x:v>
      </x:c>
      <x:c r="F986" t="str">
        <x:f>"Q"&amp;ROUNDUP(D986/3,0)</x:f>
        <x:v>Q2</x:v>
      </x:c>
      <x:c r="G986" s="23" t="n">
        <x:v>99.57</x:v>
      </x:c>
      <x:c r="H986" s="23" t="n">
        <x:v>92.2</x:v>
      </x:c>
      <x:c r="I986" s="23" t="n">
        <x:v>95.9</x:v>
      </x:c>
      <x:c r="J986" s="23" t="n">
        <x:f>G986-H986</x:f>
        <x:v>7.36999999999999</x:v>
      </x:c>
      <x:c r="K986" t="str">
        <x:v>HINDCAST</x:v>
      </x:c>
      <x:c r="L986" s="24" t="n">
        <x:v>17.426</x:v>
      </x:c>
      <x:c r="M986" s="24" t="n">
        <x:v>78.4573</x:v>
      </x:c>
      <x:c r="N986" t="str">
        <x:f>IF(I986&gt;70,"70+ dB",IF(I986&gt;55,"56-70 dB","41-55 dB"))</x:f>
        <x:v>70+ dB</x:v>
      </x:c>
      <x:c r="O986" t="str">
        <x:f>IF(I986&gt;70,"High",IF(I986&gt;55,"Moderate","Low"))</x:f>
        <x:v>High</x:v>
      </x:c>
      <x:c r="P986" t="str">
        <x:f>IF(I986&gt;=70,"Yes","No")</x:f>
        <x:v>Yes</x:v>
      </x:c>
      <x:c r="Q986" t="str">
        <x:f>TEXT(B986,"yyyy-mm")</x:f>
        <x:v>2022-06</x:v>
      </x:c>
    </x:row>
    <x:row r="987">
      <x:c r="A987" t="str">
        <x:v>HYD06</x:v>
      </x:c>
      <x:c r="B987" s="22" t="n">
        <x:f>DATE(C987,D987,1)</x:f>
        <x:v>44743</x:v>
      </x:c>
      <x:c r="C987" t="n">
        <x:v>2022</x:v>
      </x:c>
      <x:c r="D987" t="n">
        <x:v>7</x:v>
      </x:c>
      <x:c r="E987" t="str">
        <x:f>TEXT(B987,"mmm")</x:f>
        <x:v>Jul</x:v>
      </x:c>
      <x:c r="F987" t="str">
        <x:f>"Q"&amp;ROUNDUP(D987/3,0)</x:f>
        <x:v>Q3</x:v>
      </x:c>
      <x:c r="G987" s="23" t="n">
        <x:v>101.08</x:v>
      </x:c>
      <x:c r="H987" s="23" t="n">
        <x:v>93.31</x:v>
      </x:c>
      <x:c r="I987" s="23" t="n">
        <x:v>97.2</x:v>
      </x:c>
      <x:c r="J987" s="23" t="n">
        <x:f>G987-H987</x:f>
        <x:v>7.769999999999996</x:v>
      </x:c>
      <x:c r="K987" t="str">
        <x:v>HINDCAST</x:v>
      </x:c>
      <x:c r="L987" s="24" t="n">
        <x:v>17.426</x:v>
      </x:c>
      <x:c r="M987" s="24" t="n">
        <x:v>78.4573</x:v>
      </x:c>
      <x:c r="N987" t="str">
        <x:f>IF(I987&gt;70,"70+ dB",IF(I987&gt;55,"56-70 dB","41-55 dB"))</x:f>
        <x:v>70+ dB</x:v>
      </x:c>
      <x:c r="O987" t="str">
        <x:f>IF(I987&gt;70,"High",IF(I987&gt;55,"Moderate","Low"))</x:f>
        <x:v>High</x:v>
      </x:c>
      <x:c r="P987" t="str">
        <x:f>IF(I987&gt;=70,"Yes","No")</x:f>
        <x:v>Yes</x:v>
      </x:c>
      <x:c r="Q987" t="str">
        <x:f>TEXT(B987,"yyyy-mm")</x:f>
        <x:v>2022-07</x:v>
      </x:c>
    </x:row>
    <x:row r="988">
      <x:c r="A988" t="str">
        <x:v>HYD06</x:v>
      </x:c>
      <x:c r="B988" s="22" t="n">
        <x:f>DATE(C988,D988,1)</x:f>
        <x:v>44774</x:v>
      </x:c>
      <x:c r="C988" t="n">
        <x:v>2022</x:v>
      </x:c>
      <x:c r="D988" t="n">
        <x:v>8</x:v>
      </x:c>
      <x:c r="E988" t="str">
        <x:f>TEXT(B988,"mmm")</x:f>
        <x:v>Aug</x:v>
      </x:c>
      <x:c r="F988" t="str">
        <x:f>"Q"&amp;ROUNDUP(D988/3,0)</x:f>
        <x:v>Q3</x:v>
      </x:c>
      <x:c r="G988" s="23" t="n">
        <x:v>100.54</x:v>
      </x:c>
      <x:c r="H988" s="23" t="n">
        <x:v>90.99</x:v>
      </x:c>
      <x:c r="I988" s="23" t="n">
        <x:v>95.8</x:v>
      </x:c>
      <x:c r="J988" s="23" t="n">
        <x:f>G988-H988</x:f>
        <x:v>9.550000000000011</x:v>
      </x:c>
      <x:c r="K988" t="str">
        <x:v>HINDCAST</x:v>
      </x:c>
      <x:c r="L988" s="24" t="n">
        <x:v>17.426</x:v>
      </x:c>
      <x:c r="M988" s="24" t="n">
        <x:v>78.4573</x:v>
      </x:c>
      <x:c r="N988" t="str">
        <x:f>IF(I988&gt;70,"70+ dB",IF(I988&gt;55,"56-70 dB","41-55 dB"))</x:f>
        <x:v>70+ dB</x:v>
      </x:c>
      <x:c r="O988" t="str">
        <x:f>IF(I988&gt;70,"High",IF(I988&gt;55,"Moderate","Low"))</x:f>
        <x:v>High</x:v>
      </x:c>
      <x:c r="P988" t="str">
        <x:f>IF(I988&gt;=70,"Yes","No")</x:f>
        <x:v>Yes</x:v>
      </x:c>
      <x:c r="Q988" t="str">
        <x:f>TEXT(B988,"yyyy-mm")</x:f>
        <x:v>2022-08</x:v>
      </x:c>
    </x:row>
    <x:row r="989">
      <x:c r="A989" t="str">
        <x:v>HYD06</x:v>
      </x:c>
      <x:c r="B989" s="22" t="n">
        <x:f>DATE(C989,D989,1)</x:f>
        <x:v>44805</x:v>
      </x:c>
      <x:c r="C989" t="n">
        <x:v>2022</x:v>
      </x:c>
      <x:c r="D989" t="n">
        <x:v>9</x:v>
      </x:c>
      <x:c r="E989" t="str">
        <x:f>TEXT(B989,"mmm")</x:f>
        <x:v>Sep</x:v>
      </x:c>
      <x:c r="F989" t="str">
        <x:f>"Q"&amp;ROUNDUP(D989/3,0)</x:f>
        <x:v>Q3</x:v>
      </x:c>
      <x:c r="G989" s="23" t="n">
        <x:v>96</x:v>
      </x:c>
      <x:c r="H989" s="23" t="n">
        <x:v>87.59</x:v>
      </x:c>
      <x:c r="I989" s="23" t="n">
        <x:v>91.8</x:v>
      </x:c>
      <x:c r="J989" s="23" t="n">
        <x:f>G989-H989</x:f>
        <x:v>8.409999999999997</x:v>
      </x:c>
      <x:c r="K989" t="str">
        <x:v>HINDCAST</x:v>
      </x:c>
      <x:c r="L989" s="24" t="n">
        <x:v>17.426</x:v>
      </x:c>
      <x:c r="M989" s="24" t="n">
        <x:v>78.4573</x:v>
      </x:c>
      <x:c r="N989" t="str">
        <x:f>IF(I989&gt;70,"70+ dB",IF(I989&gt;55,"56-70 dB","41-55 dB"))</x:f>
        <x:v>70+ dB</x:v>
      </x:c>
      <x:c r="O989" t="str">
        <x:f>IF(I989&gt;70,"High",IF(I989&gt;55,"Moderate","Low"))</x:f>
        <x:v>High</x:v>
      </x:c>
      <x:c r="P989" t="str">
        <x:f>IF(I989&gt;=70,"Yes","No")</x:f>
        <x:v>Yes</x:v>
      </x:c>
      <x:c r="Q989" t="str">
        <x:f>TEXT(B989,"yyyy-mm")</x:f>
        <x:v>2022-09</x:v>
      </x:c>
    </x:row>
    <x:row r="990">
      <x:c r="A990" t="str">
        <x:v>HYD06</x:v>
      </x:c>
      <x:c r="B990" s="22" t="n">
        <x:f>DATE(C990,D990,1)</x:f>
        <x:v>44835</x:v>
      </x:c>
      <x:c r="C990" t="n">
        <x:v>2022</x:v>
      </x:c>
      <x:c r="D990" t="n">
        <x:v>10</x:v>
      </x:c>
      <x:c r="E990" t="str">
        <x:f>TEXT(B990,"mmm")</x:f>
        <x:v>Oct</x:v>
      </x:c>
      <x:c r="F990" t="str">
        <x:f>"Q"&amp;ROUNDUP(D990/3,0)</x:f>
        <x:v>Q4</x:v>
      </x:c>
      <x:c r="G990" s="23" t="n">
        <x:v>98</x:v>
      </x:c>
      <x:c r="H990" s="23" t="n">
        <x:v>85.85</x:v>
      </x:c>
      <x:c r="I990" s="23" t="n">
        <x:v>91.9</x:v>
      </x:c>
      <x:c r="J990" s="23" t="n">
        <x:f>G990-H990</x:f>
        <x:v>12.150000000000006</x:v>
      </x:c>
      <x:c r="K990" t="str">
        <x:v>HINDCAST</x:v>
      </x:c>
      <x:c r="L990" s="24" t="n">
        <x:v>17.426</x:v>
      </x:c>
      <x:c r="M990" s="24" t="n">
        <x:v>78.4573</x:v>
      </x:c>
      <x:c r="N990" t="str">
        <x:f>IF(I990&gt;70,"70+ dB",IF(I990&gt;55,"56-70 dB","41-55 dB"))</x:f>
        <x:v>70+ dB</x:v>
      </x:c>
      <x:c r="O990" t="str">
        <x:f>IF(I990&gt;70,"High",IF(I990&gt;55,"Moderate","Low"))</x:f>
        <x:v>High</x:v>
      </x:c>
      <x:c r="P990" t="str">
        <x:f>IF(I990&gt;=70,"Yes","No")</x:f>
        <x:v>Yes</x:v>
      </x:c>
      <x:c r="Q990" t="str">
        <x:f>TEXT(B990,"yyyy-mm")</x:f>
        <x:v>2022-10</x:v>
      </x:c>
    </x:row>
    <x:row r="991">
      <x:c r="A991" t="str">
        <x:v>HYD06</x:v>
      </x:c>
      <x:c r="B991" s="22" t="n">
        <x:f>DATE(C991,D991,1)</x:f>
        <x:v>44866</x:v>
      </x:c>
      <x:c r="C991" t="n">
        <x:v>2022</x:v>
      </x:c>
      <x:c r="D991" t="n">
        <x:v>11</x:v>
      </x:c>
      <x:c r="E991" t="str">
        <x:f>TEXT(B991,"mmm")</x:f>
        <x:v>Nov</x:v>
      </x:c>
      <x:c r="F991" t="str">
        <x:f>"Q"&amp;ROUNDUP(D991/3,0)</x:f>
        <x:v>Q4</x:v>
      </x:c>
      <x:c r="G991" s="23" t="n">
        <x:v>102.14</x:v>
      </x:c>
      <x:c r="H991" s="23" t="n">
        <x:v>92.11</x:v>
      </x:c>
      <x:c r="I991" s="23" t="n">
        <x:v>97.1</x:v>
      </x:c>
      <x:c r="J991" s="23" t="n">
        <x:f>G991-H991</x:f>
        <x:v>10.030000000000001</x:v>
      </x:c>
      <x:c r="K991" t="str">
        <x:v>HINDCAST</x:v>
      </x:c>
      <x:c r="L991" s="24" t="n">
        <x:v>17.426</x:v>
      </x:c>
      <x:c r="M991" s="24" t="n">
        <x:v>78.4573</x:v>
      </x:c>
      <x:c r="N991" t="str">
        <x:f>IF(I991&gt;70,"70+ dB",IF(I991&gt;55,"56-70 dB","41-55 dB"))</x:f>
        <x:v>70+ dB</x:v>
      </x:c>
      <x:c r="O991" t="str">
        <x:f>IF(I991&gt;70,"High",IF(I991&gt;55,"Moderate","Low"))</x:f>
        <x:v>High</x:v>
      </x:c>
      <x:c r="P991" t="str">
        <x:f>IF(I991&gt;=70,"Yes","No")</x:f>
        <x:v>Yes</x:v>
      </x:c>
      <x:c r="Q991" t="str">
        <x:f>TEXT(B991,"yyyy-mm")</x:f>
        <x:v>2022-11</x:v>
      </x:c>
    </x:row>
    <x:row r="992">
      <x:c r="A992" t="str">
        <x:v>HYD06</x:v>
      </x:c>
      <x:c r="B992" s="22" t="n">
        <x:f>DATE(C992,D992,1)</x:f>
        <x:v>44896</x:v>
      </x:c>
      <x:c r="C992" t="n">
        <x:v>2022</x:v>
      </x:c>
      <x:c r="D992" t="n">
        <x:v>12</x:v>
      </x:c>
      <x:c r="E992" t="str">
        <x:f>TEXT(B992,"mmm")</x:f>
        <x:v>Dec</x:v>
      </x:c>
      <x:c r="F992" t="str">
        <x:f>"Q"&amp;ROUNDUP(D992/3,0)</x:f>
        <x:v>Q4</x:v>
      </x:c>
      <x:c r="G992" s="23" t="n">
        <x:v>110.1</x:v>
      </x:c>
      <x:c r="H992" s="23" t="n">
        <x:v>98.97</x:v>
      </x:c>
      <x:c r="I992" s="23" t="n">
        <x:v>104.5</x:v>
      </x:c>
      <x:c r="J992" s="23" t="n">
        <x:f>G992-H992</x:f>
        <x:v>11.129999999999995</x:v>
      </x:c>
      <x:c r="K992" t="str">
        <x:v>HINDCAST</x:v>
      </x:c>
      <x:c r="L992" s="24" t="n">
        <x:v>17.426</x:v>
      </x:c>
      <x:c r="M992" s="24" t="n">
        <x:v>78.4573</x:v>
      </x:c>
      <x:c r="N992" t="str">
        <x:f>IF(I992&gt;70,"70+ dB",IF(I992&gt;55,"56-70 dB","41-55 dB"))</x:f>
        <x:v>70+ dB</x:v>
      </x:c>
      <x:c r="O992" t="str">
        <x:f>IF(I992&gt;70,"High",IF(I992&gt;55,"Moderate","Low"))</x:f>
        <x:v>High</x:v>
      </x:c>
      <x:c r="P992" t="str">
        <x:f>IF(I992&gt;=70,"Yes","No")</x:f>
        <x:v>Yes</x:v>
      </x:c>
      <x:c r="Q992" t="str">
        <x:f>TEXT(B992,"yyyy-mm")</x:f>
        <x:v>2022-12</x:v>
      </x:c>
    </x:row>
    <x:row r="993">
      <x:c r="A993" t="str">
        <x:v>HYD06</x:v>
      </x:c>
      <x:c r="B993" s="22" t="n">
        <x:f>DATE(C993,D993,1)</x:f>
        <x:v>44927</x:v>
      </x:c>
      <x:c r="C993" t="n">
        <x:v>2023</x:v>
      </x:c>
      <x:c r="D993" t="n">
        <x:v>1</x:v>
      </x:c>
      <x:c r="E993" t="str">
        <x:f>TEXT(B993,"mmm")</x:f>
        <x:v>Jan</x:v>
      </x:c>
      <x:c r="F993" t="str">
        <x:f>"Q"&amp;ROUNDUP(D993/3,0)</x:f>
        <x:v>Q1</x:v>
      </x:c>
      <x:c r="G993" s="23" t="n">
        <x:v>115.78</x:v>
      </x:c>
      <x:c r="H993" s="23" t="n">
        <x:v>98.18</x:v>
      </x:c>
      <x:c r="I993" s="23" t="n">
        <x:v>107</x:v>
      </x:c>
      <x:c r="J993" s="23" t="n">
        <x:f>G993-H993</x:f>
        <x:v>17.599999999999994</x:v>
      </x:c>
      <x:c r="K993" t="str">
        <x:v>HINDCAST</x:v>
      </x:c>
      <x:c r="L993" s="24" t="n">
        <x:v>17.426</x:v>
      </x:c>
      <x:c r="M993" s="24" t="n">
        <x:v>78.4573</x:v>
      </x:c>
      <x:c r="N993" t="str">
        <x:f>IF(I993&gt;70,"70+ dB",IF(I993&gt;55,"56-70 dB","41-55 dB"))</x:f>
        <x:v>70+ dB</x:v>
      </x:c>
      <x:c r="O993" t="str">
        <x:f>IF(I993&gt;70,"High",IF(I993&gt;55,"Moderate","Low"))</x:f>
        <x:v>High</x:v>
      </x:c>
      <x:c r="P993" t="str">
        <x:f>IF(I993&gt;=70,"Yes","No")</x:f>
        <x:v>Yes</x:v>
      </x:c>
      <x:c r="Q993" t="str">
        <x:f>TEXT(B993,"yyyy-mm")</x:f>
        <x:v>2023-01</x:v>
      </x:c>
    </x:row>
    <x:row r="994">
      <x:c r="A994" t="str">
        <x:v>HYD06</x:v>
      </x:c>
      <x:c r="B994" s="22" t="n">
        <x:f>DATE(C994,D994,1)</x:f>
        <x:v>44958</x:v>
      </x:c>
      <x:c r="C994" t="n">
        <x:v>2023</x:v>
      </x:c>
      <x:c r="D994" t="n">
        <x:v>2</x:v>
      </x:c>
      <x:c r="E994" t="str">
        <x:f>TEXT(B994,"mmm")</x:f>
        <x:v>Feb</x:v>
      </x:c>
      <x:c r="F994" t="str">
        <x:f>"Q"&amp;ROUNDUP(D994/3,0)</x:f>
        <x:v>Q1</x:v>
      </x:c>
      <x:c r="G994" s="23" t="n">
        <x:v>119.23</x:v>
      </x:c>
      <x:c r="H994" s="23" t="n">
        <x:v>106.42</x:v>
      </x:c>
      <x:c r="I994" s="23" t="n">
        <x:v>112.8</x:v>
      </x:c>
      <x:c r="J994" s="23" t="n">
        <x:f>G994-H994</x:f>
        <x:v>12.810000000000002</x:v>
      </x:c>
      <x:c r="K994" t="str">
        <x:v>HINDCAST</x:v>
      </x:c>
      <x:c r="L994" s="24" t="n">
        <x:v>17.426</x:v>
      </x:c>
      <x:c r="M994" s="24" t="n">
        <x:v>78.4573</x:v>
      </x:c>
      <x:c r="N994" t="str">
        <x:f>IF(I994&gt;70,"70+ dB",IF(I994&gt;55,"56-70 dB","41-55 dB"))</x:f>
        <x:v>70+ dB</x:v>
      </x:c>
      <x:c r="O994" t="str">
        <x:f>IF(I994&gt;70,"High",IF(I994&gt;55,"Moderate","Low"))</x:f>
        <x:v>High</x:v>
      </x:c>
      <x:c r="P994" t="str">
        <x:f>IF(I994&gt;=70,"Yes","No")</x:f>
        <x:v>Yes</x:v>
      </x:c>
      <x:c r="Q994" t="str">
        <x:f>TEXT(B994,"yyyy-mm")</x:f>
        <x:v>2023-02</x:v>
      </x:c>
    </x:row>
    <x:row r="995">
      <x:c r="A995" t="str">
        <x:v>HYD06</x:v>
      </x:c>
      <x:c r="B995" s="22" t="n">
        <x:f>DATE(C995,D995,1)</x:f>
        <x:v>44986</x:v>
      </x:c>
      <x:c r="C995" t="n">
        <x:v>2023</x:v>
      </x:c>
      <x:c r="D995" t="n">
        <x:v>3</x:v>
      </x:c>
      <x:c r="E995" t="str">
        <x:f>TEXT(B995,"mmm")</x:f>
        <x:v>Mar</x:v>
      </x:c>
      <x:c r="F995" t="str">
        <x:f>"Q"&amp;ROUNDUP(D995/3,0)</x:f>
        <x:v>Q1</x:v>
      </x:c>
      <x:c r="G995" s="23" t="n">
        <x:v>112.57</x:v>
      </x:c>
      <x:c r="H995" s="23" t="n">
        <x:v>95.22</x:v>
      </x:c>
      <x:c r="I995" s="23" t="n">
        <x:v>103.9</x:v>
      </x:c>
      <x:c r="J995" s="23" t="n">
        <x:f>G995-H995</x:f>
        <x:v>17.349999999999994</x:v>
      </x:c>
      <x:c r="K995" t="str">
        <x:v>HINDCAST</x:v>
      </x:c>
      <x:c r="L995" s="24" t="n">
        <x:v>17.426</x:v>
      </x:c>
      <x:c r="M995" s="24" t="n">
        <x:v>78.4573</x:v>
      </x:c>
      <x:c r="N995" t="str">
        <x:f>IF(I995&gt;70,"70+ dB",IF(I995&gt;55,"56-70 dB","41-55 dB"))</x:f>
        <x:v>70+ dB</x:v>
      </x:c>
      <x:c r="O995" t="str">
        <x:f>IF(I995&gt;70,"High",IF(I995&gt;55,"Moderate","Low"))</x:f>
        <x:v>High</x:v>
      </x:c>
      <x:c r="P995" t="str">
        <x:f>IF(I995&gt;=70,"Yes","No")</x:f>
        <x:v>Yes</x:v>
      </x:c>
      <x:c r="Q995" t="str">
        <x:f>TEXT(B995,"yyyy-mm")</x:f>
        <x:v>2023-03</x:v>
      </x:c>
    </x:row>
    <x:row r="996">
      <x:c r="A996" t="str">
        <x:v>HYD06</x:v>
      </x:c>
      <x:c r="B996" s="22" t="n">
        <x:f>DATE(C996,D996,1)</x:f>
        <x:v>45017</x:v>
      </x:c>
      <x:c r="C996" t="n">
        <x:v>2023</x:v>
      </x:c>
      <x:c r="D996" t="n">
        <x:v>4</x:v>
      </x:c>
      <x:c r="E996" t="str">
        <x:f>TEXT(B996,"mmm")</x:f>
        <x:v>Apr</x:v>
      </x:c>
      <x:c r="F996" t="str">
        <x:f>"Q"&amp;ROUNDUP(D996/3,0)</x:f>
        <x:v>Q2</x:v>
      </x:c>
      <x:c r="G996" s="23" t="n">
        <x:v>121.31</x:v>
      </x:c>
      <x:c r="H996" s="23" t="n">
        <x:v>108.79</x:v>
      </x:c>
      <x:c r="I996" s="23" t="n">
        <x:v>115</x:v>
      </x:c>
      <x:c r="J996" s="23" t="n">
        <x:f>G996-H996</x:f>
        <x:v>12.519999999999996</x:v>
      </x:c>
      <x:c r="K996" t="str">
        <x:v>HINDCAST</x:v>
      </x:c>
      <x:c r="L996" s="24" t="n">
        <x:v>17.426</x:v>
      </x:c>
      <x:c r="M996" s="24" t="n">
        <x:v>78.4573</x:v>
      </x:c>
      <x:c r="N996" t="str">
        <x:f>IF(I996&gt;70,"70+ dB",IF(I996&gt;55,"56-70 dB","41-55 dB"))</x:f>
        <x:v>70+ dB</x:v>
      </x:c>
      <x:c r="O996" t="str">
        <x:f>IF(I996&gt;70,"High",IF(I996&gt;55,"Moderate","Low"))</x:f>
        <x:v>High</x:v>
      </x:c>
      <x:c r="P996" t="str">
        <x:f>IF(I996&gt;=70,"Yes","No")</x:f>
        <x:v>Yes</x:v>
      </x:c>
      <x:c r="Q996" t="str">
        <x:f>TEXT(B996,"yyyy-mm")</x:f>
        <x:v>2023-04</x:v>
      </x:c>
    </x:row>
    <x:row r="997">
      <x:c r="A997" t="str">
        <x:v>HYD06</x:v>
      </x:c>
      <x:c r="B997" s="22" t="n">
        <x:f>DATE(C997,D997,1)</x:f>
        <x:v>45047</x:v>
      </x:c>
      <x:c r="C997" t="n">
        <x:v>2023</x:v>
      </x:c>
      <x:c r="D997" t="n">
        <x:v>5</x:v>
      </x:c>
      <x:c r="E997" t="str">
        <x:f>TEXT(B997,"mmm")</x:f>
        <x:v>May</x:v>
      </x:c>
      <x:c r="F997" t="str">
        <x:f>"Q"&amp;ROUNDUP(D997/3,0)</x:f>
        <x:v>Q2</x:v>
      </x:c>
      <x:c r="G997" s="23" t="n">
        <x:v>111.71</x:v>
      </x:c>
      <x:c r="H997" s="23" t="n">
        <x:v>99.64</x:v>
      </x:c>
      <x:c r="I997" s="23" t="n">
        <x:v>105.7</x:v>
      </x:c>
      <x:c r="J997" s="23" t="n">
        <x:f>G997-H997</x:f>
        <x:v>12.069999999999993</x:v>
      </x:c>
      <x:c r="K997" t="str">
        <x:v>HINDCAST</x:v>
      </x:c>
      <x:c r="L997" s="24" t="n">
        <x:v>17.426</x:v>
      </x:c>
      <x:c r="M997" s="24" t="n">
        <x:v>78.4573</x:v>
      </x:c>
      <x:c r="N997" t="str">
        <x:f>IF(I997&gt;70,"70+ dB",IF(I997&gt;55,"56-70 dB","41-55 dB"))</x:f>
        <x:v>70+ dB</x:v>
      </x:c>
      <x:c r="O997" t="str">
        <x:f>IF(I997&gt;70,"High",IF(I997&gt;55,"Moderate","Low"))</x:f>
        <x:v>High</x:v>
      </x:c>
      <x:c r="P997" t="str">
        <x:f>IF(I997&gt;=70,"Yes","No")</x:f>
        <x:v>Yes</x:v>
      </x:c>
      <x:c r="Q997" t="str">
        <x:f>TEXT(B997,"yyyy-mm")</x:f>
        <x:v>2023-05</x:v>
      </x:c>
    </x:row>
    <x:row r="998">
      <x:c r="A998" t="str">
        <x:v>HYD06</x:v>
      </x:c>
      <x:c r="B998" s="22" t="n">
        <x:f>DATE(C998,D998,1)</x:f>
        <x:v>45078</x:v>
      </x:c>
      <x:c r="C998" t="n">
        <x:v>2023</x:v>
      </x:c>
      <x:c r="D998" t="n">
        <x:v>6</x:v>
      </x:c>
      <x:c r="E998" t="str">
        <x:f>TEXT(B998,"mmm")</x:f>
        <x:v>Jun</x:v>
      </x:c>
      <x:c r="F998" t="str">
        <x:f>"Q"&amp;ROUNDUP(D998/3,0)</x:f>
        <x:v>Q2</x:v>
      </x:c>
      <x:c r="G998" s="23" t="n">
        <x:v>114.11</x:v>
      </x:c>
      <x:c r="H998" s="23" t="n">
        <x:v>104.07</x:v>
      </x:c>
      <x:c r="I998" s="23" t="n">
        <x:v>109.1</x:v>
      </x:c>
      <x:c r="J998" s="23" t="n">
        <x:f>G998-H998</x:f>
        <x:v>10.040000000000006</x:v>
      </x:c>
      <x:c r="K998" t="str">
        <x:v>HINDCAST</x:v>
      </x:c>
      <x:c r="L998" s="24" t="n">
        <x:v>17.426</x:v>
      </x:c>
      <x:c r="M998" s="24" t="n">
        <x:v>78.4573</x:v>
      </x:c>
      <x:c r="N998" t="str">
        <x:f>IF(I998&gt;70,"70+ dB",IF(I998&gt;55,"56-70 dB","41-55 dB"))</x:f>
        <x:v>70+ dB</x:v>
      </x:c>
      <x:c r="O998" t="str">
        <x:f>IF(I998&gt;70,"High",IF(I998&gt;55,"Moderate","Low"))</x:f>
        <x:v>High</x:v>
      </x:c>
      <x:c r="P998" t="str">
        <x:f>IF(I998&gt;=70,"Yes","No")</x:f>
        <x:v>Yes</x:v>
      </x:c>
      <x:c r="Q998" t="str">
        <x:f>TEXT(B998,"yyyy-mm")</x:f>
        <x:v>2023-06</x:v>
      </x:c>
    </x:row>
    <x:row r="999">
      <x:c r="A999" t="str">
        <x:v>HYD06</x:v>
      </x:c>
      <x:c r="B999" s="22" t="n">
        <x:f>DATE(C999,D999,1)</x:f>
        <x:v>45108</x:v>
      </x:c>
      <x:c r="C999" t="n">
        <x:v>2023</x:v>
      </x:c>
      <x:c r="D999" t="n">
        <x:v>7</x:v>
      </x:c>
      <x:c r="E999" t="str">
        <x:f>TEXT(B999,"mmm")</x:f>
        <x:v>Jul</x:v>
      </x:c>
      <x:c r="F999" t="str">
        <x:f>"Q"&amp;ROUNDUP(D999/3,0)</x:f>
        <x:v>Q3</x:v>
      </x:c>
      <x:c r="G999" s="23" t="n">
        <x:v>115.17</x:v>
      </x:c>
      <x:c r="H999" s="23" t="n">
        <x:v>104.36</x:v>
      </x:c>
      <x:c r="I999" s="23" t="n">
        <x:v>109.8</x:v>
      </x:c>
      <x:c r="J999" s="23" t="n">
        <x:f>G999-H999</x:f>
        <x:v>10.810000000000002</x:v>
      </x:c>
      <x:c r="K999" t="str">
        <x:v>HINDCAST</x:v>
      </x:c>
      <x:c r="L999" s="24" t="n">
        <x:v>17.426</x:v>
      </x:c>
      <x:c r="M999" s="24" t="n">
        <x:v>78.4573</x:v>
      </x:c>
      <x:c r="N999" t="str">
        <x:f>IF(I999&gt;70,"70+ dB",IF(I999&gt;55,"56-70 dB","41-55 dB"))</x:f>
        <x:v>70+ dB</x:v>
      </x:c>
      <x:c r="O999" t="str">
        <x:f>IF(I999&gt;70,"High",IF(I999&gt;55,"Moderate","Low"))</x:f>
        <x:v>High</x:v>
      </x:c>
      <x:c r="P999" t="str">
        <x:f>IF(I999&gt;=70,"Yes","No")</x:f>
        <x:v>Yes</x:v>
      </x:c>
      <x:c r="Q999" t="str">
        <x:f>TEXT(B999,"yyyy-mm")</x:f>
        <x:v>2023-07</x:v>
      </x:c>
    </x:row>
    <x:row r="1000">
      <x:c r="A1000" t="str">
        <x:v>HYD06</x:v>
      </x:c>
      <x:c r="B1000" s="22" t="n">
        <x:f>DATE(C1000,D1000,1)</x:f>
        <x:v>45139</x:v>
      </x:c>
      <x:c r="C1000" t="n">
        <x:v>2023</x:v>
      </x:c>
      <x:c r="D1000" t="n">
        <x:v>8</x:v>
      </x:c>
      <x:c r="E1000" t="str">
        <x:f>TEXT(B1000,"mmm")</x:f>
        <x:v>Aug</x:v>
      </x:c>
      <x:c r="F1000" t="str">
        <x:f>"Q"&amp;ROUNDUP(D1000/3,0)</x:f>
        <x:v>Q3</x:v>
      </x:c>
      <x:c r="G1000" s="23" t="n">
        <x:v>113.7</x:v>
      </x:c>
      <x:c r="H1000" s="23" t="n">
        <x:v>101.73</x:v>
      </x:c>
      <x:c r="I1000" s="23" t="n">
        <x:v>107.7</x:v>
      </x:c>
      <x:c r="J1000" s="23" t="n">
        <x:f>G1000-H1000</x:f>
        <x:v>11.969999999999999</x:v>
      </x:c>
      <x:c r="K1000" t="str">
        <x:v>HINDCAST</x:v>
      </x:c>
      <x:c r="L1000" s="24" t="n">
        <x:v>17.426</x:v>
      </x:c>
      <x:c r="M1000" s="24" t="n">
        <x:v>78.4573</x:v>
      </x:c>
      <x:c r="N1000" t="str">
        <x:f>IF(I1000&gt;70,"70+ dB",IF(I1000&gt;55,"56-70 dB","41-55 dB"))</x:f>
        <x:v>70+ dB</x:v>
      </x:c>
      <x:c r="O1000" t="str">
        <x:f>IF(I1000&gt;70,"High",IF(I1000&gt;55,"Moderate","Low"))</x:f>
        <x:v>High</x:v>
      </x:c>
      <x:c r="P1000" t="str">
        <x:f>IF(I1000&gt;=70,"Yes","No")</x:f>
        <x:v>Yes</x:v>
      </x:c>
      <x:c r="Q1000" t="str">
        <x:f>TEXT(B1000,"yyyy-mm")</x:f>
        <x:v>2023-08</x:v>
      </x:c>
    </x:row>
    <x:row r="1001">
      <x:c r="A1001" t="str">
        <x:v>HYD06</x:v>
      </x:c>
      <x:c r="B1001" s="22" t="n">
        <x:f>DATE(C1001,D1001,1)</x:f>
        <x:v>45170</x:v>
      </x:c>
      <x:c r="C1001" t="n">
        <x:v>2023</x:v>
      </x:c>
      <x:c r="D1001" t="n">
        <x:v>9</x:v>
      </x:c>
      <x:c r="E1001" t="str">
        <x:f>TEXT(B1001,"mmm")</x:f>
        <x:v>Sep</x:v>
      </x:c>
      <x:c r="F1001" t="str">
        <x:f>"Q"&amp;ROUNDUP(D1001/3,0)</x:f>
        <x:v>Q3</x:v>
      </x:c>
      <x:c r="G1001" s="23" t="n">
        <x:v>112.72</x:v>
      </x:c>
      <x:c r="H1001" s="23" t="n">
        <x:v>100.79</x:v>
      </x:c>
      <x:c r="I1001" s="23" t="n">
        <x:v>106.8</x:v>
      </x:c>
      <x:c r="J1001" s="23" t="n">
        <x:f>G1001-H1001</x:f>
        <x:v>11.929999999999993</x:v>
      </x:c>
      <x:c r="K1001" t="str">
        <x:v>HINDCAST</x:v>
      </x:c>
      <x:c r="L1001" s="24" t="n">
        <x:v>17.426</x:v>
      </x:c>
      <x:c r="M1001" s="24" t="n">
        <x:v>78.4573</x:v>
      </x:c>
      <x:c r="N1001" t="str">
        <x:f>IF(I1001&gt;70,"70+ dB",IF(I1001&gt;55,"56-70 dB","41-55 dB"))</x:f>
        <x:v>70+ dB</x:v>
      </x:c>
      <x:c r="O1001" t="str">
        <x:f>IF(I1001&gt;70,"High",IF(I1001&gt;55,"Moderate","Low"))</x:f>
        <x:v>High</x:v>
      </x:c>
      <x:c r="P1001" t="str">
        <x:f>IF(I1001&gt;=70,"Yes","No")</x:f>
        <x:v>Yes</x:v>
      </x:c>
      <x:c r="Q1001" t="str">
        <x:f>TEXT(B1001,"yyyy-mm")</x:f>
        <x:v>2023-09</x:v>
      </x:c>
    </x:row>
    <x:row r="1002">
      <x:c r="A1002" t="str">
        <x:v>HYD06</x:v>
      </x:c>
      <x:c r="B1002" s="22" t="n">
        <x:f>DATE(C1002,D1002,1)</x:f>
        <x:v>45200</x:v>
      </x:c>
      <x:c r="C1002" t="n">
        <x:v>2023</x:v>
      </x:c>
      <x:c r="D1002" t="n">
        <x:v>10</x:v>
      </x:c>
      <x:c r="E1002" t="str">
        <x:f>TEXT(B1002,"mmm")</x:f>
        <x:v>Oct</x:v>
      </x:c>
      <x:c r="F1002" t="str">
        <x:f>"Q"&amp;ROUNDUP(D1002/3,0)</x:f>
        <x:v>Q4</x:v>
      </x:c>
      <x:c r="G1002" s="23" t="n">
        <x:v>111.82</x:v>
      </x:c>
      <x:c r="H1002" s="23" t="n">
        <x:v>97.4</x:v>
      </x:c>
      <x:c r="I1002" s="23" t="n">
        <x:v>104.6</x:v>
      </x:c>
      <x:c r="J1002" s="23" t="n">
        <x:f>G1002-H1002</x:f>
        <x:v>14.419999999999987</x:v>
      </x:c>
      <x:c r="K1002" t="str">
        <x:v>HINDCAST</x:v>
      </x:c>
      <x:c r="L1002" s="24" t="n">
        <x:v>17.426</x:v>
      </x:c>
      <x:c r="M1002" s="24" t="n">
        <x:v>78.4573</x:v>
      </x:c>
      <x:c r="N1002" t="str">
        <x:f>IF(I1002&gt;70,"70+ dB",IF(I1002&gt;55,"56-70 dB","41-55 dB"))</x:f>
        <x:v>70+ dB</x:v>
      </x:c>
      <x:c r="O1002" t="str">
        <x:f>IF(I1002&gt;70,"High",IF(I1002&gt;55,"Moderate","Low"))</x:f>
        <x:v>High</x:v>
      </x:c>
      <x:c r="P1002" t="str">
        <x:f>IF(I1002&gt;=70,"Yes","No")</x:f>
        <x:v>Yes</x:v>
      </x:c>
      <x:c r="Q1002" t="str">
        <x:f>TEXT(B1002,"yyyy-mm")</x:f>
        <x:v>2023-10</x:v>
      </x:c>
    </x:row>
    <x:row r="1003">
      <x:c r="A1003" t="str">
        <x:v>HYD06</x:v>
      </x:c>
      <x:c r="B1003" s="22" t="n">
        <x:f>DATE(C1003,D1003,1)</x:f>
        <x:v>45231</x:v>
      </x:c>
      <x:c r="C1003" t="n">
        <x:v>2023</x:v>
      </x:c>
      <x:c r="D1003" t="n">
        <x:v>11</x:v>
      </x:c>
      <x:c r="E1003" t="str">
        <x:f>TEXT(B1003,"mmm")</x:f>
        <x:v>Nov</x:v>
      </x:c>
      <x:c r="F1003" t="str">
        <x:f>"Q"&amp;ROUNDUP(D1003/3,0)</x:f>
        <x:v>Q4</x:v>
      </x:c>
      <x:c r="G1003" s="23" t="n">
        <x:v>114.85</x:v>
      </x:c>
      <x:c r="H1003" s="23" t="n">
        <x:v>102.96</x:v>
      </x:c>
      <x:c r="I1003" s="23" t="n">
        <x:v>108.9</x:v>
      </x:c>
      <x:c r="J1003" s="23" t="n">
        <x:f>G1003-H1003</x:f>
        <x:v>11.89</x:v>
      </x:c>
      <x:c r="K1003" t="str">
        <x:v>HINDCAST</x:v>
      </x:c>
      <x:c r="L1003" s="24" t="n">
        <x:v>17.426</x:v>
      </x:c>
      <x:c r="M1003" s="24" t="n">
        <x:v>78.4573</x:v>
      </x:c>
      <x:c r="N1003" t="str">
        <x:f>IF(I1003&gt;70,"70+ dB",IF(I1003&gt;55,"56-70 dB","41-55 dB"))</x:f>
        <x:v>70+ dB</x:v>
      </x:c>
      <x:c r="O1003" t="str">
        <x:f>IF(I1003&gt;70,"High",IF(I1003&gt;55,"Moderate","Low"))</x:f>
        <x:v>High</x:v>
      </x:c>
      <x:c r="P1003" t="str">
        <x:f>IF(I1003&gt;=70,"Yes","No")</x:f>
        <x:v>Yes</x:v>
      </x:c>
      <x:c r="Q1003" t="str">
        <x:f>TEXT(B1003,"yyyy-mm")</x:f>
        <x:v>2023-11</x:v>
      </x:c>
    </x:row>
    <x:row r="1004">
      <x:c r="A1004" t="str">
        <x:v>HYD06</x:v>
      </x:c>
      <x:c r="B1004" s="22" t="n">
        <x:f>DATE(C1004,D1004,1)</x:f>
        <x:v>45261</x:v>
      </x:c>
      <x:c r="C1004" t="n">
        <x:v>2023</x:v>
      </x:c>
      <x:c r="D1004" t="n">
        <x:v>12</x:v>
      </x:c>
      <x:c r="E1004" t="str">
        <x:f>TEXT(B1004,"mmm")</x:f>
        <x:v>Dec</x:v>
      </x:c>
      <x:c r="F1004" t="str">
        <x:f>"Q"&amp;ROUNDUP(D1004/3,0)</x:f>
        <x:v>Q4</x:v>
      </x:c>
      <x:c r="G1004" s="23" t="n">
        <x:v>114.33</x:v>
      </x:c>
      <x:c r="H1004" s="23" t="n">
        <x:v>101.19</x:v>
      </x:c>
      <x:c r="I1004" s="23" t="n">
        <x:v>107.8</x:v>
      </x:c>
      <x:c r="J1004" s="23" t="n">
        <x:f>G1004-H1004</x:f>
        <x:v>13.14</x:v>
      </x:c>
      <x:c r="K1004" t="str">
        <x:v>HINDCAST</x:v>
      </x:c>
      <x:c r="L1004" s="24" t="n">
        <x:v>17.426</x:v>
      </x:c>
      <x:c r="M1004" s="24" t="n">
        <x:v>78.4573</x:v>
      </x:c>
      <x:c r="N1004" t="str">
        <x:f>IF(I1004&gt;70,"70+ dB",IF(I1004&gt;55,"56-70 dB","41-55 dB"))</x:f>
        <x:v>70+ dB</x:v>
      </x:c>
      <x:c r="O1004" t="str">
        <x:f>IF(I1004&gt;70,"High",IF(I1004&gt;55,"Moderate","Low"))</x:f>
        <x:v>High</x:v>
      </x:c>
      <x:c r="P1004" t="str">
        <x:f>IF(I1004&gt;=70,"Yes","No")</x:f>
        <x:v>Yes</x:v>
      </x:c>
      <x:c r="Q1004" t="str">
        <x:f>TEXT(B1004,"yyyy-mm")</x:f>
        <x:v>2023-12</x:v>
      </x:c>
    </x:row>
    <x:row r="1005">
      <x:c r="A1005" t="str">
        <x:v>HYD06</x:v>
      </x:c>
      <x:c r="B1005" s="22" t="n">
        <x:f>DATE(C1005,D1005,1)</x:f>
        <x:v>45292</x:v>
      </x:c>
      <x:c r="C1005" t="n">
        <x:v>2024</x:v>
      </x:c>
      <x:c r="D1005" t="n">
        <x:v>1</x:v>
      </x:c>
      <x:c r="E1005" t="str">
        <x:f>TEXT(B1005,"mmm")</x:f>
        <x:v>Jan</x:v>
      </x:c>
      <x:c r="F1005" t="str">
        <x:f>"Q"&amp;ROUNDUP(D1005/3,0)</x:f>
        <x:v>Q1</x:v>
      </x:c>
      <x:c r="G1005" s="23" t="n">
        <x:v>116.97</x:v>
      </x:c>
      <x:c r="H1005" s="23" t="n">
        <x:v>101.01</x:v>
      </x:c>
      <x:c r="I1005" s="23" t="n">
        <x:v>109</x:v>
      </x:c>
      <x:c r="J1005" s="23" t="n">
        <x:f>G1005-H1005</x:f>
        <x:v>15.959999999999994</x:v>
      </x:c>
      <x:c r="K1005" t="str">
        <x:v>HINDCAST</x:v>
      </x:c>
      <x:c r="L1005" s="24" t="n">
        <x:v>17.426</x:v>
      </x:c>
      <x:c r="M1005" s="24" t="n">
        <x:v>78.4573</x:v>
      </x:c>
      <x:c r="N1005" t="str">
        <x:f>IF(I1005&gt;70,"70+ dB",IF(I1005&gt;55,"56-70 dB","41-55 dB"))</x:f>
        <x:v>70+ dB</x:v>
      </x:c>
      <x:c r="O1005" t="str">
        <x:f>IF(I1005&gt;70,"High",IF(I1005&gt;55,"Moderate","Low"))</x:f>
        <x:v>High</x:v>
      </x:c>
      <x:c r="P1005" t="str">
        <x:f>IF(I1005&gt;=70,"Yes","No")</x:f>
        <x:v>Yes</x:v>
      </x:c>
      <x:c r="Q1005" t="str">
        <x:f>TEXT(B1005,"yyyy-mm")</x:f>
        <x:v>2024-01</x:v>
      </x:c>
    </x:row>
    <x:row r="1006">
      <x:c r="A1006" t="str">
        <x:v>HYD06</x:v>
      </x:c>
      <x:c r="B1006" s="22" t="n">
        <x:f>DATE(C1006,D1006,1)</x:f>
        <x:v>45323</x:v>
      </x:c>
      <x:c r="C1006" t="n">
        <x:v>2024</x:v>
      </x:c>
      <x:c r="D1006" t="n">
        <x:v>2</x:v>
      </x:c>
      <x:c r="E1006" t="str">
        <x:f>TEXT(B1006,"mmm")</x:f>
        <x:v>Feb</x:v>
      </x:c>
      <x:c r="F1006" t="str">
        <x:f>"Q"&amp;ROUNDUP(D1006/3,0)</x:f>
        <x:v>Q1</x:v>
      </x:c>
      <x:c r="G1006" s="23" t="n">
        <x:v>119.07</x:v>
      </x:c>
      <x:c r="H1006" s="23" t="n">
        <x:v>106.22</x:v>
      </x:c>
      <x:c r="I1006" s="23" t="n">
        <x:v>112.6</x:v>
      </x:c>
      <x:c r="J1006" s="23" t="n">
        <x:f>G1006-H1006</x:f>
        <x:v>12.849999999999994</x:v>
      </x:c>
      <x:c r="K1006" t="str">
        <x:v>HINDCAST</x:v>
      </x:c>
      <x:c r="L1006" s="24" t="n">
        <x:v>17.426</x:v>
      </x:c>
      <x:c r="M1006" s="24" t="n">
        <x:v>78.4573</x:v>
      </x:c>
      <x:c r="N1006" t="str">
        <x:f>IF(I1006&gt;70,"70+ dB",IF(I1006&gt;55,"56-70 dB","41-55 dB"))</x:f>
        <x:v>70+ dB</x:v>
      </x:c>
      <x:c r="O1006" t="str">
        <x:f>IF(I1006&gt;70,"High",IF(I1006&gt;55,"Moderate","Low"))</x:f>
        <x:v>High</x:v>
      </x:c>
      <x:c r="P1006" t="str">
        <x:f>IF(I1006&gt;=70,"Yes","No")</x:f>
        <x:v>Yes</x:v>
      </x:c>
      <x:c r="Q1006" t="str">
        <x:f>TEXT(B1006,"yyyy-mm")</x:f>
        <x:v>2024-02</x:v>
      </x:c>
    </x:row>
    <x:row r="1007">
      <x:c r="A1007" t="str">
        <x:v>HYD06</x:v>
      </x:c>
      <x:c r="B1007" s="22" t="n">
        <x:f>DATE(C1007,D1007,1)</x:f>
        <x:v>45352</x:v>
      </x:c>
      <x:c r="C1007" t="n">
        <x:v>2024</x:v>
      </x:c>
      <x:c r="D1007" t="n">
        <x:v>3</x:v>
      </x:c>
      <x:c r="E1007" t="str">
        <x:f>TEXT(B1007,"mmm")</x:f>
        <x:v>Mar</x:v>
      </x:c>
      <x:c r="F1007" t="str">
        <x:f>"Q"&amp;ROUNDUP(D1007/3,0)</x:f>
        <x:v>Q1</x:v>
      </x:c>
      <x:c r="G1007" s="23" t="n">
        <x:v>115.34</x:v>
      </x:c>
      <x:c r="H1007" s="23" t="n">
        <x:v>99.53</x:v>
      </x:c>
      <x:c r="I1007" s="23" t="n">
        <x:v>107.4</x:v>
      </x:c>
      <x:c r="J1007" s="23" t="n">
        <x:f>G1007-H1007</x:f>
        <x:v>15.810000000000002</x:v>
      </x:c>
      <x:c r="K1007" t="str">
        <x:v>HINDCAST</x:v>
      </x:c>
      <x:c r="L1007" s="24" t="n">
        <x:v>17.426</x:v>
      </x:c>
      <x:c r="M1007" s="24" t="n">
        <x:v>78.4573</x:v>
      </x:c>
      <x:c r="N1007" t="str">
        <x:f>IF(I1007&gt;70,"70+ dB",IF(I1007&gt;55,"56-70 dB","41-55 dB"))</x:f>
        <x:v>70+ dB</x:v>
      </x:c>
      <x:c r="O1007" t="str">
        <x:f>IF(I1007&gt;70,"High",IF(I1007&gt;55,"Moderate","Low"))</x:f>
        <x:v>High</x:v>
      </x:c>
      <x:c r="P1007" t="str">
        <x:f>IF(I1007&gt;=70,"Yes","No")</x:f>
        <x:v>Yes</x:v>
      </x:c>
      <x:c r="Q1007" t="str">
        <x:f>TEXT(B1007,"yyyy-mm")</x:f>
        <x:v>2024-03</x:v>
      </x:c>
    </x:row>
    <x:row r="1008">
      <x:c r="A1008" t="str">
        <x:v>HYD06</x:v>
      </x:c>
      <x:c r="B1008" s="22" t="n">
        <x:f>DATE(C1008,D1008,1)</x:f>
        <x:v>45383</x:v>
      </x:c>
      <x:c r="C1008" t="n">
        <x:v>2024</x:v>
      </x:c>
      <x:c r="D1008" t="n">
        <x:v>4</x:v>
      </x:c>
      <x:c r="E1008" t="str">
        <x:f>TEXT(B1008,"mmm")</x:f>
        <x:v>Apr</x:v>
      </x:c>
      <x:c r="F1008" t="str">
        <x:f>"Q"&amp;ROUNDUP(D1008/3,0)</x:f>
        <x:v>Q2</x:v>
      </x:c>
      <x:c r="G1008" s="23" t="n">
        <x:v>120.12</x:v>
      </x:c>
      <x:c r="H1008" s="23" t="n">
        <x:v>108.44</x:v>
      </x:c>
      <x:c r="I1008" s="23" t="n">
        <x:v>114.3</x:v>
      </x:c>
      <x:c r="J1008" s="23" t="n">
        <x:f>G1008-H1008</x:f>
        <x:v>11.680000000000007</x:v>
      </x:c>
      <x:c r="K1008" t="str">
        <x:v>HINDCAST</x:v>
      </x:c>
      <x:c r="L1008" s="24" t="n">
        <x:v>17.426</x:v>
      </x:c>
      <x:c r="M1008" s="24" t="n">
        <x:v>78.4573</x:v>
      </x:c>
      <x:c r="N1008" t="str">
        <x:f>IF(I1008&gt;70,"70+ dB",IF(I1008&gt;55,"56-70 dB","41-55 dB"))</x:f>
        <x:v>70+ dB</x:v>
      </x:c>
      <x:c r="O1008" t="str">
        <x:f>IF(I1008&gt;70,"High",IF(I1008&gt;55,"Moderate","Low"))</x:f>
        <x:v>High</x:v>
      </x:c>
      <x:c r="P1008" t="str">
        <x:f>IF(I1008&gt;=70,"Yes","No")</x:f>
        <x:v>Yes</x:v>
      </x:c>
      <x:c r="Q1008" t="str">
        <x:f>TEXT(B1008,"yyyy-mm")</x:f>
        <x:v>2024-04</x:v>
      </x:c>
    </x:row>
    <x:row r="1009">
      <x:c r="A1009" t="str">
        <x:v>HYD06</x:v>
      </x:c>
      <x:c r="B1009" s="22" t="n">
        <x:f>DATE(C1009,D1009,1)</x:f>
        <x:v>45413</x:v>
      </x:c>
      <x:c r="C1009" t="n">
        <x:v>2024</x:v>
      </x:c>
      <x:c r="D1009" t="n">
        <x:v>5</x:v>
      </x:c>
      <x:c r="E1009" t="str">
        <x:f>TEXT(B1009,"mmm")</x:f>
        <x:v>May</x:v>
      </x:c>
      <x:c r="F1009" t="str">
        <x:f>"Q"&amp;ROUNDUP(D1009/3,0)</x:f>
        <x:v>Q2</x:v>
      </x:c>
      <x:c r="G1009" s="23" t="n">
        <x:v>114.45</x:v>
      </x:c>
      <x:c r="H1009" s="23" t="n">
        <x:v>102.68</x:v>
      </x:c>
      <x:c r="I1009" s="23" t="n">
        <x:v>108.6</x:v>
      </x:c>
      <x:c r="J1009" s="23" t="n">
        <x:f>G1009-H1009</x:f>
        <x:v>11.769999999999996</x:v>
      </x:c>
      <x:c r="K1009" t="str">
        <x:v>HINDCAST</x:v>
      </x:c>
      <x:c r="L1009" s="24" t="n">
        <x:v>17.426</x:v>
      </x:c>
      <x:c r="M1009" s="24" t="n">
        <x:v>78.4573</x:v>
      </x:c>
      <x:c r="N1009" t="str">
        <x:f>IF(I1009&gt;70,"70+ dB",IF(I1009&gt;55,"56-70 dB","41-55 dB"))</x:f>
        <x:v>70+ dB</x:v>
      </x:c>
      <x:c r="O1009" t="str">
        <x:f>IF(I1009&gt;70,"High",IF(I1009&gt;55,"Moderate","Low"))</x:f>
        <x:v>High</x:v>
      </x:c>
      <x:c r="P1009" t="str">
        <x:f>IF(I1009&gt;=70,"Yes","No")</x:f>
        <x:v>Yes</x:v>
      </x:c>
      <x:c r="Q1009" t="str">
        <x:f>TEXT(B1009,"yyyy-mm")</x:f>
        <x:v>2024-05</x:v>
      </x:c>
    </x:row>
    <x:row r="1010">
      <x:c r="A1010" t="str">
        <x:v>HYD06</x:v>
      </x:c>
      <x:c r="B1010" s="22" t="n">
        <x:f>DATE(C1010,D1010,1)</x:f>
        <x:v>45444</x:v>
      </x:c>
      <x:c r="C1010" t="n">
        <x:v>2024</x:v>
      </x:c>
      <x:c r="D1010" t="n">
        <x:v>6</x:v>
      </x:c>
      <x:c r="E1010" t="str">
        <x:f>TEXT(B1010,"mmm")</x:f>
        <x:v>Jun</x:v>
      </x:c>
      <x:c r="F1010" t="str">
        <x:f>"Q"&amp;ROUNDUP(D1010/3,0)</x:f>
        <x:v>Q2</x:v>
      </x:c>
      <x:c r="G1010" s="23" t="n">
        <x:v>117.24</x:v>
      </x:c>
      <x:c r="H1010" s="23" t="n">
        <x:v>107.34</x:v>
      </x:c>
      <x:c r="I1010" s="23" t="n">
        <x:v>112.3</x:v>
      </x:c>
      <x:c r="J1010" s="23" t="n">
        <x:f>G1010-H1010</x:f>
        <x:v>9.899999999999991</x:v>
      </x:c>
      <x:c r="K1010" t="str">
        <x:v>HINDCAST</x:v>
      </x:c>
      <x:c r="L1010" s="24" t="n">
        <x:v>17.426</x:v>
      </x:c>
      <x:c r="M1010" s="24" t="n">
        <x:v>78.4573</x:v>
      </x:c>
      <x:c r="N1010" t="str">
        <x:f>IF(I1010&gt;70,"70+ dB",IF(I1010&gt;55,"56-70 dB","41-55 dB"))</x:f>
        <x:v>70+ dB</x:v>
      </x:c>
      <x:c r="O1010" t="str">
        <x:f>IF(I1010&gt;70,"High",IF(I1010&gt;55,"Moderate","Low"))</x:f>
        <x:v>High</x:v>
      </x:c>
      <x:c r="P1010" t="str">
        <x:f>IF(I1010&gt;=70,"Yes","No")</x:f>
        <x:v>Yes</x:v>
      </x:c>
      <x:c r="Q1010" t="str">
        <x:f>TEXT(B1010,"yyyy-mm")</x:f>
        <x:v>2024-06</x:v>
      </x:c>
    </x:row>
    <x:row r="1011">
      <x:c r="A1011" t="str">
        <x:v>HYD06</x:v>
      </x:c>
      <x:c r="B1011" s="22" t="n">
        <x:f>DATE(C1011,D1011,1)</x:f>
        <x:v>45474</x:v>
      </x:c>
      <x:c r="C1011" t="n">
        <x:v>2024</x:v>
      </x:c>
      <x:c r="D1011" t="n">
        <x:v>7</x:v>
      </x:c>
      <x:c r="E1011" t="str">
        <x:f>TEXT(B1011,"mmm")</x:f>
        <x:v>Jul</x:v>
      </x:c>
      <x:c r="F1011" t="str">
        <x:f>"Q"&amp;ROUNDUP(D1011/3,0)</x:f>
        <x:v>Q3</x:v>
      </x:c>
      <x:c r="G1011" s="23" t="n">
        <x:v>118.66</x:v>
      </x:c>
      <x:c r="H1011" s="23" t="n">
        <x:v>108.26</x:v>
      </x:c>
      <x:c r="I1011" s="23" t="n">
        <x:v>113.5</x:v>
      </x:c>
      <x:c r="J1011" s="23" t="n">
        <x:f>G1011-H1011</x:f>
        <x:v>10.399999999999991</x:v>
      </x:c>
      <x:c r="K1011" t="str">
        <x:v>HINDCAST</x:v>
      </x:c>
      <x:c r="L1011" s="24" t="n">
        <x:v>17.426</x:v>
      </x:c>
      <x:c r="M1011" s="24" t="n">
        <x:v>78.4573</x:v>
      </x:c>
      <x:c r="N1011" t="str">
        <x:f>IF(I1011&gt;70,"70+ dB",IF(I1011&gt;55,"56-70 dB","41-55 dB"))</x:f>
        <x:v>70+ dB</x:v>
      </x:c>
      <x:c r="O1011" t="str">
        <x:f>IF(I1011&gt;70,"High",IF(I1011&gt;55,"Moderate","Low"))</x:f>
        <x:v>High</x:v>
      </x:c>
      <x:c r="P1011" t="str">
        <x:f>IF(I1011&gt;=70,"Yes","No")</x:f>
        <x:v>Yes</x:v>
      </x:c>
      <x:c r="Q1011" t="str">
        <x:f>TEXT(B1011,"yyyy-mm")</x:f>
        <x:v>2024-07</x:v>
      </x:c>
    </x:row>
    <x:row r="1012">
      <x:c r="A1012" t="str">
        <x:v>HYD06</x:v>
      </x:c>
      <x:c r="B1012" s="22" t="n">
        <x:f>DATE(C1012,D1012,1)</x:f>
        <x:v>45505</x:v>
      </x:c>
      <x:c r="C1012" t="n">
        <x:v>2024</x:v>
      </x:c>
      <x:c r="D1012" t="n">
        <x:v>8</x:v>
      </x:c>
      <x:c r="E1012" t="str">
        <x:f>TEXT(B1012,"mmm")</x:f>
        <x:v>Aug</x:v>
      </x:c>
      <x:c r="F1012" t="str">
        <x:f>"Q"&amp;ROUNDUP(D1012/3,0)</x:f>
        <x:v>Q3</x:v>
      </x:c>
      <x:c r="G1012" s="23" t="n">
        <x:v>117.95</x:v>
      </x:c>
      <x:c r="H1012" s="23" t="n">
        <x:v>105.87</x:v>
      </x:c>
      <x:c r="I1012" s="23" t="n">
        <x:v>111.9</x:v>
      </x:c>
      <x:c r="J1012" s="23" t="n">
        <x:f>G1012-H1012</x:f>
        <x:v>12.079999999999998</x:v>
      </x:c>
      <x:c r="K1012" t="str">
        <x:v>HINDCAST</x:v>
      </x:c>
      <x:c r="L1012" s="24" t="n">
        <x:v>17.426</x:v>
      </x:c>
      <x:c r="M1012" s="24" t="n">
        <x:v>78.4573</x:v>
      </x:c>
      <x:c r="N1012" t="str">
        <x:f>IF(I1012&gt;70,"70+ dB",IF(I1012&gt;55,"56-70 dB","41-55 dB"))</x:f>
        <x:v>70+ dB</x:v>
      </x:c>
      <x:c r="O1012" t="str">
        <x:f>IF(I1012&gt;70,"High",IF(I1012&gt;55,"Moderate","Low"))</x:f>
        <x:v>High</x:v>
      </x:c>
      <x:c r="P1012" t="str">
        <x:f>IF(I1012&gt;=70,"Yes","No")</x:f>
        <x:v>Yes</x:v>
      </x:c>
      <x:c r="Q1012" t="str">
        <x:f>TEXT(B1012,"yyyy-mm")</x:f>
        <x:v>2024-08</x:v>
      </x:c>
    </x:row>
    <x:row r="1013">
      <x:c r="A1013" t="str">
        <x:v>HYD06</x:v>
      </x:c>
      <x:c r="B1013" s="22" t="n">
        <x:f>DATE(C1013,D1013,1)</x:f>
        <x:v>45536</x:v>
      </x:c>
      <x:c r="C1013" t="n">
        <x:v>2024</x:v>
      </x:c>
      <x:c r="D1013" t="n">
        <x:v>9</x:v>
      </x:c>
      <x:c r="E1013" t="str">
        <x:f>TEXT(B1013,"mmm")</x:f>
        <x:v>Sep</x:v>
      </x:c>
      <x:c r="F1013" t="str">
        <x:f>"Q"&amp;ROUNDUP(D1013/3,0)</x:f>
        <x:v>Q3</x:v>
      </x:c>
      <x:c r="G1013" s="23" t="n">
        <x:v>114.07</x:v>
      </x:c>
      <x:c r="H1013" s="23" t="n">
        <x:v>103.04</x:v>
      </x:c>
      <x:c r="I1013" s="23" t="n">
        <x:v>108.6</x:v>
      </x:c>
      <x:c r="J1013" s="23" t="n">
        <x:f>G1013-H1013</x:f>
        <x:v>11.029999999999987</x:v>
      </x:c>
      <x:c r="K1013" t="str">
        <x:v>HINDCAST</x:v>
      </x:c>
      <x:c r="L1013" s="24" t="n">
        <x:v>17.426</x:v>
      </x:c>
      <x:c r="M1013" s="24" t="n">
        <x:v>78.4573</x:v>
      </x:c>
      <x:c r="N1013" t="str">
        <x:f>IF(I1013&gt;70,"70+ dB",IF(I1013&gt;55,"56-70 dB","41-55 dB"))</x:f>
        <x:v>70+ dB</x:v>
      </x:c>
      <x:c r="O1013" t="str">
        <x:f>IF(I1013&gt;70,"High",IF(I1013&gt;55,"Moderate","Low"))</x:f>
        <x:v>High</x:v>
      </x:c>
      <x:c r="P1013" t="str">
        <x:f>IF(I1013&gt;=70,"Yes","No")</x:f>
        <x:v>Yes</x:v>
      </x:c>
      <x:c r="Q1013" t="str">
        <x:f>TEXT(B1013,"yyyy-mm")</x:f>
        <x:v>2024-09</x:v>
      </x:c>
    </x:row>
    <x:row r="1014">
      <x:c r="A1014" t="str">
        <x:v>HYD06</x:v>
      </x:c>
      <x:c r="B1014" s="22" t="n">
        <x:f>DATE(C1014,D1014,1)</x:f>
        <x:v>45566</x:v>
      </x:c>
      <x:c r="C1014" t="n">
        <x:v>2024</x:v>
      </x:c>
      <x:c r="D1014" t="n">
        <x:v>10</x:v>
      </x:c>
      <x:c r="E1014" t="str">
        <x:f>TEXT(B1014,"mmm")</x:f>
        <x:v>Oct</x:v>
      </x:c>
      <x:c r="F1014" t="str">
        <x:f>"Q"&amp;ROUNDUP(D1014/3,0)</x:f>
        <x:v>Q4</x:v>
      </x:c>
      <x:c r="G1014" s="23" t="n">
        <x:v>115.53</x:v>
      </x:c>
      <x:c r="H1014" s="23" t="n">
        <x:v>100.92</x:v>
      </x:c>
      <x:c r="I1014" s="23" t="n">
        <x:v>108.2</x:v>
      </x:c>
      <x:c r="J1014" s="23" t="n">
        <x:f>G1014-H1014</x:f>
        <x:v>14.61</x:v>
      </x:c>
      <x:c r="K1014" t="str">
        <x:v>HINDCAST</x:v>
      </x:c>
      <x:c r="L1014" s="24" t="n">
        <x:v>17.426</x:v>
      </x:c>
      <x:c r="M1014" s="24" t="n">
        <x:v>78.4573</x:v>
      </x:c>
      <x:c r="N1014" t="str">
        <x:f>IF(I1014&gt;70,"70+ dB",IF(I1014&gt;55,"56-70 dB","41-55 dB"))</x:f>
        <x:v>70+ dB</x:v>
      </x:c>
      <x:c r="O1014" t="str">
        <x:f>IF(I1014&gt;70,"High",IF(I1014&gt;55,"Moderate","Low"))</x:f>
        <x:v>High</x:v>
      </x:c>
      <x:c r="P1014" t="str">
        <x:f>IF(I1014&gt;=70,"Yes","No")</x:f>
        <x:v>Yes</x:v>
      </x:c>
      <x:c r="Q1014" t="str">
        <x:f>TEXT(B1014,"yyyy-mm")</x:f>
        <x:v>2024-10</x:v>
      </x:c>
    </x:row>
    <x:row r="1015">
      <x:c r="A1015" t="str">
        <x:v>HYD06</x:v>
      </x:c>
      <x:c r="B1015" s="22" t="n">
        <x:f>DATE(C1015,D1015,1)</x:f>
        <x:v>45597</x:v>
      </x:c>
      <x:c r="C1015" t="n">
        <x:v>2024</x:v>
      </x:c>
      <x:c r="D1015" t="n">
        <x:v>11</x:v>
      </x:c>
      <x:c r="E1015" t="str">
        <x:f>TEXT(B1015,"mmm")</x:f>
        <x:v>Nov</x:v>
      </x:c>
      <x:c r="F1015" t="str">
        <x:f>"Q"&amp;ROUNDUP(D1015/3,0)</x:f>
        <x:v>Q4</x:v>
      </x:c>
      <x:c r="G1015" s="23" t="n">
        <x:v>119.46</x:v>
      </x:c>
      <x:c r="H1015" s="23" t="n">
        <x:v>107.02</x:v>
      </x:c>
      <x:c r="I1015" s="23" t="n">
        <x:v>113.2</x:v>
      </x:c>
      <x:c r="J1015" s="23" t="n">
        <x:f>G1015-H1015</x:f>
        <x:v>12.439999999999998</x:v>
      </x:c>
      <x:c r="K1015" t="str">
        <x:v>HINDCAST</x:v>
      </x:c>
      <x:c r="L1015" s="24" t="n">
        <x:v>17.426</x:v>
      </x:c>
      <x:c r="M1015" s="24" t="n">
        <x:v>78.4573</x:v>
      </x:c>
      <x:c r="N1015" t="str">
        <x:f>IF(I1015&gt;70,"70+ dB",IF(I1015&gt;55,"56-70 dB","41-55 dB"))</x:f>
        <x:v>70+ dB</x:v>
      </x:c>
      <x:c r="O1015" t="str">
        <x:f>IF(I1015&gt;70,"High",IF(I1015&gt;55,"Moderate","Low"))</x:f>
        <x:v>High</x:v>
      </x:c>
      <x:c r="P1015" t="str">
        <x:f>IF(I1015&gt;=70,"Yes","No")</x:f>
        <x:v>Yes</x:v>
      </x:c>
      <x:c r="Q1015" t="str">
        <x:f>TEXT(B1015,"yyyy-mm")</x:f>
        <x:v>2024-11</x:v>
      </x:c>
    </x:row>
    <x:row r="1016">
      <x:c r="A1016" t="str">
        <x:v>HYD06</x:v>
      </x:c>
      <x:c r="B1016" s="22" t="n">
        <x:f>DATE(C1016,D1016,1)</x:f>
        <x:v>45627</x:v>
      </x:c>
      <x:c r="C1016" t="n">
        <x:v>2024</x:v>
      </x:c>
      <x:c r="D1016" t="n">
        <x:v>12</x:v>
      </x:c>
      <x:c r="E1016" t="str">
        <x:f>TEXT(B1016,"mmm")</x:f>
        <x:v>Dec</x:v>
      </x:c>
      <x:c r="F1016" t="str">
        <x:f>"Q"&amp;ROUNDUP(D1016/3,0)</x:f>
        <x:v>Q4</x:v>
      </x:c>
      <x:c r="G1016" s="23" t="n">
        <x:v>125.83</x:v>
      </x:c>
      <x:c r="H1016" s="23" t="n">
        <x:v>111.87</x:v>
      </x:c>
      <x:c r="I1016" s="23" t="n">
        <x:v>118.8</x:v>
      </x:c>
      <x:c r="J1016" s="23" t="n">
        <x:f>G1016-H1016</x:f>
        <x:v>13.959999999999994</x:v>
      </x:c>
      <x:c r="K1016" t="str">
        <x:v>HINDCAST</x:v>
      </x:c>
      <x:c r="L1016" s="24" t="n">
        <x:v>17.426</x:v>
      </x:c>
      <x:c r="M1016" s="24" t="n">
        <x:v>78.4573</x:v>
      </x:c>
      <x:c r="N1016" t="str">
        <x:f>IF(I1016&gt;70,"70+ dB",IF(I1016&gt;55,"56-70 dB","41-55 dB"))</x:f>
        <x:v>70+ dB</x:v>
      </x:c>
      <x:c r="O1016" t="str">
        <x:f>IF(I1016&gt;70,"High",IF(I1016&gt;55,"Moderate","Low"))</x:f>
        <x:v>High</x:v>
      </x:c>
      <x:c r="P1016" t="str">
        <x:f>IF(I1016&gt;=70,"Yes","No")</x:f>
        <x:v>Yes</x:v>
      </x:c>
      <x:c r="Q1016" t="str">
        <x:f>TEXT(B1016,"yyyy-mm")</x:f>
        <x:v>2024-12</x:v>
      </x:c>
    </x:row>
    <x:row r="1017">
      <x:c r="A1017" t="str">
        <x:v>HYD06</x:v>
      </x:c>
      <x:c r="B1017" s="22" t="n">
        <x:f>DATE(C1017,D1017,1)</x:f>
        <x:v>45658</x:v>
      </x:c>
      <x:c r="C1017" t="n">
        <x:v>2025</x:v>
      </x:c>
      <x:c r="D1017" t="n">
        <x:v>1</x:v>
      </x:c>
      <x:c r="E1017" t="str">
        <x:f>TEXT(B1017,"mmm")</x:f>
        <x:v>Jan</x:v>
      </x:c>
      <x:c r="F1017" t="str">
        <x:f>"Q"&amp;ROUNDUP(D1017/3,0)</x:f>
        <x:v>Q1</x:v>
      </x:c>
      <x:c r="G1017" s="23" t="n">
        <x:v>130.94</x:v>
      </x:c>
      <x:c r="H1017" s="23" t="n">
        <x:v>111.23</x:v>
      </x:c>
      <x:c r="I1017" s="23" t="n">
        <x:v>121.1</x:v>
      </x:c>
      <x:c r="J1017" s="23" t="n">
        <x:f>G1017-H1017</x:f>
        <x:v>19.709999999999994</x:v>
      </x:c>
      <x:c r="K1017" t="str">
        <x:v>HINDCAST</x:v>
      </x:c>
      <x:c r="L1017" s="24" t="n">
        <x:v>17.426</x:v>
      </x:c>
      <x:c r="M1017" s="24" t="n">
        <x:v>78.4573</x:v>
      </x:c>
      <x:c r="N1017" t="str">
        <x:f>IF(I1017&gt;70,"70+ dB",IF(I1017&gt;55,"56-70 dB","41-55 dB"))</x:f>
        <x:v>70+ dB</x:v>
      </x:c>
      <x:c r="O1017" t="str">
        <x:f>IF(I1017&gt;70,"High",IF(I1017&gt;55,"Moderate","Low"))</x:f>
        <x:v>High</x:v>
      </x:c>
      <x:c r="P1017" t="str">
        <x:f>IF(I1017&gt;=70,"Yes","No")</x:f>
        <x:v>Yes</x:v>
      </x:c>
      <x:c r="Q1017" t="str">
        <x:f>TEXT(B1017,"yyyy-mm")</x:f>
        <x:v>2025-01</x:v>
      </x:c>
    </x:row>
    <x:row r="1018">
      <x:c r="A1018" t="str">
        <x:v>HYD06</x:v>
      </x:c>
      <x:c r="B1018" s="22" t="n">
        <x:f>DATE(C1018,D1018,1)</x:f>
        <x:v>45689</x:v>
      </x:c>
      <x:c r="C1018" t="n">
        <x:v>2025</x:v>
      </x:c>
      <x:c r="D1018" t="n">
        <x:v>2</x:v>
      </x:c>
      <x:c r="E1018" t="str">
        <x:f>TEXT(B1018,"mmm")</x:f>
        <x:v>Feb</x:v>
      </x:c>
      <x:c r="F1018" t="str">
        <x:f>"Q"&amp;ROUNDUP(D1018/3,0)</x:f>
        <x:v>Q1</x:v>
      </x:c>
      <x:c r="G1018" s="23" t="n">
        <x:v>134.13</x:v>
      </x:c>
      <x:c r="H1018" s="23" t="n">
        <x:v>118.77</x:v>
      </x:c>
      <x:c r="I1018" s="23" t="n">
        <x:v>126.4</x:v>
      </x:c>
      <x:c r="J1018" s="23" t="n">
        <x:f>G1018-H1018</x:f>
        <x:v>15.36</x:v>
      </x:c>
      <x:c r="K1018" t="str">
        <x:v>HINDCAST</x:v>
      </x:c>
      <x:c r="L1018" s="24" t="n">
        <x:v>17.426</x:v>
      </x:c>
      <x:c r="M1018" s="24" t="n">
        <x:v>78.4573</x:v>
      </x:c>
      <x:c r="N1018" t="str">
        <x:f>IF(I1018&gt;70,"70+ dB",IF(I1018&gt;55,"56-70 dB","41-55 dB"))</x:f>
        <x:v>70+ dB</x:v>
      </x:c>
      <x:c r="O1018" t="str">
        <x:f>IF(I1018&gt;70,"High",IF(I1018&gt;55,"Moderate","Low"))</x:f>
        <x:v>High</x:v>
      </x:c>
      <x:c r="P1018" t="str">
        <x:f>IF(I1018&gt;=70,"Yes","No")</x:f>
        <x:v>Yes</x:v>
      </x:c>
      <x:c r="Q1018" t="str">
        <x:f>TEXT(B1018,"yyyy-mm")</x:f>
        <x:v>2025-02</x:v>
      </x:c>
    </x:row>
    <x:row r="1019">
      <x:c r="A1019" t="str">
        <x:v>HYD06</x:v>
      </x:c>
      <x:c r="B1019" s="22" t="n">
        <x:f>DATE(C1019,D1019,1)</x:f>
        <x:v>45717</x:v>
      </x:c>
      <x:c r="C1019" t="n">
        <x:v>2025</x:v>
      </x:c>
      <x:c r="D1019" t="n">
        <x:v>3</x:v>
      </x:c>
      <x:c r="E1019" t="str">
        <x:f>TEXT(B1019,"mmm")</x:f>
        <x:v>Mar</x:v>
      </x:c>
      <x:c r="F1019" t="str">
        <x:f>"Q"&amp;ROUNDUP(D1019/3,0)</x:f>
        <x:v>Q1</x:v>
      </x:c>
      <x:c r="G1019" s="23" t="n">
        <x:v>128.02</x:v>
      </x:c>
      <x:c r="H1019" s="23" t="n">
        <x:v>108.61</x:v>
      </x:c>
      <x:c r="I1019" s="23" t="n">
        <x:v>118.3</x:v>
      </x:c>
      <x:c r="J1019" s="23" t="n">
        <x:f>G1019-H1019</x:f>
        <x:v>19.41000000000001</x:v>
      </x:c>
      <x:c r="K1019" t="str">
        <x:v>HINDCAST</x:v>
      </x:c>
      <x:c r="L1019" s="24" t="n">
        <x:v>17.426</x:v>
      </x:c>
      <x:c r="M1019" s="24" t="n">
        <x:v>78.4573</x:v>
      </x:c>
      <x:c r="N1019" t="str">
        <x:f>IF(I1019&gt;70,"70+ dB",IF(I1019&gt;55,"56-70 dB","41-55 dB"))</x:f>
        <x:v>70+ dB</x:v>
      </x:c>
      <x:c r="O1019" t="str">
        <x:f>IF(I1019&gt;70,"High",IF(I1019&gt;55,"Moderate","Low"))</x:f>
        <x:v>High</x:v>
      </x:c>
      <x:c r="P1019" t="str">
        <x:f>IF(I1019&gt;=70,"Yes","No")</x:f>
        <x:v>Yes</x:v>
      </x:c>
      <x:c r="Q1019" t="str">
        <x:f>TEXT(B1019,"yyyy-mm")</x:f>
        <x:v>2025-03</x:v>
      </x:c>
    </x:row>
    <x:row r="1020">
      <x:c r="A1020" t="str">
        <x:v>HYD06</x:v>
      </x:c>
      <x:c r="B1020" s="22" t="n">
        <x:f>DATE(C1020,D1020,1)</x:f>
        <x:v>45748</x:v>
      </x:c>
      <x:c r="C1020" t="n">
        <x:v>2025</x:v>
      </x:c>
      <x:c r="D1020" t="n">
        <x:v>4</x:v>
      </x:c>
      <x:c r="E1020" t="str">
        <x:f>TEXT(B1020,"mmm")</x:f>
        <x:v>Apr</x:v>
      </x:c>
      <x:c r="F1020" t="str">
        <x:f>"Q"&amp;ROUNDUP(D1020/3,0)</x:f>
        <x:v>Q2</x:v>
      </x:c>
      <x:c r="G1020" s="23" t="n">
        <x:v>136.02</x:v>
      </x:c>
      <x:c r="H1020" s="23" t="n">
        <x:v>121.11</x:v>
      </x:c>
      <x:c r="I1020" s="23" t="n">
        <x:v>128.6</x:v>
      </x:c>
      <x:c r="J1020" s="23" t="n">
        <x:f>G1020-H1020</x:f>
        <x:v>14.91000000000001</x:v>
      </x:c>
      <x:c r="K1020" t="str">
        <x:v>HINDCAST</x:v>
      </x:c>
      <x:c r="L1020" s="24" t="n">
        <x:v>17.426</x:v>
      </x:c>
      <x:c r="M1020" s="24" t="n">
        <x:v>78.4573</x:v>
      </x:c>
      <x:c r="N1020" t="str">
        <x:f>IF(I1020&gt;70,"70+ dB",IF(I1020&gt;55,"56-70 dB","41-55 dB"))</x:f>
        <x:v>70+ dB</x:v>
      </x:c>
      <x:c r="O1020" t="str">
        <x:f>IF(I1020&gt;70,"High",IF(I1020&gt;55,"Moderate","Low"))</x:f>
        <x:v>High</x:v>
      </x:c>
      <x:c r="P1020" t="str">
        <x:f>IF(I1020&gt;=70,"Yes","No")</x:f>
        <x:v>Yes</x:v>
      </x:c>
      <x:c r="Q1020" t="str">
        <x:f>TEXT(B1020,"yyyy-mm")</x:f>
        <x:v>2025-04</x:v>
      </x:c>
    </x:row>
    <x:row r="1021">
      <x:c r="A1021" t="str">
        <x:v>HYD06</x:v>
      </x:c>
      <x:c r="B1021" s="22" t="n">
        <x:f>DATE(C1021,D1021,1)</x:f>
        <x:v>45778</x:v>
      </x:c>
      <x:c r="C1021" t="n">
        <x:v>2025</x:v>
      </x:c>
      <x:c r="D1021" t="n">
        <x:v>5</x:v>
      </x:c>
      <x:c r="E1021" t="str">
        <x:f>TEXT(B1021,"mmm")</x:f>
        <x:v>May</x:v>
      </x:c>
      <x:c r="F1021" t="str">
        <x:f>"Q"&amp;ROUNDUP(D1021/3,0)</x:f>
        <x:v>Q2</x:v>
      </x:c>
      <x:c r="G1021" s="23" t="n">
        <x:v>127.15</x:v>
      </x:c>
      <x:c r="H1021" s="23" t="n">
        <x:v>112.73</x:v>
      </x:c>
      <x:c r="I1021" s="23" t="n">
        <x:v>119.9</x:v>
      </x:c>
      <x:c r="J1021" s="23" t="n">
        <x:f>G1021-H1021</x:f>
        <x:v>14.420000000000002</x:v>
      </x:c>
      <x:c r="K1021" t="str">
        <x:v>HINDCAST</x:v>
      </x:c>
      <x:c r="L1021" s="24" t="n">
        <x:v>17.426</x:v>
      </x:c>
      <x:c r="M1021" s="24" t="n">
        <x:v>78.4573</x:v>
      </x:c>
      <x:c r="N1021" t="str">
        <x:f>IF(I1021&gt;70,"70+ dB",IF(I1021&gt;55,"56-70 dB","41-55 dB"))</x:f>
        <x:v>70+ dB</x:v>
      </x:c>
      <x:c r="O1021" t="str">
        <x:f>IF(I1021&gt;70,"High",IF(I1021&gt;55,"Moderate","Low"))</x:f>
        <x:v>High</x:v>
      </x:c>
      <x:c r="P1021" t="str">
        <x:f>IF(I1021&gt;=70,"Yes","No")</x:f>
        <x:v>Yes</x:v>
      </x:c>
      <x:c r="Q1021" t="str">
        <x:f>TEXT(B1021,"yyyy-mm")</x:f>
        <x:v>2025-05</x:v>
      </x:c>
    </x:row>
    <x:row r="1022">
      <x:c r="A1022" t="str">
        <x:v>HYD06</x:v>
      </x:c>
      <x:c r="B1022" s="22" t="n">
        <x:f>DATE(C1022,D1022,1)</x:f>
        <x:v>45809</x:v>
      </x:c>
      <x:c r="C1022" t="n">
        <x:v>2025</x:v>
      </x:c>
      <x:c r="D1022" t="n">
        <x:v>6</x:v>
      </x:c>
      <x:c r="E1022" t="str">
        <x:f>TEXT(B1022,"mmm")</x:f>
        <x:v>Jun</x:v>
      </x:c>
      <x:c r="F1022" t="str">
        <x:f>"Q"&amp;ROUNDUP(D1022/3,0)</x:f>
        <x:v>Q2</x:v>
      </x:c>
      <x:c r="G1022" s="23" t="n">
        <x:v>129.63</x:v>
      </x:c>
      <x:c r="H1022" s="23" t="n">
        <x:v>117.22</x:v>
      </x:c>
      <x:c r="I1022" s="23" t="n">
        <x:v>123.4</x:v>
      </x:c>
      <x:c r="J1022" s="23" t="n">
        <x:f>G1022-H1022</x:f>
        <x:v>12.409999999999997</x:v>
      </x:c>
      <x:c r="K1022" t="str">
        <x:v>HINDCAST</x:v>
      </x:c>
      <x:c r="L1022" s="24" t="n">
        <x:v>17.426</x:v>
      </x:c>
      <x:c r="M1022" s="24" t="n">
        <x:v>78.4573</x:v>
      </x:c>
      <x:c r="N1022" t="str">
        <x:f>IF(I1022&gt;70,"70+ dB",IF(I1022&gt;55,"56-70 dB","41-55 dB"))</x:f>
        <x:v>70+ dB</x:v>
      </x:c>
      <x:c r="O1022" t="str">
        <x:f>IF(I1022&gt;70,"High",IF(I1022&gt;55,"Moderate","Low"))</x:f>
        <x:v>High</x:v>
      </x:c>
      <x:c r="P1022" t="str">
        <x:f>IF(I1022&gt;=70,"Yes","No")</x:f>
        <x:v>Yes</x:v>
      </x:c>
      <x:c r="Q1022" t="str">
        <x:f>TEXT(B1022,"yyyy-mm")</x:f>
        <x:v>2025-06</x:v>
      </x:c>
    </x:row>
    <x:row r="1023">
      <x:c r="A1023" t="str">
        <x:v>HYD06</x:v>
      </x:c>
      <x:c r="B1023" s="22" t="n">
        <x:f>DATE(C1023,D1023,1)</x:f>
        <x:v>45839</x:v>
      </x:c>
      <x:c r="C1023" t="n">
        <x:v>2025</x:v>
      </x:c>
      <x:c r="D1023" t="n">
        <x:v>7</x:v>
      </x:c>
      <x:c r="E1023" t="str">
        <x:f>TEXT(B1023,"mmm")</x:f>
        <x:v>Jul</x:v>
      </x:c>
      <x:c r="F1023" t="str">
        <x:f>"Q"&amp;ROUNDUP(D1023/3,0)</x:f>
        <x:v>Q3</x:v>
      </x:c>
      <x:c r="G1023" s="23" t="n">
        <x:v>130.75</x:v>
      </x:c>
      <x:c r="H1023" s="23" t="n">
        <x:v>117.66</x:v>
      </x:c>
      <x:c r="I1023" s="23" t="n">
        <x:v>124.2</x:v>
      </x:c>
      <x:c r="J1023" s="23" t="n">
        <x:f>G1023-H1023</x:f>
        <x:v>13.090000000000003</x:v>
      </x:c>
      <x:c r="K1023" t="str">
        <x:v>HINDCAST</x:v>
      </x:c>
      <x:c r="L1023" s="24" t="n">
        <x:v>17.426</x:v>
      </x:c>
      <x:c r="M1023" s="24" t="n">
        <x:v>78.4573</x:v>
      </x:c>
      <x:c r="N1023" t="str">
        <x:f>IF(I1023&gt;70,"70+ dB",IF(I1023&gt;55,"56-70 dB","41-55 dB"))</x:f>
        <x:v>70+ dB</x:v>
      </x:c>
      <x:c r="O1023" t="str">
        <x:f>IF(I1023&gt;70,"High",IF(I1023&gt;55,"Moderate","Low"))</x:f>
        <x:v>High</x:v>
      </x:c>
      <x:c r="P1023" t="str">
        <x:f>IF(I1023&gt;=70,"Yes","No")</x:f>
        <x:v>Yes</x:v>
      </x:c>
      <x:c r="Q1023" t="str">
        <x:f>TEXT(B1023,"yyyy-mm")</x:f>
        <x:v>2025-07</x:v>
      </x:c>
    </x:row>
    <x:row r="1024">
      <x:c r="A1024" t="str">
        <x:v>HYD06</x:v>
      </x:c>
      <x:c r="B1024" s="22" t="n">
        <x:f>DATE(C1024,D1024,1)</x:f>
        <x:v>45870</x:v>
      </x:c>
      <x:c r="C1024" t="n">
        <x:v>2025</x:v>
      </x:c>
      <x:c r="D1024" t="n">
        <x:v>8</x:v>
      </x:c>
      <x:c r="E1024" t="str">
        <x:f>TEXT(B1024,"mmm")</x:f>
        <x:v>Aug</x:v>
      </x:c>
      <x:c r="F1024" t="str">
        <x:f>"Q"&amp;ROUNDUP(D1024/3,0)</x:f>
        <x:v>Q3</x:v>
      </x:c>
      <x:c r="G1024" s="23" t="n">
        <x:v>129.43</x:v>
      </x:c>
      <x:c r="H1024" s="23" t="n">
        <x:v>115.08</x:v>
      </x:c>
      <x:c r="I1024" s="23" t="n">
        <x:v>122.3</x:v>
      </x:c>
      <x:c r="J1024" s="23" t="n">
        <x:f>G1024-H1024</x:f>
        <x:v>14.350000000000009</x:v>
      </x:c>
      <x:c r="K1024" t="str">
        <x:v>HINDCAST</x:v>
      </x:c>
      <x:c r="L1024" s="24" t="n">
        <x:v>17.426</x:v>
      </x:c>
      <x:c r="M1024" s="24" t="n">
        <x:v>78.4573</x:v>
      </x:c>
      <x:c r="N1024" t="str">
        <x:f>IF(I1024&gt;70,"70+ dB",IF(I1024&gt;55,"56-70 dB","41-55 dB"))</x:f>
        <x:v>70+ dB</x:v>
      </x:c>
      <x:c r="O1024" t="str">
        <x:f>IF(I1024&gt;70,"High",IF(I1024&gt;55,"Moderate","Low"))</x:f>
        <x:v>High</x:v>
      </x:c>
      <x:c r="P1024" t="str">
        <x:f>IF(I1024&gt;=70,"Yes","No")</x:f>
        <x:v>Yes</x:v>
      </x:c>
      <x:c r="Q1024" t="str">
        <x:f>TEXT(B1024,"yyyy-mm")</x:f>
        <x:v>2025-08</x:v>
      </x:c>
    </x:row>
    <x:row r="1025">
      <x:c r="A1025" t="str">
        <x:v>HYD06</x:v>
      </x:c>
      <x:c r="B1025" s="22" t="n">
        <x:f>DATE(C1025,D1025,1)</x:f>
        <x:v>45901</x:v>
      </x:c>
      <x:c r="C1025" t="n">
        <x:v>2025</x:v>
      </x:c>
      <x:c r="D1025" t="n">
        <x:v>9</x:v>
      </x:c>
      <x:c r="E1025" t="str">
        <x:f>TEXT(B1025,"mmm")</x:f>
        <x:v>Sep</x:v>
      </x:c>
      <x:c r="F1025" t="str">
        <x:f>"Q"&amp;ROUNDUP(D1025/3,0)</x:f>
        <x:v>Q3</x:v>
      </x:c>
      <x:c r="G1025" s="23" t="n">
        <x:v>127.9</x:v>
      </x:c>
      <x:c r="H1025" s="23" t="n">
        <x:v>113.7</x:v>
      </x:c>
      <x:c r="I1025" s="23" t="n">
        <x:v>120.8</x:v>
      </x:c>
      <x:c r="J1025" s="23" t="n">
        <x:f>G1025-H1025</x:f>
        <x:v>14.200000000000003</x:v>
      </x:c>
      <x:c r="K1025" t="str">
        <x:v>HINDCAST</x:v>
      </x:c>
      <x:c r="L1025" s="24" t="n">
        <x:v>17.426</x:v>
      </x:c>
      <x:c r="M1025" s="24" t="n">
        <x:v>78.4573</x:v>
      </x:c>
      <x:c r="N1025" t="str">
        <x:f>IF(I1025&gt;70,"70+ dB",IF(I1025&gt;55,"56-70 dB","41-55 dB"))</x:f>
        <x:v>70+ dB</x:v>
      </x:c>
      <x:c r="O1025" t="str">
        <x:f>IF(I1025&gt;70,"High",IF(I1025&gt;55,"Moderate","Low"))</x:f>
        <x:v>High</x:v>
      </x:c>
      <x:c r="P1025" t="str">
        <x:f>IF(I1025&gt;=70,"Yes","No")</x:f>
        <x:v>Yes</x:v>
      </x:c>
      <x:c r="Q1025" t="str">
        <x:f>TEXT(B1025,"yyyy-mm")</x:f>
        <x:v>2025-09</x:v>
      </x:c>
    </x:row>
    <x:row r="1026">
      <x:c r="A1026" t="str">
        <x:v>HYD06</x:v>
      </x:c>
      <x:c r="B1026" s="22" t="n">
        <x:f>DATE(C1026,D1026,1)</x:f>
        <x:v>45931</x:v>
      </x:c>
      <x:c r="C1026" t="n">
        <x:v>2025</x:v>
      </x:c>
      <x:c r="D1026" t="n">
        <x:v>10</x:v>
      </x:c>
      <x:c r="E1026" t="str">
        <x:f>TEXT(B1026,"mmm")</x:f>
        <x:v>Oct</x:v>
      </x:c>
      <x:c r="F1026" t="str">
        <x:f>"Q"&amp;ROUNDUP(D1026/3,0)</x:f>
        <x:v>Q4</x:v>
      </x:c>
      <x:c r="G1026" s="23" t="n">
        <x:v>127.45</x:v>
      </x:c>
      <x:c r="H1026" s="23" t="n">
        <x:v>110.6</x:v>
      </x:c>
      <x:c r="I1026" s="23" t="n">
        <x:v>119</x:v>
      </x:c>
      <x:c r="J1026" s="23" t="n">
        <x:f>G1026-H1026</x:f>
        <x:v>16.85000000000001</x:v>
      </x:c>
      <x:c r="K1026" t="str">
        <x:v>HINDCAST</x:v>
      </x:c>
      <x:c r="L1026" s="24" t="n">
        <x:v>17.426</x:v>
      </x:c>
      <x:c r="M1026" s="24" t="n">
        <x:v>78.4573</x:v>
      </x:c>
      <x:c r="N1026" t="str">
        <x:f>IF(I1026&gt;70,"70+ dB",IF(I1026&gt;55,"56-70 dB","41-55 dB"))</x:f>
        <x:v>70+ dB</x:v>
      </x:c>
      <x:c r="O1026" t="str">
        <x:f>IF(I1026&gt;70,"High",IF(I1026&gt;55,"Moderate","Low"))</x:f>
        <x:v>High</x:v>
      </x:c>
      <x:c r="P1026" t="str">
        <x:f>IF(I1026&gt;=70,"Yes","No")</x:f>
        <x:v>Yes</x:v>
      </x:c>
      <x:c r="Q1026" t="str">
        <x:f>TEXT(B1026,"yyyy-mm")</x:f>
        <x:v>2025-10</x:v>
      </x:c>
    </x:row>
    <x:row r="1027">
      <x:c r="A1027" t="str">
        <x:v>HYD06</x:v>
      </x:c>
      <x:c r="B1027" s="22" t="n">
        <x:f>DATE(C1027,D1027,1)</x:f>
        <x:v>45962</x:v>
      </x:c>
      <x:c r="C1027" t="n">
        <x:v>2025</x:v>
      </x:c>
      <x:c r="D1027" t="n">
        <x:v>11</x:v>
      </x:c>
      <x:c r="E1027" t="str">
        <x:f>TEXT(B1027,"mmm")</x:f>
        <x:v>Nov</x:v>
      </x:c>
      <x:c r="F1027" t="str">
        <x:f>"Q"&amp;ROUNDUP(D1027/3,0)</x:f>
        <x:v>Q4</x:v>
      </x:c>
      <x:c r="G1027" s="23" t="n">
        <x:v>130.65</x:v>
      </x:c>
      <x:c r="H1027" s="23" t="n">
        <x:v>116.3</x:v>
      </x:c>
      <x:c r="I1027" s="23" t="n">
        <x:v>123.5</x:v>
      </x:c>
      <x:c r="J1027" s="23" t="n">
        <x:f>G1027-H1027</x:f>
        <x:v>14.350000000000009</x:v>
      </x:c>
      <x:c r="K1027" t="str">
        <x:v>HINDCAST</x:v>
      </x:c>
      <x:c r="L1027" s="24" t="n">
        <x:v>17.426</x:v>
      </x:c>
      <x:c r="M1027" s="24" t="n">
        <x:v>78.4573</x:v>
      </x:c>
      <x:c r="N1027" t="str">
        <x:f>IF(I1027&gt;70,"70+ dB",IF(I1027&gt;55,"56-70 dB","41-55 dB"))</x:f>
        <x:v>70+ dB</x:v>
      </x:c>
      <x:c r="O1027" t="str">
        <x:f>IF(I1027&gt;70,"High",IF(I1027&gt;55,"Moderate","Low"))</x:f>
        <x:v>High</x:v>
      </x:c>
      <x:c r="P1027" t="str">
        <x:f>IF(I1027&gt;=70,"Yes","No")</x:f>
        <x:v>Yes</x:v>
      </x:c>
      <x:c r="Q1027" t="str">
        <x:f>TEXT(B1027,"yyyy-mm")</x:f>
        <x:v>2025-11</x:v>
      </x:c>
    </x:row>
    <x:row r="1028">
      <x:c r="A1028" t="str">
        <x:v>HYD06</x:v>
      </x:c>
      <x:c r="B1028" s="22" t="n">
        <x:f>DATE(C1028,D1028,1)</x:f>
        <x:v>45992</x:v>
      </x:c>
      <x:c r="C1028" t="n">
        <x:v>2025</x:v>
      </x:c>
      <x:c r="D1028" t="n">
        <x:v>12</x:v>
      </x:c>
      <x:c r="E1028" t="str">
        <x:f>TEXT(B1028,"mmm")</x:f>
        <x:v>Dec</x:v>
      </x:c>
      <x:c r="F1028" t="str">
        <x:f>"Q"&amp;ROUNDUP(D1028/3,0)</x:f>
        <x:v>Q4</x:v>
      </x:c>
      <x:c r="G1028" s="23" t="n">
        <x:v>131.42</x:v>
      </x:c>
      <x:c r="H1028" s="23" t="n">
        <x:v>116.06</x:v>
      </x:c>
      <x:c r="I1028" s="23" t="n">
        <x:v>123.7</x:v>
      </x:c>
      <x:c r="J1028" s="23" t="n">
        <x:f>G1028-H1028</x:f>
        <x:v>15.359999999999985</x:v>
      </x:c>
      <x:c r="K1028" t="str">
        <x:v>HINDCAST</x:v>
      </x:c>
      <x:c r="L1028" s="24" t="n">
        <x:v>17.426</x:v>
      </x:c>
      <x:c r="M1028" s="24" t="n">
        <x:v>78.4573</x:v>
      </x:c>
      <x:c r="N1028" t="str">
        <x:f>IF(I1028&gt;70,"70+ dB",IF(I1028&gt;55,"56-70 dB","41-55 dB"))</x:f>
        <x:v>70+ dB</x:v>
      </x:c>
      <x:c r="O1028" t="str">
        <x:f>IF(I1028&gt;70,"High",IF(I1028&gt;55,"Moderate","Low"))</x:f>
        <x:v>High</x:v>
      </x:c>
      <x:c r="P1028" t="str">
        <x:f>IF(I1028&gt;=70,"Yes","No")</x:f>
        <x:v>Yes</x:v>
      </x:c>
      <x:c r="Q1028" t="str">
        <x:f>TEXT(B1028,"yyyy-mm")</x:f>
        <x:v>2025-12</x:v>
      </x:c>
    </x:row>
    <x:row r="1029">
      <x:c r="A1029" t="str">
        <x:v>HYD07</x:v>
      </x:c>
      <x:c r="B1029" s="22" t="n">
        <x:f>DATE(C1029,D1029,1)</x:f>
        <x:v>42005</x:v>
      </x:c>
      <x:c r="C1029" t="n">
        <x:v>2015</x:v>
      </x:c>
      <x:c r="D1029" t="n">
        <x:v>1</x:v>
      </x:c>
      <x:c r="E1029" t="str">
        <x:f>TEXT(B1029,"mmm")</x:f>
        <x:v>Jan</x:v>
      </x:c>
      <x:c r="F1029" t="str">
        <x:f>"Q"&amp;ROUNDUP(D1029/3,0)</x:f>
        <x:v>Q1</x:v>
      </x:c>
      <x:c r="G1029" s="23" t="n">
        <x:v>63</x:v>
      </x:c>
      <x:c r="H1029" s="23" t="n">
        <x:v>58</x:v>
      </x:c>
      <x:c r="I1029" s="23" t="n">
        <x:v>60.5</x:v>
      </x:c>
      <x:c r="J1029" s="23" t="n">
        <x:f>G1029-H1029</x:f>
        <x:v>5</x:v>
      </x:c>
      <x:c r="K1029" t="str">
        <x:v>OBSERVED</x:v>
      </x:c>
      <x:c r="L1029" s="24" t="n">
        <x:v>17.4483</x:v>
      </x:c>
      <x:c r="M1029" s="24" t="n">
        <x:v>78.3915</x:v>
      </x:c>
      <x:c r="N1029" t="str">
        <x:f>IF(I1029&gt;70,"70+ dB",IF(I1029&gt;55,"56-70 dB","41-55 dB"))</x:f>
        <x:v>56-70 dB</x:v>
      </x:c>
      <x:c r="O1029" t="str">
        <x:f>IF(I1029&gt;70,"High",IF(I1029&gt;55,"Moderate","Low"))</x:f>
        <x:v>Moderate</x:v>
      </x:c>
      <x:c r="P1029" t="str">
        <x:f>IF(I1029&gt;=70,"Yes","No")</x:f>
        <x:v>No</x:v>
      </x:c>
      <x:c r="Q1029" t="str">
        <x:f>TEXT(B1029,"yyyy-mm")</x:f>
        <x:v>2015-01</x:v>
      </x:c>
    </x:row>
    <x:row r="1030">
      <x:c r="A1030" t="str">
        <x:v>HYD07</x:v>
      </x:c>
      <x:c r="B1030" s="22" t="n">
        <x:f>DATE(C1030,D1030,1)</x:f>
        <x:v>42036</x:v>
      </x:c>
      <x:c r="C1030" t="n">
        <x:v>2015</x:v>
      </x:c>
      <x:c r="D1030" t="n">
        <x:v>2</x:v>
      </x:c>
      <x:c r="E1030" t="str">
        <x:f>TEXT(B1030,"mmm")</x:f>
        <x:v>Feb</x:v>
      </x:c>
      <x:c r="F1030" t="str">
        <x:f>"Q"&amp;ROUNDUP(D1030/3,0)</x:f>
        <x:v>Q1</x:v>
      </x:c>
      <x:c r="G1030" s="23" t="n">
        <x:v>64</x:v>
      </x:c>
      <x:c r="H1030" s="23" t="n">
        <x:v>58</x:v>
      </x:c>
      <x:c r="I1030" s="23" t="n">
        <x:v>61</x:v>
      </x:c>
      <x:c r="J1030" s="23" t="n">
        <x:f>G1030-H1030</x:f>
        <x:v>6</x:v>
      </x:c>
      <x:c r="K1030" t="str">
        <x:v>OBSERVED</x:v>
      </x:c>
      <x:c r="L1030" s="24" t="n">
        <x:v>17.4483</x:v>
      </x:c>
      <x:c r="M1030" s="24" t="n">
        <x:v>78.3915</x:v>
      </x:c>
      <x:c r="N1030" t="str">
        <x:f>IF(I1030&gt;70,"70+ dB",IF(I1030&gt;55,"56-70 dB","41-55 dB"))</x:f>
        <x:v>56-70 dB</x:v>
      </x:c>
      <x:c r="O1030" t="str">
        <x:f>IF(I1030&gt;70,"High",IF(I1030&gt;55,"Moderate","Low"))</x:f>
        <x:v>Moderate</x:v>
      </x:c>
      <x:c r="P1030" t="str">
        <x:f>IF(I1030&gt;=70,"Yes","No")</x:f>
        <x:v>No</x:v>
      </x:c>
      <x:c r="Q1030" t="str">
        <x:f>TEXT(B1030,"yyyy-mm")</x:f>
        <x:v>2015-02</x:v>
      </x:c>
    </x:row>
    <x:row r="1031">
      <x:c r="A1031" t="str">
        <x:v>HYD07</x:v>
      </x:c>
      <x:c r="B1031" s="22" t="n">
        <x:f>DATE(C1031,D1031,1)</x:f>
        <x:v>42064</x:v>
      </x:c>
      <x:c r="C1031" t="n">
        <x:v>2015</x:v>
      </x:c>
      <x:c r="D1031" t="n">
        <x:v>3</x:v>
      </x:c>
      <x:c r="E1031" t="str">
        <x:f>TEXT(B1031,"mmm")</x:f>
        <x:v>Mar</x:v>
      </x:c>
      <x:c r="F1031" t="str">
        <x:f>"Q"&amp;ROUNDUP(D1031/3,0)</x:f>
        <x:v>Q1</x:v>
      </x:c>
      <x:c r="G1031" s="23" t="n">
        <x:v>66</x:v>
      </x:c>
      <x:c r="H1031" s="23" t="n">
        <x:v>59</x:v>
      </x:c>
      <x:c r="I1031" s="23" t="n">
        <x:v>62.5</x:v>
      </x:c>
      <x:c r="J1031" s="23" t="n">
        <x:f>G1031-H1031</x:f>
        <x:v>7</x:v>
      </x:c>
      <x:c r="K1031" t="str">
        <x:v>OBSERVED</x:v>
      </x:c>
      <x:c r="L1031" s="24" t="n">
        <x:v>17.4483</x:v>
      </x:c>
      <x:c r="M1031" s="24" t="n">
        <x:v>78.3915</x:v>
      </x:c>
      <x:c r="N1031" t="str">
        <x:f>IF(I1031&gt;70,"70+ dB",IF(I1031&gt;55,"56-70 dB","41-55 dB"))</x:f>
        <x:v>56-70 dB</x:v>
      </x:c>
      <x:c r="O1031" t="str">
        <x:f>IF(I1031&gt;70,"High",IF(I1031&gt;55,"Moderate","Low"))</x:f>
        <x:v>Moderate</x:v>
      </x:c>
      <x:c r="P1031" t="str">
        <x:f>IF(I1031&gt;=70,"Yes","No")</x:f>
        <x:v>No</x:v>
      </x:c>
      <x:c r="Q1031" t="str">
        <x:f>TEXT(B1031,"yyyy-mm")</x:f>
        <x:v>2015-03</x:v>
      </x:c>
    </x:row>
    <x:row r="1032">
      <x:c r="A1032" t="str">
        <x:v>HYD07</x:v>
      </x:c>
      <x:c r="B1032" s="22" t="n">
        <x:f>DATE(C1032,D1032,1)</x:f>
        <x:v>42095</x:v>
      </x:c>
      <x:c r="C1032" t="n">
        <x:v>2015</x:v>
      </x:c>
      <x:c r="D1032" t="n">
        <x:v>4</x:v>
      </x:c>
      <x:c r="E1032" t="str">
        <x:f>TEXT(B1032,"mmm")</x:f>
        <x:v>Apr</x:v>
      </x:c>
      <x:c r="F1032" t="str">
        <x:f>"Q"&amp;ROUNDUP(D1032/3,0)</x:f>
        <x:v>Q2</x:v>
      </x:c>
      <x:c r="G1032" s="23" t="n">
        <x:v>63</x:v>
      </x:c>
      <x:c r="H1032" s="23" t="n">
        <x:v>58</x:v>
      </x:c>
      <x:c r="I1032" s="23" t="n">
        <x:v>60.5</x:v>
      </x:c>
      <x:c r="J1032" s="23" t="n">
        <x:f>G1032-H1032</x:f>
        <x:v>5</x:v>
      </x:c>
      <x:c r="K1032" t="str">
        <x:v>OBSERVED</x:v>
      </x:c>
      <x:c r="L1032" s="24" t="n">
        <x:v>17.4483</x:v>
      </x:c>
      <x:c r="M1032" s="24" t="n">
        <x:v>78.3915</x:v>
      </x:c>
      <x:c r="N1032" t="str">
        <x:f>IF(I1032&gt;70,"70+ dB",IF(I1032&gt;55,"56-70 dB","41-55 dB"))</x:f>
        <x:v>56-70 dB</x:v>
      </x:c>
      <x:c r="O1032" t="str">
        <x:f>IF(I1032&gt;70,"High",IF(I1032&gt;55,"Moderate","Low"))</x:f>
        <x:v>Moderate</x:v>
      </x:c>
      <x:c r="P1032" t="str">
        <x:f>IF(I1032&gt;=70,"Yes","No")</x:f>
        <x:v>No</x:v>
      </x:c>
      <x:c r="Q1032" t="str">
        <x:f>TEXT(B1032,"yyyy-mm")</x:f>
        <x:v>2015-04</x:v>
      </x:c>
    </x:row>
    <x:row r="1033">
      <x:c r="A1033" t="str">
        <x:v>HYD07</x:v>
      </x:c>
      <x:c r="B1033" s="22" t="n">
        <x:f>DATE(C1033,D1033,1)</x:f>
        <x:v>42125</x:v>
      </x:c>
      <x:c r="C1033" t="n">
        <x:v>2015</x:v>
      </x:c>
      <x:c r="D1033" t="n">
        <x:v>5</x:v>
      </x:c>
      <x:c r="E1033" t="str">
        <x:f>TEXT(B1033,"mmm")</x:f>
        <x:v>May</x:v>
      </x:c>
      <x:c r="F1033" t="str">
        <x:f>"Q"&amp;ROUNDUP(D1033/3,0)</x:f>
        <x:v>Q2</x:v>
      </x:c>
      <x:c r="G1033" s="23" t="n">
        <x:v>63</x:v>
      </x:c>
      <x:c r="H1033" s="23" t="n">
        <x:v>58</x:v>
      </x:c>
      <x:c r="I1033" s="23" t="n">
        <x:v>60.5</x:v>
      </x:c>
      <x:c r="J1033" s="23" t="n">
        <x:f>G1033-H1033</x:f>
        <x:v>5</x:v>
      </x:c>
      <x:c r="K1033" t="str">
        <x:v>OBSERVED</x:v>
      </x:c>
      <x:c r="L1033" s="24" t="n">
        <x:v>17.4483</x:v>
      </x:c>
      <x:c r="M1033" s="24" t="n">
        <x:v>78.3915</x:v>
      </x:c>
      <x:c r="N1033" t="str">
        <x:f>IF(I1033&gt;70,"70+ dB",IF(I1033&gt;55,"56-70 dB","41-55 dB"))</x:f>
        <x:v>56-70 dB</x:v>
      </x:c>
      <x:c r="O1033" t="str">
        <x:f>IF(I1033&gt;70,"High",IF(I1033&gt;55,"Moderate","Low"))</x:f>
        <x:v>Moderate</x:v>
      </x:c>
      <x:c r="P1033" t="str">
        <x:f>IF(I1033&gt;=70,"Yes","No")</x:f>
        <x:v>No</x:v>
      </x:c>
      <x:c r="Q1033" t="str">
        <x:f>TEXT(B1033,"yyyy-mm")</x:f>
        <x:v>2015-05</x:v>
      </x:c>
    </x:row>
    <x:row r="1034">
      <x:c r="A1034" t="str">
        <x:v>HYD07</x:v>
      </x:c>
      <x:c r="B1034" s="22" t="n">
        <x:f>DATE(C1034,D1034,1)</x:f>
        <x:v>42156</x:v>
      </x:c>
      <x:c r="C1034" t="n">
        <x:v>2015</x:v>
      </x:c>
      <x:c r="D1034" t="n">
        <x:v>6</x:v>
      </x:c>
      <x:c r="E1034" t="str">
        <x:f>TEXT(B1034,"mmm")</x:f>
        <x:v>Jun</x:v>
      </x:c>
      <x:c r="F1034" t="str">
        <x:f>"Q"&amp;ROUNDUP(D1034/3,0)</x:f>
        <x:v>Q2</x:v>
      </x:c>
      <x:c r="G1034" s="23" t="n">
        <x:v>68</x:v>
      </x:c>
      <x:c r="H1034" s="23" t="n">
        <x:v>65</x:v>
      </x:c>
      <x:c r="I1034" s="23" t="n">
        <x:v>66.5</x:v>
      </x:c>
      <x:c r="J1034" s="23" t="n">
        <x:f>G1034-H1034</x:f>
        <x:v>3</x:v>
      </x:c>
      <x:c r="K1034" t="str">
        <x:v>OBSERVED</x:v>
      </x:c>
      <x:c r="L1034" s="24" t="n">
        <x:v>17.4483</x:v>
      </x:c>
      <x:c r="M1034" s="24" t="n">
        <x:v>78.3915</x:v>
      </x:c>
      <x:c r="N1034" t="str">
        <x:f>IF(I1034&gt;70,"70+ dB",IF(I1034&gt;55,"56-70 dB","41-55 dB"))</x:f>
        <x:v>56-70 dB</x:v>
      </x:c>
      <x:c r="O1034" t="str">
        <x:f>IF(I1034&gt;70,"High",IF(I1034&gt;55,"Moderate","Low"))</x:f>
        <x:v>Moderate</x:v>
      </x:c>
      <x:c r="P1034" t="str">
        <x:f>IF(I1034&gt;=70,"Yes","No")</x:f>
        <x:v>No</x:v>
      </x:c>
      <x:c r="Q1034" t="str">
        <x:f>TEXT(B1034,"yyyy-mm")</x:f>
        <x:v>2015-06</x:v>
      </x:c>
    </x:row>
    <x:row r="1035">
      <x:c r="A1035" t="str">
        <x:v>HYD07</x:v>
      </x:c>
      <x:c r="B1035" s="22" t="n">
        <x:f>DATE(C1035,D1035,1)</x:f>
        <x:v>42186</x:v>
      </x:c>
      <x:c r="C1035" t="n">
        <x:v>2015</x:v>
      </x:c>
      <x:c r="D1035" t="n">
        <x:v>7</x:v>
      </x:c>
      <x:c r="E1035" t="str">
        <x:f>TEXT(B1035,"mmm")</x:f>
        <x:v>Jul</x:v>
      </x:c>
      <x:c r="F1035" t="str">
        <x:f>"Q"&amp;ROUNDUP(D1035/3,0)</x:f>
        <x:v>Q3</x:v>
      </x:c>
      <x:c r="G1035" s="23" t="n">
        <x:v>68</x:v>
      </x:c>
      <x:c r="H1035" s="23" t="n">
        <x:v>64</x:v>
      </x:c>
      <x:c r="I1035" s="23" t="n">
        <x:v>66</x:v>
      </x:c>
      <x:c r="J1035" s="23" t="n">
        <x:f>G1035-H1035</x:f>
        <x:v>4</x:v>
      </x:c>
      <x:c r="K1035" t="str">
        <x:v>OBSERVED</x:v>
      </x:c>
      <x:c r="L1035" s="24" t="n">
        <x:v>17.4483</x:v>
      </x:c>
      <x:c r="M1035" s="24" t="n">
        <x:v>78.3915</x:v>
      </x:c>
      <x:c r="N1035" t="str">
        <x:f>IF(I1035&gt;70,"70+ dB",IF(I1035&gt;55,"56-70 dB","41-55 dB"))</x:f>
        <x:v>56-70 dB</x:v>
      </x:c>
      <x:c r="O1035" t="str">
        <x:f>IF(I1035&gt;70,"High",IF(I1035&gt;55,"Moderate","Low"))</x:f>
        <x:v>Moderate</x:v>
      </x:c>
      <x:c r="P1035" t="str">
        <x:f>IF(I1035&gt;=70,"Yes","No")</x:f>
        <x:v>No</x:v>
      </x:c>
      <x:c r="Q1035" t="str">
        <x:f>TEXT(B1035,"yyyy-mm")</x:f>
        <x:v>2015-07</x:v>
      </x:c>
    </x:row>
    <x:row r="1036">
      <x:c r="A1036" t="str">
        <x:v>HYD07</x:v>
      </x:c>
      <x:c r="B1036" s="22" t="n">
        <x:f>DATE(C1036,D1036,1)</x:f>
        <x:v>42217</x:v>
      </x:c>
      <x:c r="C1036" t="n">
        <x:v>2015</x:v>
      </x:c>
      <x:c r="D1036" t="n">
        <x:v>8</x:v>
      </x:c>
      <x:c r="E1036" t="str">
        <x:f>TEXT(B1036,"mmm")</x:f>
        <x:v>Aug</x:v>
      </x:c>
      <x:c r="F1036" t="str">
        <x:f>"Q"&amp;ROUNDUP(D1036/3,0)</x:f>
        <x:v>Q3</x:v>
      </x:c>
      <x:c r="G1036" s="23" t="n">
        <x:v>65</x:v>
      </x:c>
      <x:c r="H1036" s="23" t="n">
        <x:v>57</x:v>
      </x:c>
      <x:c r="I1036" s="23" t="n">
        <x:v>61</x:v>
      </x:c>
      <x:c r="J1036" s="23" t="n">
        <x:f>G1036-H1036</x:f>
        <x:v>8</x:v>
      </x:c>
      <x:c r="K1036" t="str">
        <x:v>OBSERVED</x:v>
      </x:c>
      <x:c r="L1036" s="24" t="n">
        <x:v>17.4483</x:v>
      </x:c>
      <x:c r="M1036" s="24" t="n">
        <x:v>78.3915</x:v>
      </x:c>
      <x:c r="N1036" t="str">
        <x:f>IF(I1036&gt;70,"70+ dB",IF(I1036&gt;55,"56-70 dB","41-55 dB"))</x:f>
        <x:v>56-70 dB</x:v>
      </x:c>
      <x:c r="O1036" t="str">
        <x:f>IF(I1036&gt;70,"High",IF(I1036&gt;55,"Moderate","Low"))</x:f>
        <x:v>Moderate</x:v>
      </x:c>
      <x:c r="P1036" t="str">
        <x:f>IF(I1036&gt;=70,"Yes","No")</x:f>
        <x:v>No</x:v>
      </x:c>
      <x:c r="Q1036" t="str">
        <x:f>TEXT(B1036,"yyyy-mm")</x:f>
        <x:v>2015-08</x:v>
      </x:c>
    </x:row>
    <x:row r="1037">
      <x:c r="A1037" t="str">
        <x:v>HYD07</x:v>
      </x:c>
      <x:c r="B1037" s="22" t="n">
        <x:f>DATE(C1037,D1037,1)</x:f>
        <x:v>42248</x:v>
      </x:c>
      <x:c r="C1037" t="n">
        <x:v>2015</x:v>
      </x:c>
      <x:c r="D1037" t="n">
        <x:v>9</x:v>
      </x:c>
      <x:c r="E1037" t="str">
        <x:f>TEXT(B1037,"mmm")</x:f>
        <x:v>Sep</x:v>
      </x:c>
      <x:c r="F1037" t="str">
        <x:f>"Q"&amp;ROUNDUP(D1037/3,0)</x:f>
        <x:v>Q3</x:v>
      </x:c>
      <x:c r="G1037" s="23" t="n">
        <x:v>62</x:v>
      </x:c>
      <x:c r="H1037" s="23" t="n">
        <x:v>55</x:v>
      </x:c>
      <x:c r="I1037" s="23" t="n">
        <x:v>58.5</x:v>
      </x:c>
      <x:c r="J1037" s="23" t="n">
        <x:f>G1037-H1037</x:f>
        <x:v>7</x:v>
      </x:c>
      <x:c r="K1037" t="str">
        <x:v>OBSERVED</x:v>
      </x:c>
      <x:c r="L1037" s="24" t="n">
        <x:v>17.4483</x:v>
      </x:c>
      <x:c r="M1037" s="24" t="n">
        <x:v>78.3915</x:v>
      </x:c>
      <x:c r="N1037" t="str">
        <x:f>IF(I1037&gt;70,"70+ dB",IF(I1037&gt;55,"56-70 dB","41-55 dB"))</x:f>
        <x:v>56-70 dB</x:v>
      </x:c>
      <x:c r="O1037" t="str">
        <x:f>IF(I1037&gt;70,"High",IF(I1037&gt;55,"Moderate","Low"))</x:f>
        <x:v>Moderate</x:v>
      </x:c>
      <x:c r="P1037" t="str">
        <x:f>IF(I1037&gt;=70,"Yes","No")</x:f>
        <x:v>No</x:v>
      </x:c>
      <x:c r="Q1037" t="str">
        <x:f>TEXT(B1037,"yyyy-mm")</x:f>
        <x:v>2015-09</x:v>
      </x:c>
    </x:row>
    <x:row r="1038">
      <x:c r="A1038" t="str">
        <x:v>HYD07</x:v>
      </x:c>
      <x:c r="B1038" s="22" t="n">
        <x:f>DATE(C1038,D1038,1)</x:f>
        <x:v>42278</x:v>
      </x:c>
      <x:c r="C1038" t="n">
        <x:v>2015</x:v>
      </x:c>
      <x:c r="D1038" t="n">
        <x:v>10</x:v>
      </x:c>
      <x:c r="E1038" t="str">
        <x:f>TEXT(B1038,"mmm")</x:f>
        <x:v>Oct</x:v>
      </x:c>
      <x:c r="F1038" t="str">
        <x:f>"Q"&amp;ROUNDUP(D1038/3,0)</x:f>
        <x:v>Q4</x:v>
      </x:c>
      <x:c r="G1038" s="23" t="n">
        <x:v>63</x:v>
      </x:c>
      <x:c r="H1038" s="23" t="n">
        <x:v>54</x:v>
      </x:c>
      <x:c r="I1038" s="23" t="n">
        <x:v>58.5</x:v>
      </x:c>
      <x:c r="J1038" s="23" t="n">
        <x:f>G1038-H1038</x:f>
        <x:v>9</x:v>
      </x:c>
      <x:c r="K1038" t="str">
        <x:v>OBSERVED</x:v>
      </x:c>
      <x:c r="L1038" s="24" t="n">
        <x:v>17.4483</x:v>
      </x:c>
      <x:c r="M1038" s="24" t="n">
        <x:v>78.3915</x:v>
      </x:c>
      <x:c r="N1038" t="str">
        <x:f>IF(I1038&gt;70,"70+ dB",IF(I1038&gt;55,"56-70 dB","41-55 dB"))</x:f>
        <x:v>56-70 dB</x:v>
      </x:c>
      <x:c r="O1038" t="str">
        <x:f>IF(I1038&gt;70,"High",IF(I1038&gt;55,"Moderate","Low"))</x:f>
        <x:v>Moderate</x:v>
      </x:c>
      <x:c r="P1038" t="str">
        <x:f>IF(I1038&gt;=70,"Yes","No")</x:f>
        <x:v>No</x:v>
      </x:c>
      <x:c r="Q1038" t="str">
        <x:f>TEXT(B1038,"yyyy-mm")</x:f>
        <x:v>2015-10</x:v>
      </x:c>
    </x:row>
    <x:row r="1039">
      <x:c r="A1039" t="str">
        <x:v>HYD07</x:v>
      </x:c>
      <x:c r="B1039" s="22" t="n">
        <x:f>DATE(C1039,D1039,1)</x:f>
        <x:v>42309</x:v>
      </x:c>
      <x:c r="C1039" t="n">
        <x:v>2015</x:v>
      </x:c>
      <x:c r="D1039" t="n">
        <x:v>11</x:v>
      </x:c>
      <x:c r="E1039" t="str">
        <x:f>TEXT(B1039,"mmm")</x:f>
        <x:v>Nov</x:v>
      </x:c>
      <x:c r="F1039" t="str">
        <x:f>"Q"&amp;ROUNDUP(D1039/3,0)</x:f>
        <x:v>Q4</x:v>
      </x:c>
      <x:c r="G1039" s="23" t="n">
        <x:v>65</x:v>
      </x:c>
      <x:c r="H1039" s="23" t="n">
        <x:v>54</x:v>
      </x:c>
      <x:c r="I1039" s="23" t="n">
        <x:v>59.5</x:v>
      </x:c>
      <x:c r="J1039" s="23" t="n">
        <x:f>G1039-H1039</x:f>
        <x:v>11</x:v>
      </x:c>
      <x:c r="K1039" t="str">
        <x:v>OBSERVED</x:v>
      </x:c>
      <x:c r="L1039" s="24" t="n">
        <x:v>17.4483</x:v>
      </x:c>
      <x:c r="M1039" s="24" t="n">
        <x:v>78.3915</x:v>
      </x:c>
      <x:c r="N1039" t="str">
        <x:f>IF(I1039&gt;70,"70+ dB",IF(I1039&gt;55,"56-70 dB","41-55 dB"))</x:f>
        <x:v>56-70 dB</x:v>
      </x:c>
      <x:c r="O1039" t="str">
        <x:f>IF(I1039&gt;70,"High",IF(I1039&gt;55,"Moderate","Low"))</x:f>
        <x:v>Moderate</x:v>
      </x:c>
      <x:c r="P1039" t="str">
        <x:f>IF(I1039&gt;=70,"Yes","No")</x:f>
        <x:v>No</x:v>
      </x:c>
      <x:c r="Q1039" t="str">
        <x:f>TEXT(B1039,"yyyy-mm")</x:f>
        <x:v>2015-11</x:v>
      </x:c>
    </x:row>
    <x:row r="1040">
      <x:c r="A1040" t="str">
        <x:v>HYD07</x:v>
      </x:c>
      <x:c r="B1040" s="22" t="n">
        <x:f>DATE(C1040,D1040,1)</x:f>
        <x:v>42339</x:v>
      </x:c>
      <x:c r="C1040" t="n">
        <x:v>2015</x:v>
      </x:c>
      <x:c r="D1040" t="n">
        <x:v>12</x:v>
      </x:c>
      <x:c r="E1040" t="str">
        <x:f>TEXT(B1040,"mmm")</x:f>
        <x:v>Dec</x:v>
      </x:c>
      <x:c r="F1040" t="str">
        <x:f>"Q"&amp;ROUNDUP(D1040/3,0)</x:f>
        <x:v>Q4</x:v>
      </x:c>
      <x:c r="G1040" s="23" t="n">
        <x:v>65</x:v>
      </x:c>
      <x:c r="H1040" s="23" t="n">
        <x:v>55</x:v>
      </x:c>
      <x:c r="I1040" s="23" t="n">
        <x:v>60</x:v>
      </x:c>
      <x:c r="J1040" s="23" t="n">
        <x:f>G1040-H1040</x:f>
        <x:v>10</x:v>
      </x:c>
      <x:c r="K1040" t="str">
        <x:v>OBSERVED</x:v>
      </x:c>
      <x:c r="L1040" s="24" t="n">
        <x:v>17.4483</x:v>
      </x:c>
      <x:c r="M1040" s="24" t="n">
        <x:v>78.3915</x:v>
      </x:c>
      <x:c r="N1040" t="str">
        <x:f>IF(I1040&gt;70,"70+ dB",IF(I1040&gt;55,"56-70 dB","41-55 dB"))</x:f>
        <x:v>56-70 dB</x:v>
      </x:c>
      <x:c r="O1040" t="str">
        <x:f>IF(I1040&gt;70,"High",IF(I1040&gt;55,"Moderate","Low"))</x:f>
        <x:v>Moderate</x:v>
      </x:c>
      <x:c r="P1040" t="str">
        <x:f>IF(I1040&gt;=70,"Yes","No")</x:f>
        <x:v>No</x:v>
      </x:c>
      <x:c r="Q1040" t="str">
        <x:f>TEXT(B1040,"yyyy-mm")</x:f>
        <x:v>2015-12</x:v>
      </x:c>
    </x:row>
    <x:row r="1041">
      <x:c r="A1041" t="str">
        <x:v>HYD07</x:v>
      </x:c>
      <x:c r="B1041" s="22" t="n">
        <x:f>DATE(C1041,D1041,1)</x:f>
        <x:v>42370</x:v>
      </x:c>
      <x:c r="C1041" t="n">
        <x:v>2016</x:v>
      </x:c>
      <x:c r="D1041" t="n">
        <x:v>1</x:v>
      </x:c>
      <x:c r="E1041" t="str">
        <x:f>TEXT(B1041,"mmm")</x:f>
        <x:v>Jan</x:v>
      </x:c>
      <x:c r="F1041" t="str">
        <x:f>"Q"&amp;ROUNDUP(D1041/3,0)</x:f>
        <x:v>Q1</x:v>
      </x:c>
      <x:c r="G1041" s="23" t="n">
        <x:v>64</x:v>
      </x:c>
      <x:c r="H1041" s="23" t="n">
        <x:v>58</x:v>
      </x:c>
      <x:c r="I1041" s="23" t="n">
        <x:v>61</x:v>
      </x:c>
      <x:c r="J1041" s="23" t="n">
        <x:f>G1041-H1041</x:f>
        <x:v>6</x:v>
      </x:c>
      <x:c r="K1041" t="str">
        <x:v>OBSERVED</x:v>
      </x:c>
      <x:c r="L1041" s="24" t="n">
        <x:v>17.4483</x:v>
      </x:c>
      <x:c r="M1041" s="24" t="n">
        <x:v>78.3915</x:v>
      </x:c>
      <x:c r="N1041" t="str">
        <x:f>IF(I1041&gt;70,"70+ dB",IF(I1041&gt;55,"56-70 dB","41-55 dB"))</x:f>
        <x:v>56-70 dB</x:v>
      </x:c>
      <x:c r="O1041" t="str">
        <x:f>IF(I1041&gt;70,"High",IF(I1041&gt;55,"Moderate","Low"))</x:f>
        <x:v>Moderate</x:v>
      </x:c>
      <x:c r="P1041" t="str">
        <x:f>IF(I1041&gt;=70,"Yes","No")</x:f>
        <x:v>No</x:v>
      </x:c>
      <x:c r="Q1041" t="str">
        <x:f>TEXT(B1041,"yyyy-mm")</x:f>
        <x:v>2016-01</x:v>
      </x:c>
    </x:row>
    <x:row r="1042">
      <x:c r="A1042" t="str">
        <x:v>HYD07</x:v>
      </x:c>
      <x:c r="B1042" s="22" t="n">
        <x:f>DATE(C1042,D1042,1)</x:f>
        <x:v>42401</x:v>
      </x:c>
      <x:c r="C1042" t="n">
        <x:v>2016</x:v>
      </x:c>
      <x:c r="D1042" t="n">
        <x:v>2</x:v>
      </x:c>
      <x:c r="E1042" t="str">
        <x:f>TEXT(B1042,"mmm")</x:f>
        <x:v>Feb</x:v>
      </x:c>
      <x:c r="F1042" t="str">
        <x:f>"Q"&amp;ROUNDUP(D1042/3,0)</x:f>
        <x:v>Q1</x:v>
      </x:c>
      <x:c r="G1042" s="23" t="n">
        <x:v>64</x:v>
      </x:c>
      <x:c r="H1042" s="23" t="n">
        <x:v>60</x:v>
      </x:c>
      <x:c r="I1042" s="23" t="n">
        <x:v>62</x:v>
      </x:c>
      <x:c r="J1042" s="23" t="n">
        <x:f>G1042-H1042</x:f>
        <x:v>4</x:v>
      </x:c>
      <x:c r="K1042" t="str">
        <x:v>OBSERVED</x:v>
      </x:c>
      <x:c r="L1042" s="24" t="n">
        <x:v>17.4483</x:v>
      </x:c>
      <x:c r="M1042" s="24" t="n">
        <x:v>78.3915</x:v>
      </x:c>
      <x:c r="N1042" t="str">
        <x:f>IF(I1042&gt;70,"70+ dB",IF(I1042&gt;55,"56-70 dB","41-55 dB"))</x:f>
        <x:v>56-70 dB</x:v>
      </x:c>
      <x:c r="O1042" t="str">
        <x:f>IF(I1042&gt;70,"High",IF(I1042&gt;55,"Moderate","Low"))</x:f>
        <x:v>Moderate</x:v>
      </x:c>
      <x:c r="P1042" t="str">
        <x:f>IF(I1042&gt;=70,"Yes","No")</x:f>
        <x:v>No</x:v>
      </x:c>
      <x:c r="Q1042" t="str">
        <x:f>TEXT(B1042,"yyyy-mm")</x:f>
        <x:v>2016-02</x:v>
      </x:c>
    </x:row>
    <x:row r="1043">
      <x:c r="A1043" t="str">
        <x:v>HYD07</x:v>
      </x:c>
      <x:c r="B1043" s="22" t="n">
        <x:f>DATE(C1043,D1043,1)</x:f>
        <x:v>42430</x:v>
      </x:c>
      <x:c r="C1043" t="n">
        <x:v>2016</x:v>
      </x:c>
      <x:c r="D1043" t="n">
        <x:v>3</x:v>
      </x:c>
      <x:c r="E1043" t="str">
        <x:f>TEXT(B1043,"mmm")</x:f>
        <x:v>Mar</x:v>
      </x:c>
      <x:c r="F1043" t="str">
        <x:f>"Q"&amp;ROUNDUP(D1043/3,0)</x:f>
        <x:v>Q1</x:v>
      </x:c>
      <x:c r="G1043" s="23" t="n">
        <x:v>63</x:v>
      </x:c>
      <x:c r="H1043" s="23" t="n">
        <x:v>58</x:v>
      </x:c>
      <x:c r="I1043" s="23" t="n">
        <x:v>60.5</x:v>
      </x:c>
      <x:c r="J1043" s="23" t="n">
        <x:f>G1043-H1043</x:f>
        <x:v>5</x:v>
      </x:c>
      <x:c r="K1043" t="str">
        <x:v>OBSERVED</x:v>
      </x:c>
      <x:c r="L1043" s="24" t="n">
        <x:v>17.4483</x:v>
      </x:c>
      <x:c r="M1043" s="24" t="n">
        <x:v>78.3915</x:v>
      </x:c>
      <x:c r="N1043" t="str">
        <x:f>IF(I1043&gt;70,"70+ dB",IF(I1043&gt;55,"56-70 dB","41-55 dB"))</x:f>
        <x:v>56-70 dB</x:v>
      </x:c>
      <x:c r="O1043" t="str">
        <x:f>IF(I1043&gt;70,"High",IF(I1043&gt;55,"Moderate","Low"))</x:f>
        <x:v>Moderate</x:v>
      </x:c>
      <x:c r="P1043" t="str">
        <x:f>IF(I1043&gt;=70,"Yes","No")</x:f>
        <x:v>No</x:v>
      </x:c>
      <x:c r="Q1043" t="str">
        <x:f>TEXT(B1043,"yyyy-mm")</x:f>
        <x:v>2016-03</x:v>
      </x:c>
    </x:row>
    <x:row r="1044">
      <x:c r="A1044" t="str">
        <x:v>HYD07</x:v>
      </x:c>
      <x:c r="B1044" s="22" t="n">
        <x:f>DATE(C1044,D1044,1)</x:f>
        <x:v>42461</x:v>
      </x:c>
      <x:c r="C1044" t="n">
        <x:v>2016</x:v>
      </x:c>
      <x:c r="D1044" t="n">
        <x:v>4</x:v>
      </x:c>
      <x:c r="E1044" t="str">
        <x:f>TEXT(B1044,"mmm")</x:f>
        <x:v>Apr</x:v>
      </x:c>
      <x:c r="F1044" t="str">
        <x:f>"Q"&amp;ROUNDUP(D1044/3,0)</x:f>
        <x:v>Q2</x:v>
      </x:c>
      <x:c r="G1044" s="23" t="n">
        <x:v>63</x:v>
      </x:c>
      <x:c r="H1044" s="23" t="n">
        <x:v>58</x:v>
      </x:c>
      <x:c r="I1044" s="23" t="n">
        <x:v>60.5</x:v>
      </x:c>
      <x:c r="J1044" s="23" t="n">
        <x:f>G1044-H1044</x:f>
        <x:v>5</x:v>
      </x:c>
      <x:c r="K1044" t="str">
        <x:v>OBSERVED</x:v>
      </x:c>
      <x:c r="L1044" s="24" t="n">
        <x:v>17.4483</x:v>
      </x:c>
      <x:c r="M1044" s="24" t="n">
        <x:v>78.3915</x:v>
      </x:c>
      <x:c r="N1044" t="str">
        <x:f>IF(I1044&gt;70,"70+ dB",IF(I1044&gt;55,"56-70 dB","41-55 dB"))</x:f>
        <x:v>56-70 dB</x:v>
      </x:c>
      <x:c r="O1044" t="str">
        <x:f>IF(I1044&gt;70,"High",IF(I1044&gt;55,"Moderate","Low"))</x:f>
        <x:v>Moderate</x:v>
      </x:c>
      <x:c r="P1044" t="str">
        <x:f>IF(I1044&gt;=70,"Yes","No")</x:f>
        <x:v>No</x:v>
      </x:c>
      <x:c r="Q1044" t="str">
        <x:f>TEXT(B1044,"yyyy-mm")</x:f>
        <x:v>2016-04</x:v>
      </x:c>
    </x:row>
    <x:row r="1045">
      <x:c r="A1045" t="str">
        <x:v>HYD07</x:v>
      </x:c>
      <x:c r="B1045" s="22" t="n">
        <x:f>DATE(C1045,D1045,1)</x:f>
        <x:v>42491</x:v>
      </x:c>
      <x:c r="C1045" t="n">
        <x:v>2016</x:v>
      </x:c>
      <x:c r="D1045" t="n">
        <x:v>5</x:v>
      </x:c>
      <x:c r="E1045" t="str">
        <x:f>TEXT(B1045,"mmm")</x:f>
        <x:v>May</x:v>
      </x:c>
      <x:c r="F1045" t="str">
        <x:f>"Q"&amp;ROUNDUP(D1045/3,0)</x:f>
        <x:v>Q2</x:v>
      </x:c>
      <x:c r="G1045" s="23" t="n">
        <x:v>65</x:v>
      </x:c>
      <x:c r="H1045" s="23" t="n">
        <x:v>63</x:v>
      </x:c>
      <x:c r="I1045" s="23" t="n">
        <x:v>64</x:v>
      </x:c>
      <x:c r="J1045" s="23" t="n">
        <x:f>G1045-H1045</x:f>
        <x:v>2</x:v>
      </x:c>
      <x:c r="K1045" t="str">
        <x:v>OBSERVED</x:v>
      </x:c>
      <x:c r="L1045" s="24" t="n">
        <x:v>17.4483</x:v>
      </x:c>
      <x:c r="M1045" s="24" t="n">
        <x:v>78.3915</x:v>
      </x:c>
      <x:c r="N1045" t="str">
        <x:f>IF(I1045&gt;70,"70+ dB",IF(I1045&gt;55,"56-70 dB","41-55 dB"))</x:f>
        <x:v>56-70 dB</x:v>
      </x:c>
      <x:c r="O1045" t="str">
        <x:f>IF(I1045&gt;70,"High",IF(I1045&gt;55,"Moderate","Low"))</x:f>
        <x:v>Moderate</x:v>
      </x:c>
      <x:c r="P1045" t="str">
        <x:f>IF(I1045&gt;=70,"Yes","No")</x:f>
        <x:v>No</x:v>
      </x:c>
      <x:c r="Q1045" t="str">
        <x:f>TEXT(B1045,"yyyy-mm")</x:f>
        <x:v>2016-05</x:v>
      </x:c>
    </x:row>
    <x:row r="1046">
      <x:c r="A1046" t="str">
        <x:v>HYD07</x:v>
      </x:c>
      <x:c r="B1046" s="22" t="n">
        <x:f>DATE(C1046,D1046,1)</x:f>
        <x:v>42522</x:v>
      </x:c>
      <x:c r="C1046" t="n">
        <x:v>2016</x:v>
      </x:c>
      <x:c r="D1046" t="n">
        <x:v>6</x:v>
      </x:c>
      <x:c r="E1046" t="str">
        <x:f>TEXT(B1046,"mmm")</x:f>
        <x:v>Jun</x:v>
      </x:c>
      <x:c r="F1046" t="str">
        <x:f>"Q"&amp;ROUNDUP(D1046/3,0)</x:f>
        <x:v>Q2</x:v>
      </x:c>
      <x:c r="G1046" s="23" t="n">
        <x:v>66</x:v>
      </x:c>
      <x:c r="H1046" s="23" t="n">
        <x:v>62</x:v>
      </x:c>
      <x:c r="I1046" s="23" t="n">
        <x:v>64</x:v>
      </x:c>
      <x:c r="J1046" s="23" t="n">
        <x:f>G1046-H1046</x:f>
        <x:v>4</x:v>
      </x:c>
      <x:c r="K1046" t="str">
        <x:v>OBSERVED</x:v>
      </x:c>
      <x:c r="L1046" s="24" t="n">
        <x:v>17.4483</x:v>
      </x:c>
      <x:c r="M1046" s="24" t="n">
        <x:v>78.3915</x:v>
      </x:c>
      <x:c r="N1046" t="str">
        <x:f>IF(I1046&gt;70,"70+ dB",IF(I1046&gt;55,"56-70 dB","41-55 dB"))</x:f>
        <x:v>56-70 dB</x:v>
      </x:c>
      <x:c r="O1046" t="str">
        <x:f>IF(I1046&gt;70,"High",IF(I1046&gt;55,"Moderate","Low"))</x:f>
        <x:v>Moderate</x:v>
      </x:c>
      <x:c r="P1046" t="str">
        <x:f>IF(I1046&gt;=70,"Yes","No")</x:f>
        <x:v>No</x:v>
      </x:c>
      <x:c r="Q1046" t="str">
        <x:f>TEXT(B1046,"yyyy-mm")</x:f>
        <x:v>2016-06</x:v>
      </x:c>
    </x:row>
    <x:row r="1047">
      <x:c r="A1047" t="str">
        <x:v>HYD07</x:v>
      </x:c>
      <x:c r="B1047" s="22" t="n">
        <x:f>DATE(C1047,D1047,1)</x:f>
        <x:v>42552</x:v>
      </x:c>
      <x:c r="C1047" t="n">
        <x:v>2016</x:v>
      </x:c>
      <x:c r="D1047" t="n">
        <x:v>7</x:v>
      </x:c>
      <x:c r="E1047" t="str">
        <x:f>TEXT(B1047,"mmm")</x:f>
        <x:v>Jul</x:v>
      </x:c>
      <x:c r="F1047" t="str">
        <x:f>"Q"&amp;ROUNDUP(D1047/3,0)</x:f>
        <x:v>Q3</x:v>
      </x:c>
      <x:c r="G1047" s="23" t="n">
        <x:v>69</x:v>
      </x:c>
      <x:c r="H1047" s="23" t="n">
        <x:v>63</x:v>
      </x:c>
      <x:c r="I1047" s="23" t="n">
        <x:v>66</x:v>
      </x:c>
      <x:c r="J1047" s="23" t="n">
        <x:f>G1047-H1047</x:f>
        <x:v>6</x:v>
      </x:c>
      <x:c r="K1047" t="str">
        <x:v>OBSERVED</x:v>
      </x:c>
      <x:c r="L1047" s="24" t="n">
        <x:v>17.4483</x:v>
      </x:c>
      <x:c r="M1047" s="24" t="n">
        <x:v>78.3915</x:v>
      </x:c>
      <x:c r="N1047" t="str">
        <x:f>IF(I1047&gt;70,"70+ dB",IF(I1047&gt;55,"56-70 dB","41-55 dB"))</x:f>
        <x:v>56-70 dB</x:v>
      </x:c>
      <x:c r="O1047" t="str">
        <x:f>IF(I1047&gt;70,"High",IF(I1047&gt;55,"Moderate","Low"))</x:f>
        <x:v>Moderate</x:v>
      </x:c>
      <x:c r="P1047" t="str">
        <x:f>IF(I1047&gt;=70,"Yes","No")</x:f>
        <x:v>No</x:v>
      </x:c>
      <x:c r="Q1047" t="str">
        <x:f>TEXT(B1047,"yyyy-mm")</x:f>
        <x:v>2016-07</x:v>
      </x:c>
    </x:row>
    <x:row r="1048">
      <x:c r="A1048" t="str">
        <x:v>HYD07</x:v>
      </x:c>
      <x:c r="B1048" s="22" t="n">
        <x:f>DATE(C1048,D1048,1)</x:f>
        <x:v>42583</x:v>
      </x:c>
      <x:c r="C1048" t="n">
        <x:v>2016</x:v>
      </x:c>
      <x:c r="D1048" t="n">
        <x:v>8</x:v>
      </x:c>
      <x:c r="E1048" t="str">
        <x:f>TEXT(B1048,"mmm")</x:f>
        <x:v>Aug</x:v>
      </x:c>
      <x:c r="F1048" t="str">
        <x:f>"Q"&amp;ROUNDUP(D1048/3,0)</x:f>
        <x:v>Q3</x:v>
      </x:c>
      <x:c r="G1048" s="23" t="n">
        <x:v>73</x:v>
      </x:c>
      <x:c r="H1048" s="23" t="n">
        <x:v>72</x:v>
      </x:c>
      <x:c r="I1048" s="23" t="n">
        <x:v>72.5</x:v>
      </x:c>
      <x:c r="J1048" s="23" t="n">
        <x:f>G1048-H1048</x:f>
        <x:v>1</x:v>
      </x:c>
      <x:c r="K1048" t="str">
        <x:v>OBSERVED</x:v>
      </x:c>
      <x:c r="L1048" s="24" t="n">
        <x:v>17.4483</x:v>
      </x:c>
      <x:c r="M1048" s="24" t="n">
        <x:v>78.3915</x:v>
      </x:c>
      <x:c r="N1048" t="str">
        <x:f>IF(I1048&gt;70,"70+ dB",IF(I1048&gt;55,"56-70 dB","41-55 dB"))</x:f>
        <x:v>70+ dB</x:v>
      </x:c>
      <x:c r="O1048" t="str">
        <x:f>IF(I1048&gt;70,"High",IF(I1048&gt;55,"Moderate","Low"))</x:f>
        <x:v>High</x:v>
      </x:c>
      <x:c r="P1048" t="str">
        <x:f>IF(I1048&gt;=70,"Yes","No")</x:f>
        <x:v>Yes</x:v>
      </x:c>
      <x:c r="Q1048" t="str">
        <x:f>TEXT(B1048,"yyyy-mm")</x:f>
        <x:v>2016-08</x:v>
      </x:c>
    </x:row>
    <x:row r="1049">
      <x:c r="A1049" t="str">
        <x:v>HYD07</x:v>
      </x:c>
      <x:c r="B1049" s="22" t="n">
        <x:f>DATE(C1049,D1049,1)</x:f>
        <x:v>42614</x:v>
      </x:c>
      <x:c r="C1049" t="n">
        <x:v>2016</x:v>
      </x:c>
      <x:c r="D1049" t="n">
        <x:v>9</x:v>
      </x:c>
      <x:c r="E1049" t="str">
        <x:f>TEXT(B1049,"mmm")</x:f>
        <x:v>Sep</x:v>
      </x:c>
      <x:c r="F1049" t="str">
        <x:f>"Q"&amp;ROUNDUP(D1049/3,0)</x:f>
        <x:v>Q3</x:v>
      </x:c>
      <x:c r="G1049" s="23" t="n">
        <x:v>69</x:v>
      </x:c>
      <x:c r="H1049" s="23" t="n">
        <x:v>64</x:v>
      </x:c>
      <x:c r="I1049" s="23" t="n">
        <x:v>66.5</x:v>
      </x:c>
      <x:c r="J1049" s="23" t="n">
        <x:f>G1049-H1049</x:f>
        <x:v>5</x:v>
      </x:c>
      <x:c r="K1049" t="str">
        <x:v>OBSERVED</x:v>
      </x:c>
      <x:c r="L1049" s="24" t="n">
        <x:v>17.4483</x:v>
      </x:c>
      <x:c r="M1049" s="24" t="n">
        <x:v>78.3915</x:v>
      </x:c>
      <x:c r="N1049" t="str">
        <x:f>IF(I1049&gt;70,"70+ dB",IF(I1049&gt;55,"56-70 dB","41-55 dB"))</x:f>
        <x:v>56-70 dB</x:v>
      </x:c>
      <x:c r="O1049" t="str">
        <x:f>IF(I1049&gt;70,"High",IF(I1049&gt;55,"Moderate","Low"))</x:f>
        <x:v>Moderate</x:v>
      </x:c>
      <x:c r="P1049" t="str">
        <x:f>IF(I1049&gt;=70,"Yes","No")</x:f>
        <x:v>No</x:v>
      </x:c>
      <x:c r="Q1049" t="str">
        <x:f>TEXT(B1049,"yyyy-mm")</x:f>
        <x:v>2016-09</x:v>
      </x:c>
    </x:row>
    <x:row r="1050">
      <x:c r="A1050" t="str">
        <x:v>HYD07</x:v>
      </x:c>
      <x:c r="B1050" s="22" t="n">
        <x:f>DATE(C1050,D1050,1)</x:f>
        <x:v>42644</x:v>
      </x:c>
      <x:c r="C1050" t="n">
        <x:v>2016</x:v>
      </x:c>
      <x:c r="D1050" t="n">
        <x:v>10</x:v>
      </x:c>
      <x:c r="E1050" t="str">
        <x:f>TEXT(B1050,"mmm")</x:f>
        <x:v>Oct</x:v>
      </x:c>
      <x:c r="F1050" t="str">
        <x:f>"Q"&amp;ROUNDUP(D1050/3,0)</x:f>
        <x:v>Q4</x:v>
      </x:c>
      <x:c r="G1050" s="23" t="n">
        <x:v>74</x:v>
      </x:c>
      <x:c r="H1050" s="23" t="n">
        <x:v>72</x:v>
      </x:c>
      <x:c r="I1050" s="23" t="n">
        <x:v>73</x:v>
      </x:c>
      <x:c r="J1050" s="23" t="n">
        <x:f>G1050-H1050</x:f>
        <x:v>2</x:v>
      </x:c>
      <x:c r="K1050" t="str">
        <x:v>OBSERVED</x:v>
      </x:c>
      <x:c r="L1050" s="24" t="n">
        <x:v>17.4483</x:v>
      </x:c>
      <x:c r="M1050" s="24" t="n">
        <x:v>78.3915</x:v>
      </x:c>
      <x:c r="N1050" t="str">
        <x:f>IF(I1050&gt;70,"70+ dB",IF(I1050&gt;55,"56-70 dB","41-55 dB"))</x:f>
        <x:v>70+ dB</x:v>
      </x:c>
      <x:c r="O1050" t="str">
        <x:f>IF(I1050&gt;70,"High",IF(I1050&gt;55,"Moderate","Low"))</x:f>
        <x:v>High</x:v>
      </x:c>
      <x:c r="P1050" t="str">
        <x:f>IF(I1050&gt;=70,"Yes","No")</x:f>
        <x:v>Yes</x:v>
      </x:c>
      <x:c r="Q1050" t="str">
        <x:f>TEXT(B1050,"yyyy-mm")</x:f>
        <x:v>2016-10</x:v>
      </x:c>
    </x:row>
    <x:row r="1051">
      <x:c r="A1051" t="str">
        <x:v>HYD07</x:v>
      </x:c>
      <x:c r="B1051" s="22" t="n">
        <x:f>DATE(C1051,D1051,1)</x:f>
        <x:v>42675</x:v>
      </x:c>
      <x:c r="C1051" t="n">
        <x:v>2016</x:v>
      </x:c>
      <x:c r="D1051" t="n">
        <x:v>11</x:v>
      </x:c>
      <x:c r="E1051" t="str">
        <x:f>TEXT(B1051,"mmm")</x:f>
        <x:v>Nov</x:v>
      </x:c>
      <x:c r="F1051" t="str">
        <x:f>"Q"&amp;ROUNDUP(D1051/3,0)</x:f>
        <x:v>Q4</x:v>
      </x:c>
      <x:c r="G1051" s="23" t="n">
        <x:v>69</x:v>
      </x:c>
      <x:c r="H1051" s="23" t="n">
        <x:v>68</x:v>
      </x:c>
      <x:c r="I1051" s="23" t="n">
        <x:v>68.5</x:v>
      </x:c>
      <x:c r="J1051" s="23" t="n">
        <x:f>G1051-H1051</x:f>
        <x:v>1</x:v>
      </x:c>
      <x:c r="K1051" t="str">
        <x:v>OBSERVED</x:v>
      </x:c>
      <x:c r="L1051" s="24" t="n">
        <x:v>17.4483</x:v>
      </x:c>
      <x:c r="M1051" s="24" t="n">
        <x:v>78.3915</x:v>
      </x:c>
      <x:c r="N1051" t="str">
        <x:f>IF(I1051&gt;70,"70+ dB",IF(I1051&gt;55,"56-70 dB","41-55 dB"))</x:f>
        <x:v>56-70 dB</x:v>
      </x:c>
      <x:c r="O1051" t="str">
        <x:f>IF(I1051&gt;70,"High",IF(I1051&gt;55,"Moderate","Low"))</x:f>
        <x:v>Moderate</x:v>
      </x:c>
      <x:c r="P1051" t="str">
        <x:f>IF(I1051&gt;=70,"Yes","No")</x:f>
        <x:v>No</x:v>
      </x:c>
      <x:c r="Q1051" t="str">
        <x:f>TEXT(B1051,"yyyy-mm")</x:f>
        <x:v>2016-11</x:v>
      </x:c>
    </x:row>
    <x:row r="1052">
      <x:c r="A1052" t="str">
        <x:v>HYD07</x:v>
      </x:c>
      <x:c r="B1052" s="22" t="n">
        <x:f>DATE(C1052,D1052,1)</x:f>
        <x:v>42705</x:v>
      </x:c>
      <x:c r="C1052" t="n">
        <x:v>2016</x:v>
      </x:c>
      <x:c r="D1052" t="n">
        <x:v>12</x:v>
      </x:c>
      <x:c r="E1052" t="str">
        <x:f>TEXT(B1052,"mmm")</x:f>
        <x:v>Dec</x:v>
      </x:c>
      <x:c r="F1052" t="str">
        <x:f>"Q"&amp;ROUNDUP(D1052/3,0)</x:f>
        <x:v>Q4</x:v>
      </x:c>
      <x:c r="G1052" s="23" t="n">
        <x:v>70</x:v>
      </x:c>
      <x:c r="H1052" s="23" t="n">
        <x:v>67</x:v>
      </x:c>
      <x:c r="I1052" s="23" t="n">
        <x:v>68.5</x:v>
      </x:c>
      <x:c r="J1052" s="23" t="n">
        <x:f>G1052-H1052</x:f>
        <x:v>3</x:v>
      </x:c>
      <x:c r="K1052" t="str">
        <x:v>OBSERVED</x:v>
      </x:c>
      <x:c r="L1052" s="24" t="n">
        <x:v>17.4483</x:v>
      </x:c>
      <x:c r="M1052" s="24" t="n">
        <x:v>78.3915</x:v>
      </x:c>
      <x:c r="N1052" t="str">
        <x:f>IF(I1052&gt;70,"70+ dB",IF(I1052&gt;55,"56-70 dB","41-55 dB"))</x:f>
        <x:v>56-70 dB</x:v>
      </x:c>
      <x:c r="O1052" t="str">
        <x:f>IF(I1052&gt;70,"High",IF(I1052&gt;55,"Moderate","Low"))</x:f>
        <x:v>Moderate</x:v>
      </x:c>
      <x:c r="P1052" t="str">
        <x:f>IF(I1052&gt;=70,"Yes","No")</x:f>
        <x:v>No</x:v>
      </x:c>
      <x:c r="Q1052" t="str">
        <x:f>TEXT(B1052,"yyyy-mm")</x:f>
        <x:v>2016-12</x:v>
      </x:c>
    </x:row>
    <x:row r="1053">
      <x:c r="A1053" t="str">
        <x:v>HYD07</x:v>
      </x:c>
      <x:c r="B1053" s="22" t="n">
        <x:f>DATE(C1053,D1053,1)</x:f>
        <x:v>42736</x:v>
      </x:c>
      <x:c r="C1053" t="n">
        <x:v>2017</x:v>
      </x:c>
      <x:c r="D1053" t="n">
        <x:v>1</x:v>
      </x:c>
      <x:c r="E1053" t="str">
        <x:f>TEXT(B1053,"mmm")</x:f>
        <x:v>Jan</x:v>
      </x:c>
      <x:c r="F1053" t="str">
        <x:f>"Q"&amp;ROUNDUP(D1053/3,0)</x:f>
        <x:v>Q1</x:v>
      </x:c>
      <x:c r="G1053" s="23" t="n">
        <x:v>77</x:v>
      </x:c>
      <x:c r="H1053" s="23" t="n">
        <x:v>74</x:v>
      </x:c>
      <x:c r="I1053" s="23" t="n">
        <x:v>75.5</x:v>
      </x:c>
      <x:c r="J1053" s="23" t="n">
        <x:f>G1053-H1053</x:f>
        <x:v>3</x:v>
      </x:c>
      <x:c r="K1053" t="str">
        <x:v>OBSERVED</x:v>
      </x:c>
      <x:c r="L1053" s="24" t="n">
        <x:v>17.4483</x:v>
      </x:c>
      <x:c r="M1053" s="24" t="n">
        <x:v>78.3915</x:v>
      </x:c>
      <x:c r="N1053" t="str">
        <x:f>IF(I1053&gt;70,"70+ dB",IF(I1053&gt;55,"56-70 dB","41-55 dB"))</x:f>
        <x:v>70+ dB</x:v>
      </x:c>
      <x:c r="O1053" t="str">
        <x:f>IF(I1053&gt;70,"High",IF(I1053&gt;55,"Moderate","Low"))</x:f>
        <x:v>High</x:v>
      </x:c>
      <x:c r="P1053" t="str">
        <x:f>IF(I1053&gt;=70,"Yes","No")</x:f>
        <x:v>Yes</x:v>
      </x:c>
      <x:c r="Q1053" t="str">
        <x:f>TEXT(B1053,"yyyy-mm")</x:f>
        <x:v>2017-01</x:v>
      </x:c>
    </x:row>
    <x:row r="1054">
      <x:c r="A1054" t="str">
        <x:v>HYD07</x:v>
      </x:c>
      <x:c r="B1054" s="22" t="n">
        <x:f>DATE(C1054,D1054,1)</x:f>
        <x:v>42767</x:v>
      </x:c>
      <x:c r="C1054" t="n">
        <x:v>2017</x:v>
      </x:c>
      <x:c r="D1054" t="n">
        <x:v>2</x:v>
      </x:c>
      <x:c r="E1054" t="str">
        <x:f>TEXT(B1054,"mmm")</x:f>
        <x:v>Feb</x:v>
      </x:c>
      <x:c r="F1054" t="str">
        <x:f>"Q"&amp;ROUNDUP(D1054/3,0)</x:f>
        <x:v>Q1</x:v>
      </x:c>
      <x:c r="G1054" s="23" t="n">
        <x:v>76</x:v>
      </x:c>
      <x:c r="H1054" s="23" t="n">
        <x:v>75</x:v>
      </x:c>
      <x:c r="I1054" s="23" t="n">
        <x:v>75.5</x:v>
      </x:c>
      <x:c r="J1054" s="23" t="n">
        <x:f>G1054-H1054</x:f>
        <x:v>1</x:v>
      </x:c>
      <x:c r="K1054" t="str">
        <x:v>OBSERVED</x:v>
      </x:c>
      <x:c r="L1054" s="24" t="n">
        <x:v>17.4483</x:v>
      </x:c>
      <x:c r="M1054" s="24" t="n">
        <x:v>78.3915</x:v>
      </x:c>
      <x:c r="N1054" t="str">
        <x:f>IF(I1054&gt;70,"70+ dB",IF(I1054&gt;55,"56-70 dB","41-55 dB"))</x:f>
        <x:v>70+ dB</x:v>
      </x:c>
      <x:c r="O1054" t="str">
        <x:f>IF(I1054&gt;70,"High",IF(I1054&gt;55,"Moderate","Low"))</x:f>
        <x:v>High</x:v>
      </x:c>
      <x:c r="P1054" t="str">
        <x:f>IF(I1054&gt;=70,"Yes","No")</x:f>
        <x:v>Yes</x:v>
      </x:c>
      <x:c r="Q1054" t="str">
        <x:f>TEXT(B1054,"yyyy-mm")</x:f>
        <x:v>2017-02</x:v>
      </x:c>
    </x:row>
    <x:row r="1055">
      <x:c r="A1055" t="str">
        <x:v>HYD07</x:v>
      </x:c>
      <x:c r="B1055" s="22" t="n">
        <x:f>DATE(C1055,D1055,1)</x:f>
        <x:v>42795</x:v>
      </x:c>
      <x:c r="C1055" t="n">
        <x:v>2017</x:v>
      </x:c>
      <x:c r="D1055" t="n">
        <x:v>3</x:v>
      </x:c>
      <x:c r="E1055" t="str">
        <x:f>TEXT(B1055,"mmm")</x:f>
        <x:v>Mar</x:v>
      </x:c>
      <x:c r="F1055" t="str">
        <x:f>"Q"&amp;ROUNDUP(D1055/3,0)</x:f>
        <x:v>Q1</x:v>
      </x:c>
      <x:c r="G1055" s="23" t="n">
        <x:v>74</x:v>
      </x:c>
      <x:c r="H1055" s="23" t="n">
        <x:v>76</x:v>
      </x:c>
      <x:c r="I1055" s="23" t="n">
        <x:v>75</x:v>
      </x:c>
      <x:c r="J1055" s="23" t="n">
        <x:f>G1055-H1055</x:f>
        <x:v>-2</x:v>
      </x:c>
      <x:c r="K1055" t="str">
        <x:v>OBSERVED</x:v>
      </x:c>
      <x:c r="L1055" s="24" t="n">
        <x:v>17.4483</x:v>
      </x:c>
      <x:c r="M1055" s="24" t="n">
        <x:v>78.3915</x:v>
      </x:c>
      <x:c r="N1055" t="str">
        <x:f>IF(I1055&gt;70,"70+ dB",IF(I1055&gt;55,"56-70 dB","41-55 dB"))</x:f>
        <x:v>70+ dB</x:v>
      </x:c>
      <x:c r="O1055" t="str">
        <x:f>IF(I1055&gt;70,"High",IF(I1055&gt;55,"Moderate","Low"))</x:f>
        <x:v>High</x:v>
      </x:c>
      <x:c r="P1055" t="str">
        <x:f>IF(I1055&gt;=70,"Yes","No")</x:f>
        <x:v>Yes</x:v>
      </x:c>
      <x:c r="Q1055" t="str">
        <x:f>TEXT(B1055,"yyyy-mm")</x:f>
        <x:v>2017-03</x:v>
      </x:c>
    </x:row>
    <x:row r="1056">
      <x:c r="A1056" t="str">
        <x:v>HYD07</x:v>
      </x:c>
      <x:c r="B1056" s="22" t="n">
        <x:f>DATE(C1056,D1056,1)</x:f>
        <x:v>42826</x:v>
      </x:c>
      <x:c r="C1056" t="n">
        <x:v>2017</x:v>
      </x:c>
      <x:c r="D1056" t="n">
        <x:v>4</x:v>
      </x:c>
      <x:c r="E1056" t="str">
        <x:f>TEXT(B1056,"mmm")</x:f>
        <x:v>Apr</x:v>
      </x:c>
      <x:c r="F1056" t="str">
        <x:f>"Q"&amp;ROUNDUP(D1056/3,0)</x:f>
        <x:v>Q2</x:v>
      </x:c>
      <x:c r="G1056" s="23" t="n">
        <x:v>75</x:v>
      </x:c>
      <x:c r="H1056" s="23" t="n">
        <x:v>80</x:v>
      </x:c>
      <x:c r="I1056" s="23" t="n">
        <x:v>77.5</x:v>
      </x:c>
      <x:c r="J1056" s="23" t="n">
        <x:f>G1056-H1056</x:f>
        <x:v>-5</x:v>
      </x:c>
      <x:c r="K1056" t="str">
        <x:v>OBSERVED</x:v>
      </x:c>
      <x:c r="L1056" s="24" t="n">
        <x:v>17.4483</x:v>
      </x:c>
      <x:c r="M1056" s="24" t="n">
        <x:v>78.3915</x:v>
      </x:c>
      <x:c r="N1056" t="str">
        <x:f>IF(I1056&gt;70,"70+ dB",IF(I1056&gt;55,"56-70 dB","41-55 dB"))</x:f>
        <x:v>70+ dB</x:v>
      </x:c>
      <x:c r="O1056" t="str">
        <x:f>IF(I1056&gt;70,"High",IF(I1056&gt;55,"Moderate","Low"))</x:f>
        <x:v>High</x:v>
      </x:c>
      <x:c r="P1056" t="str">
        <x:f>IF(I1056&gt;=70,"Yes","No")</x:f>
        <x:v>Yes</x:v>
      </x:c>
      <x:c r="Q1056" t="str">
        <x:f>TEXT(B1056,"yyyy-mm")</x:f>
        <x:v>2017-04</x:v>
      </x:c>
    </x:row>
    <x:row r="1057">
      <x:c r="A1057" t="str">
        <x:v>HYD07</x:v>
      </x:c>
      <x:c r="B1057" s="22" t="n">
        <x:f>DATE(C1057,D1057,1)</x:f>
        <x:v>42856</x:v>
      </x:c>
      <x:c r="C1057" t="n">
        <x:v>2017</x:v>
      </x:c>
      <x:c r="D1057" t="n">
        <x:v>5</x:v>
      </x:c>
      <x:c r="E1057" t="str">
        <x:f>TEXT(B1057,"mmm")</x:f>
        <x:v>May</x:v>
      </x:c>
      <x:c r="F1057" t="str">
        <x:f>"Q"&amp;ROUNDUP(D1057/3,0)</x:f>
        <x:v>Q2</x:v>
      </x:c>
      <x:c r="G1057" s="23" t="n">
        <x:v>75</x:v>
      </x:c>
      <x:c r="H1057" s="23" t="n">
        <x:v>80</x:v>
      </x:c>
      <x:c r="I1057" s="23" t="n">
        <x:v>77.5</x:v>
      </x:c>
      <x:c r="J1057" s="23" t="n">
        <x:f>G1057-H1057</x:f>
        <x:v>-5</x:v>
      </x:c>
      <x:c r="K1057" t="str">
        <x:v>OBSERVED</x:v>
      </x:c>
      <x:c r="L1057" s="24" t="n">
        <x:v>17.4483</x:v>
      </x:c>
      <x:c r="M1057" s="24" t="n">
        <x:v>78.3915</x:v>
      </x:c>
      <x:c r="N1057" t="str">
        <x:f>IF(I1057&gt;70,"70+ dB",IF(I1057&gt;55,"56-70 dB","41-55 dB"))</x:f>
        <x:v>70+ dB</x:v>
      </x:c>
      <x:c r="O1057" t="str">
        <x:f>IF(I1057&gt;70,"High",IF(I1057&gt;55,"Moderate","Low"))</x:f>
        <x:v>High</x:v>
      </x:c>
      <x:c r="P1057" t="str">
        <x:f>IF(I1057&gt;=70,"Yes","No")</x:f>
        <x:v>Yes</x:v>
      </x:c>
      <x:c r="Q1057" t="str">
        <x:f>TEXT(B1057,"yyyy-mm")</x:f>
        <x:v>2017-05</x:v>
      </x:c>
    </x:row>
    <x:row r="1058">
      <x:c r="A1058" t="str">
        <x:v>HYD07</x:v>
      </x:c>
      <x:c r="B1058" s="22" t="n">
        <x:f>DATE(C1058,D1058,1)</x:f>
        <x:v>42887</x:v>
      </x:c>
      <x:c r="C1058" t="n">
        <x:v>2017</x:v>
      </x:c>
      <x:c r="D1058" t="n">
        <x:v>6</x:v>
      </x:c>
      <x:c r="E1058" t="str">
        <x:f>TEXT(B1058,"mmm")</x:f>
        <x:v>Jun</x:v>
      </x:c>
      <x:c r="F1058" t="str">
        <x:f>"Q"&amp;ROUNDUP(D1058/3,0)</x:f>
        <x:v>Q2</x:v>
      </x:c>
      <x:c r="G1058" s="23" t="n">
        <x:v>74</x:v>
      </x:c>
      <x:c r="H1058" s="23" t="n">
        <x:v>74</x:v>
      </x:c>
      <x:c r="I1058" s="23" t="n">
        <x:v>74</x:v>
      </x:c>
      <x:c r="J1058" s="23" t="n">
        <x:f>G1058-H1058</x:f>
        <x:v>0</x:v>
      </x:c>
      <x:c r="K1058" t="str">
        <x:v>OBSERVED</x:v>
      </x:c>
      <x:c r="L1058" s="24" t="n">
        <x:v>17.4483</x:v>
      </x:c>
      <x:c r="M1058" s="24" t="n">
        <x:v>78.3915</x:v>
      </x:c>
      <x:c r="N1058" t="str">
        <x:f>IF(I1058&gt;70,"70+ dB",IF(I1058&gt;55,"56-70 dB","41-55 dB"))</x:f>
        <x:v>70+ dB</x:v>
      </x:c>
      <x:c r="O1058" t="str">
        <x:f>IF(I1058&gt;70,"High",IF(I1058&gt;55,"Moderate","Low"))</x:f>
        <x:v>High</x:v>
      </x:c>
      <x:c r="P1058" t="str">
        <x:f>IF(I1058&gt;=70,"Yes","No")</x:f>
        <x:v>Yes</x:v>
      </x:c>
      <x:c r="Q1058" t="str">
        <x:f>TEXT(B1058,"yyyy-mm")</x:f>
        <x:v>2017-06</x:v>
      </x:c>
    </x:row>
    <x:row r="1059">
      <x:c r="A1059" t="str">
        <x:v>HYD07</x:v>
      </x:c>
      <x:c r="B1059" s="22" t="n">
        <x:f>DATE(C1059,D1059,1)</x:f>
        <x:v>42917</x:v>
      </x:c>
      <x:c r="C1059" t="n">
        <x:v>2017</x:v>
      </x:c>
      <x:c r="D1059" t="n">
        <x:v>7</x:v>
      </x:c>
      <x:c r="E1059" t="str">
        <x:f>TEXT(B1059,"mmm")</x:f>
        <x:v>Jul</x:v>
      </x:c>
      <x:c r="F1059" t="str">
        <x:f>"Q"&amp;ROUNDUP(D1059/3,0)</x:f>
        <x:v>Q3</x:v>
      </x:c>
      <x:c r="G1059" s="23" t="n">
        <x:v>75</x:v>
      </x:c>
      <x:c r="H1059" s="23" t="n">
        <x:v>76</x:v>
      </x:c>
      <x:c r="I1059" s="23" t="n">
        <x:v>75.5</x:v>
      </x:c>
      <x:c r="J1059" s="23" t="n">
        <x:f>G1059-H1059</x:f>
        <x:v>-1</x:v>
      </x:c>
      <x:c r="K1059" t="str">
        <x:v>OBSERVED</x:v>
      </x:c>
      <x:c r="L1059" s="24" t="n">
        <x:v>17.4483</x:v>
      </x:c>
      <x:c r="M1059" s="24" t="n">
        <x:v>78.3915</x:v>
      </x:c>
      <x:c r="N1059" t="str">
        <x:f>IF(I1059&gt;70,"70+ dB",IF(I1059&gt;55,"56-70 dB","41-55 dB"))</x:f>
        <x:v>70+ dB</x:v>
      </x:c>
      <x:c r="O1059" t="str">
        <x:f>IF(I1059&gt;70,"High",IF(I1059&gt;55,"Moderate","Low"))</x:f>
        <x:v>High</x:v>
      </x:c>
      <x:c r="P1059" t="str">
        <x:f>IF(I1059&gt;=70,"Yes","No")</x:f>
        <x:v>Yes</x:v>
      </x:c>
      <x:c r="Q1059" t="str">
        <x:f>TEXT(B1059,"yyyy-mm")</x:f>
        <x:v>2017-07</x:v>
      </x:c>
    </x:row>
    <x:row r="1060">
      <x:c r="A1060" t="str">
        <x:v>HYD07</x:v>
      </x:c>
      <x:c r="B1060" s="22" t="n">
        <x:f>DATE(C1060,D1060,1)</x:f>
        <x:v>42948</x:v>
      </x:c>
      <x:c r="C1060" t="n">
        <x:v>2017</x:v>
      </x:c>
      <x:c r="D1060" t="n">
        <x:v>8</x:v>
      </x:c>
      <x:c r="E1060" t="str">
        <x:f>TEXT(B1060,"mmm")</x:f>
        <x:v>Aug</x:v>
      </x:c>
      <x:c r="F1060" t="str">
        <x:f>"Q"&amp;ROUNDUP(D1060/3,0)</x:f>
        <x:v>Q3</x:v>
      </x:c>
      <x:c r="G1060" s="23" t="n">
        <x:v>82</x:v>
      </x:c>
      <x:c r="H1060" s="23" t="n">
        <x:v>73</x:v>
      </x:c>
      <x:c r="I1060" s="23" t="n">
        <x:v>77.5</x:v>
      </x:c>
      <x:c r="J1060" s="23" t="n">
        <x:f>G1060-H1060</x:f>
        <x:v>9</x:v>
      </x:c>
      <x:c r="K1060" t="str">
        <x:v>OBSERVED</x:v>
      </x:c>
      <x:c r="L1060" s="24" t="n">
        <x:v>17.4483</x:v>
      </x:c>
      <x:c r="M1060" s="24" t="n">
        <x:v>78.3915</x:v>
      </x:c>
      <x:c r="N1060" t="str">
        <x:f>IF(I1060&gt;70,"70+ dB",IF(I1060&gt;55,"56-70 dB","41-55 dB"))</x:f>
        <x:v>70+ dB</x:v>
      </x:c>
      <x:c r="O1060" t="str">
        <x:f>IF(I1060&gt;70,"High",IF(I1060&gt;55,"Moderate","Low"))</x:f>
        <x:v>High</x:v>
      </x:c>
      <x:c r="P1060" t="str">
        <x:f>IF(I1060&gt;=70,"Yes","No")</x:f>
        <x:v>Yes</x:v>
      </x:c>
      <x:c r="Q1060" t="str">
        <x:f>TEXT(B1060,"yyyy-mm")</x:f>
        <x:v>2017-08</x:v>
      </x:c>
    </x:row>
    <x:row r="1061">
      <x:c r="A1061" t="str">
        <x:v>HYD07</x:v>
      </x:c>
      <x:c r="B1061" s="22" t="n">
        <x:f>DATE(C1061,D1061,1)</x:f>
        <x:v>42979</x:v>
      </x:c>
      <x:c r="C1061" t="n">
        <x:v>2017</x:v>
      </x:c>
      <x:c r="D1061" t="n">
        <x:v>9</x:v>
      </x:c>
      <x:c r="E1061" t="str">
        <x:f>TEXT(B1061,"mmm")</x:f>
        <x:v>Sep</x:v>
      </x:c>
      <x:c r="F1061" t="str">
        <x:f>"Q"&amp;ROUNDUP(D1061/3,0)</x:f>
        <x:v>Q3</x:v>
      </x:c>
      <x:c r="G1061" s="23" t="n">
        <x:v>84</x:v>
      </x:c>
      <x:c r="H1061" s="23" t="n">
        <x:v>75</x:v>
      </x:c>
      <x:c r="I1061" s="23" t="n">
        <x:v>79.5</x:v>
      </x:c>
      <x:c r="J1061" s="23" t="n">
        <x:f>G1061-H1061</x:f>
        <x:v>9</x:v>
      </x:c>
      <x:c r="K1061" t="str">
        <x:v>OBSERVED</x:v>
      </x:c>
      <x:c r="L1061" s="24" t="n">
        <x:v>17.4483</x:v>
      </x:c>
      <x:c r="M1061" s="24" t="n">
        <x:v>78.3915</x:v>
      </x:c>
      <x:c r="N1061" t="str">
        <x:f>IF(I1061&gt;70,"70+ dB",IF(I1061&gt;55,"56-70 dB","41-55 dB"))</x:f>
        <x:v>70+ dB</x:v>
      </x:c>
      <x:c r="O1061" t="str">
        <x:f>IF(I1061&gt;70,"High",IF(I1061&gt;55,"Moderate","Low"))</x:f>
        <x:v>High</x:v>
      </x:c>
      <x:c r="P1061" t="str">
        <x:f>IF(I1061&gt;=70,"Yes","No")</x:f>
        <x:v>Yes</x:v>
      </x:c>
      <x:c r="Q1061" t="str">
        <x:f>TEXT(B1061,"yyyy-mm")</x:f>
        <x:v>2017-09</x:v>
      </x:c>
    </x:row>
    <x:row r="1062">
      <x:c r="A1062" t="str">
        <x:v>HYD07</x:v>
      </x:c>
      <x:c r="B1062" s="22" t="n">
        <x:f>DATE(C1062,D1062,1)</x:f>
        <x:v>43009</x:v>
      </x:c>
      <x:c r="C1062" t="n">
        <x:v>2017</x:v>
      </x:c>
      <x:c r="D1062" t="n">
        <x:v>10</x:v>
      </x:c>
      <x:c r="E1062" t="str">
        <x:f>TEXT(B1062,"mmm")</x:f>
        <x:v>Oct</x:v>
      </x:c>
      <x:c r="F1062" t="str">
        <x:f>"Q"&amp;ROUNDUP(D1062/3,0)</x:f>
        <x:v>Q4</x:v>
      </x:c>
      <x:c r="G1062" s="23" t="n">
        <x:v>84</x:v>
      </x:c>
      <x:c r="H1062" s="23" t="n">
        <x:v>77</x:v>
      </x:c>
      <x:c r="I1062" s="23" t="n">
        <x:v>80.5</x:v>
      </x:c>
      <x:c r="J1062" s="23" t="n">
        <x:f>G1062-H1062</x:f>
        <x:v>7</x:v>
      </x:c>
      <x:c r="K1062" t="str">
        <x:v>OBSERVED</x:v>
      </x:c>
      <x:c r="L1062" s="24" t="n">
        <x:v>17.4483</x:v>
      </x:c>
      <x:c r="M1062" s="24" t="n">
        <x:v>78.3915</x:v>
      </x:c>
      <x:c r="N1062" t="str">
        <x:f>IF(I1062&gt;70,"70+ dB",IF(I1062&gt;55,"56-70 dB","41-55 dB"))</x:f>
        <x:v>70+ dB</x:v>
      </x:c>
      <x:c r="O1062" t="str">
        <x:f>IF(I1062&gt;70,"High",IF(I1062&gt;55,"Moderate","Low"))</x:f>
        <x:v>High</x:v>
      </x:c>
      <x:c r="P1062" t="str">
        <x:f>IF(I1062&gt;=70,"Yes","No")</x:f>
        <x:v>Yes</x:v>
      </x:c>
      <x:c r="Q1062" t="str">
        <x:f>TEXT(B1062,"yyyy-mm")</x:f>
        <x:v>2017-10</x:v>
      </x:c>
    </x:row>
    <x:row r="1063">
      <x:c r="A1063" t="str">
        <x:v>HYD07</x:v>
      </x:c>
      <x:c r="B1063" s="22" t="n">
        <x:f>DATE(C1063,D1063,1)</x:f>
        <x:v>43040</x:v>
      </x:c>
      <x:c r="C1063" t="n">
        <x:v>2017</x:v>
      </x:c>
      <x:c r="D1063" t="n">
        <x:v>11</x:v>
      </x:c>
      <x:c r="E1063" t="str">
        <x:f>TEXT(B1063,"mmm")</x:f>
        <x:v>Nov</x:v>
      </x:c>
      <x:c r="F1063" t="str">
        <x:f>"Q"&amp;ROUNDUP(D1063/3,0)</x:f>
        <x:v>Q4</x:v>
      </x:c>
      <x:c r="G1063" s="23" t="n">
        <x:v>82</x:v>
      </x:c>
      <x:c r="H1063" s="23" t="n">
        <x:v>72</x:v>
      </x:c>
      <x:c r="I1063" s="23" t="n">
        <x:v>77</x:v>
      </x:c>
      <x:c r="J1063" s="23" t="n">
        <x:f>G1063-H1063</x:f>
        <x:v>10</x:v>
      </x:c>
      <x:c r="K1063" t="str">
        <x:v>OBSERVED</x:v>
      </x:c>
      <x:c r="L1063" s="24" t="n">
        <x:v>17.4483</x:v>
      </x:c>
      <x:c r="M1063" s="24" t="n">
        <x:v>78.3915</x:v>
      </x:c>
      <x:c r="N1063" t="str">
        <x:f>IF(I1063&gt;70,"70+ dB",IF(I1063&gt;55,"56-70 dB","41-55 dB"))</x:f>
        <x:v>70+ dB</x:v>
      </x:c>
      <x:c r="O1063" t="str">
        <x:f>IF(I1063&gt;70,"High",IF(I1063&gt;55,"Moderate","Low"))</x:f>
        <x:v>High</x:v>
      </x:c>
      <x:c r="P1063" t="str">
        <x:f>IF(I1063&gt;=70,"Yes","No")</x:f>
        <x:v>Yes</x:v>
      </x:c>
      <x:c r="Q1063" t="str">
        <x:f>TEXT(B1063,"yyyy-mm")</x:f>
        <x:v>2017-11</x:v>
      </x:c>
    </x:row>
    <x:row r="1064">
      <x:c r="A1064" t="str">
        <x:v>HYD07</x:v>
      </x:c>
      <x:c r="B1064" s="22" t="n">
        <x:f>DATE(C1064,D1064,1)</x:f>
        <x:v>43070</x:v>
      </x:c>
      <x:c r="C1064" t="n">
        <x:v>2017</x:v>
      </x:c>
      <x:c r="D1064" t="n">
        <x:v>12</x:v>
      </x:c>
      <x:c r="E1064" t="str">
        <x:f>TEXT(B1064,"mmm")</x:f>
        <x:v>Dec</x:v>
      </x:c>
      <x:c r="F1064" t="str">
        <x:f>"Q"&amp;ROUNDUP(D1064/3,0)</x:f>
        <x:v>Q4</x:v>
      </x:c>
      <x:c r="G1064" s="23" t="n">
        <x:v>71</x:v>
      </x:c>
      <x:c r="H1064" s="23" t="n">
        <x:v>65</x:v>
      </x:c>
      <x:c r="I1064" s="23" t="n">
        <x:v>68</x:v>
      </x:c>
      <x:c r="J1064" s="23" t="n">
        <x:f>G1064-H1064</x:f>
        <x:v>6</x:v>
      </x:c>
      <x:c r="K1064" t="str">
        <x:v>OBSERVED</x:v>
      </x:c>
      <x:c r="L1064" s="24" t="n">
        <x:v>17.4483</x:v>
      </x:c>
      <x:c r="M1064" s="24" t="n">
        <x:v>78.3915</x:v>
      </x:c>
      <x:c r="N1064" t="str">
        <x:f>IF(I1064&gt;70,"70+ dB",IF(I1064&gt;55,"56-70 dB","41-55 dB"))</x:f>
        <x:v>56-70 dB</x:v>
      </x:c>
      <x:c r="O1064" t="str">
        <x:f>IF(I1064&gt;70,"High",IF(I1064&gt;55,"Moderate","Low"))</x:f>
        <x:v>Moderate</x:v>
      </x:c>
      <x:c r="P1064" t="str">
        <x:f>IF(I1064&gt;=70,"Yes","No")</x:f>
        <x:v>No</x:v>
      </x:c>
      <x:c r="Q1064" t="str">
        <x:f>TEXT(B1064,"yyyy-mm")</x:f>
        <x:v>2017-12</x:v>
      </x:c>
    </x:row>
    <x:row r="1065">
      <x:c r="A1065" t="str">
        <x:v>HYD07</x:v>
      </x:c>
      <x:c r="B1065" s="22" t="n">
        <x:f>DATE(C1065,D1065,1)</x:f>
        <x:v>43101</x:v>
      </x:c>
      <x:c r="C1065" t="n">
        <x:v>2018</x:v>
      </x:c>
      <x:c r="D1065" t="n">
        <x:v>1</x:v>
      </x:c>
      <x:c r="E1065" t="str">
        <x:f>TEXT(B1065,"mmm")</x:f>
        <x:v>Jan</x:v>
      </x:c>
      <x:c r="F1065" t="str">
        <x:f>"Q"&amp;ROUNDUP(D1065/3,0)</x:f>
        <x:v>Q1</x:v>
      </x:c>
      <x:c r="G1065" s="23" t="n">
        <x:v>65</x:v>
      </x:c>
      <x:c r="H1065" s="23" t="n">
        <x:v>56</x:v>
      </x:c>
      <x:c r="I1065" s="23" t="n">
        <x:v>60.5</x:v>
      </x:c>
      <x:c r="J1065" s="23" t="n">
        <x:f>G1065-H1065</x:f>
        <x:v>9</x:v>
      </x:c>
      <x:c r="K1065" t="str">
        <x:v>OBSERVED</x:v>
      </x:c>
      <x:c r="L1065" s="24" t="n">
        <x:v>17.4483</x:v>
      </x:c>
      <x:c r="M1065" s="24" t="n">
        <x:v>78.3915</x:v>
      </x:c>
      <x:c r="N1065" t="str">
        <x:f>IF(I1065&gt;70,"70+ dB",IF(I1065&gt;55,"56-70 dB","41-55 dB"))</x:f>
        <x:v>56-70 dB</x:v>
      </x:c>
      <x:c r="O1065" t="str">
        <x:f>IF(I1065&gt;70,"High",IF(I1065&gt;55,"Moderate","Low"))</x:f>
        <x:v>Moderate</x:v>
      </x:c>
      <x:c r="P1065" t="str">
        <x:f>IF(I1065&gt;=70,"Yes","No")</x:f>
        <x:v>No</x:v>
      </x:c>
      <x:c r="Q1065" t="str">
        <x:f>TEXT(B1065,"yyyy-mm")</x:f>
        <x:v>2018-01</x:v>
      </x:c>
    </x:row>
    <x:row r="1066">
      <x:c r="A1066" t="str">
        <x:v>HYD07</x:v>
      </x:c>
      <x:c r="B1066" s="22" t="n">
        <x:f>DATE(C1066,D1066,1)</x:f>
        <x:v>43132</x:v>
      </x:c>
      <x:c r="C1066" t="n">
        <x:v>2018</x:v>
      </x:c>
      <x:c r="D1066" t="n">
        <x:v>2</x:v>
      </x:c>
      <x:c r="E1066" t="str">
        <x:f>TEXT(B1066,"mmm")</x:f>
        <x:v>Feb</x:v>
      </x:c>
      <x:c r="F1066" t="str">
        <x:f>"Q"&amp;ROUNDUP(D1066/3,0)</x:f>
        <x:v>Q1</x:v>
      </x:c>
      <x:c r="G1066" s="23" t="n">
        <x:v>69</x:v>
      </x:c>
      <x:c r="H1066" s="23" t="n">
        <x:v>60</x:v>
      </x:c>
      <x:c r="I1066" s="23" t="n">
        <x:v>64.5</x:v>
      </x:c>
      <x:c r="J1066" s="23" t="n">
        <x:f>G1066-H1066</x:f>
        <x:v>9</x:v>
      </x:c>
      <x:c r="K1066" t="str">
        <x:v>OBSERVED</x:v>
      </x:c>
      <x:c r="L1066" s="24" t="n">
        <x:v>17.4483</x:v>
      </x:c>
      <x:c r="M1066" s="24" t="n">
        <x:v>78.3915</x:v>
      </x:c>
      <x:c r="N1066" t="str">
        <x:f>IF(I1066&gt;70,"70+ dB",IF(I1066&gt;55,"56-70 dB","41-55 dB"))</x:f>
        <x:v>56-70 dB</x:v>
      </x:c>
      <x:c r="O1066" t="str">
        <x:f>IF(I1066&gt;70,"High",IF(I1066&gt;55,"Moderate","Low"))</x:f>
        <x:v>Moderate</x:v>
      </x:c>
      <x:c r="P1066" t="str">
        <x:f>IF(I1066&gt;=70,"Yes","No")</x:f>
        <x:v>No</x:v>
      </x:c>
      <x:c r="Q1066" t="str">
        <x:f>TEXT(B1066,"yyyy-mm")</x:f>
        <x:v>2018-02</x:v>
      </x:c>
    </x:row>
    <x:row r="1067">
      <x:c r="A1067" t="str">
        <x:v>HYD07</x:v>
      </x:c>
      <x:c r="B1067" s="22" t="n">
        <x:f>DATE(C1067,D1067,1)</x:f>
        <x:v>43160</x:v>
      </x:c>
      <x:c r="C1067" t="n">
        <x:v>2018</x:v>
      </x:c>
      <x:c r="D1067" t="n">
        <x:v>3</x:v>
      </x:c>
      <x:c r="E1067" t="str">
        <x:f>TEXT(B1067,"mmm")</x:f>
        <x:v>Mar</x:v>
      </x:c>
      <x:c r="F1067" t="str">
        <x:f>"Q"&amp;ROUNDUP(D1067/3,0)</x:f>
        <x:v>Q1</x:v>
      </x:c>
      <x:c r="G1067" s="23" t="n">
        <x:v>68</x:v>
      </x:c>
      <x:c r="H1067" s="23" t="n">
        <x:v>59</x:v>
      </x:c>
      <x:c r="I1067" s="23" t="n">
        <x:v>63.5</x:v>
      </x:c>
      <x:c r="J1067" s="23" t="n">
        <x:f>G1067-H1067</x:f>
        <x:v>9</x:v>
      </x:c>
      <x:c r="K1067" t="str">
        <x:v>OBSERVED</x:v>
      </x:c>
      <x:c r="L1067" s="24" t="n">
        <x:v>17.4483</x:v>
      </x:c>
      <x:c r="M1067" s="24" t="n">
        <x:v>78.3915</x:v>
      </x:c>
      <x:c r="N1067" t="str">
        <x:f>IF(I1067&gt;70,"70+ dB",IF(I1067&gt;55,"56-70 dB","41-55 dB"))</x:f>
        <x:v>56-70 dB</x:v>
      </x:c>
      <x:c r="O1067" t="str">
        <x:f>IF(I1067&gt;70,"High",IF(I1067&gt;55,"Moderate","Low"))</x:f>
        <x:v>Moderate</x:v>
      </x:c>
      <x:c r="P1067" t="str">
        <x:f>IF(I1067&gt;=70,"Yes","No")</x:f>
        <x:v>No</x:v>
      </x:c>
      <x:c r="Q1067" t="str">
        <x:f>TEXT(B1067,"yyyy-mm")</x:f>
        <x:v>2018-03</x:v>
      </x:c>
    </x:row>
    <x:row r="1068">
      <x:c r="A1068" t="str">
        <x:v>HYD07</x:v>
      </x:c>
      <x:c r="B1068" s="22" t="n">
        <x:f>DATE(C1068,D1068,1)</x:f>
        <x:v>43191</x:v>
      </x:c>
      <x:c r="C1068" t="n">
        <x:v>2018</x:v>
      </x:c>
      <x:c r="D1068" t="n">
        <x:v>4</x:v>
      </x:c>
      <x:c r="E1068" t="str">
        <x:f>TEXT(B1068,"mmm")</x:f>
        <x:v>Apr</x:v>
      </x:c>
      <x:c r="F1068" t="str">
        <x:f>"Q"&amp;ROUNDUP(D1068/3,0)</x:f>
        <x:v>Q2</x:v>
      </x:c>
      <x:c r="G1068" s="23" t="n">
        <x:v>66</x:v>
      </x:c>
      <x:c r="H1068" s="23" t="n">
        <x:v>60</x:v>
      </x:c>
      <x:c r="I1068" s="23" t="n">
        <x:v>63</x:v>
      </x:c>
      <x:c r="J1068" s="23" t="n">
        <x:f>G1068-H1068</x:f>
        <x:v>6</x:v>
      </x:c>
      <x:c r="K1068" t="str">
        <x:v>OBSERVED</x:v>
      </x:c>
      <x:c r="L1068" s="24" t="n">
        <x:v>17.4483</x:v>
      </x:c>
      <x:c r="M1068" s="24" t="n">
        <x:v>78.3915</x:v>
      </x:c>
      <x:c r="N1068" t="str">
        <x:f>IF(I1068&gt;70,"70+ dB",IF(I1068&gt;55,"56-70 dB","41-55 dB"))</x:f>
        <x:v>56-70 dB</x:v>
      </x:c>
      <x:c r="O1068" t="str">
        <x:f>IF(I1068&gt;70,"High",IF(I1068&gt;55,"Moderate","Low"))</x:f>
        <x:v>Moderate</x:v>
      </x:c>
      <x:c r="P1068" t="str">
        <x:f>IF(I1068&gt;=70,"Yes","No")</x:f>
        <x:v>No</x:v>
      </x:c>
      <x:c r="Q1068" t="str">
        <x:f>TEXT(B1068,"yyyy-mm")</x:f>
        <x:v>2018-04</x:v>
      </x:c>
    </x:row>
    <x:row r="1069">
      <x:c r="A1069" t="str">
        <x:v>HYD07</x:v>
      </x:c>
      <x:c r="B1069" s="22" t="n">
        <x:f>DATE(C1069,D1069,1)</x:f>
        <x:v>43221</x:v>
      </x:c>
      <x:c r="C1069" t="n">
        <x:v>2018</x:v>
      </x:c>
      <x:c r="D1069" t="n">
        <x:v>5</x:v>
      </x:c>
      <x:c r="E1069" t="str">
        <x:f>TEXT(B1069,"mmm")</x:f>
        <x:v>May</x:v>
      </x:c>
      <x:c r="F1069" t="str">
        <x:f>"Q"&amp;ROUNDUP(D1069/3,0)</x:f>
        <x:v>Q2</x:v>
      </x:c>
      <x:c r="G1069" s="23" t="n">
        <x:v>68</x:v>
      </x:c>
      <x:c r="H1069" s="23" t="n">
        <x:v>62</x:v>
      </x:c>
      <x:c r="I1069" s="23" t="n">
        <x:v>65</x:v>
      </x:c>
      <x:c r="J1069" s="23" t="n">
        <x:f>G1069-H1069</x:f>
        <x:v>6</x:v>
      </x:c>
      <x:c r="K1069" t="str">
        <x:v>OBSERVED</x:v>
      </x:c>
      <x:c r="L1069" s="24" t="n">
        <x:v>17.4483</x:v>
      </x:c>
      <x:c r="M1069" s="24" t="n">
        <x:v>78.3915</x:v>
      </x:c>
      <x:c r="N1069" t="str">
        <x:f>IF(I1069&gt;70,"70+ dB",IF(I1069&gt;55,"56-70 dB","41-55 dB"))</x:f>
        <x:v>56-70 dB</x:v>
      </x:c>
      <x:c r="O1069" t="str">
        <x:f>IF(I1069&gt;70,"High",IF(I1069&gt;55,"Moderate","Low"))</x:f>
        <x:v>Moderate</x:v>
      </x:c>
      <x:c r="P1069" t="str">
        <x:f>IF(I1069&gt;=70,"Yes","No")</x:f>
        <x:v>No</x:v>
      </x:c>
      <x:c r="Q1069" t="str">
        <x:f>TEXT(B1069,"yyyy-mm")</x:f>
        <x:v>2018-05</x:v>
      </x:c>
    </x:row>
    <x:row r="1070">
      <x:c r="A1070" t="str">
        <x:v>HYD07</x:v>
      </x:c>
      <x:c r="B1070" s="22" t="n">
        <x:f>DATE(C1070,D1070,1)</x:f>
        <x:v>43252</x:v>
      </x:c>
      <x:c r="C1070" t="n">
        <x:v>2018</x:v>
      </x:c>
      <x:c r="D1070" t="n">
        <x:v>6</x:v>
      </x:c>
      <x:c r="E1070" t="str">
        <x:f>TEXT(B1070,"mmm")</x:f>
        <x:v>Jun</x:v>
      </x:c>
      <x:c r="F1070" t="str">
        <x:f>"Q"&amp;ROUNDUP(D1070/3,0)</x:f>
        <x:v>Q2</x:v>
      </x:c>
      <x:c r="G1070" s="23" t="n">
        <x:v>77</x:v>
      </x:c>
      <x:c r="H1070" s="23" t="n">
        <x:v>71</x:v>
      </x:c>
      <x:c r="I1070" s="23" t="n">
        <x:v>74</x:v>
      </x:c>
      <x:c r="J1070" s="23" t="n">
        <x:f>G1070-H1070</x:f>
        <x:v>6</x:v>
      </x:c>
      <x:c r="K1070" t="str">
        <x:v>OBSERVED</x:v>
      </x:c>
      <x:c r="L1070" s="24" t="n">
        <x:v>17.4483</x:v>
      </x:c>
      <x:c r="M1070" s="24" t="n">
        <x:v>78.3915</x:v>
      </x:c>
      <x:c r="N1070" t="str">
        <x:f>IF(I1070&gt;70,"70+ dB",IF(I1070&gt;55,"56-70 dB","41-55 dB"))</x:f>
        <x:v>70+ dB</x:v>
      </x:c>
      <x:c r="O1070" t="str">
        <x:f>IF(I1070&gt;70,"High",IF(I1070&gt;55,"Moderate","Low"))</x:f>
        <x:v>High</x:v>
      </x:c>
      <x:c r="P1070" t="str">
        <x:f>IF(I1070&gt;=70,"Yes","No")</x:f>
        <x:v>Yes</x:v>
      </x:c>
      <x:c r="Q1070" t="str">
        <x:f>TEXT(B1070,"yyyy-mm")</x:f>
        <x:v>2018-06</x:v>
      </x:c>
    </x:row>
    <x:row r="1071">
      <x:c r="A1071" t="str">
        <x:v>HYD07</x:v>
      </x:c>
      <x:c r="B1071" s="22" t="n">
        <x:f>DATE(C1071,D1071,1)</x:f>
        <x:v>43282</x:v>
      </x:c>
      <x:c r="C1071" t="n">
        <x:v>2018</x:v>
      </x:c>
      <x:c r="D1071" t="n">
        <x:v>7</x:v>
      </x:c>
      <x:c r="E1071" t="str">
        <x:f>TEXT(B1071,"mmm")</x:f>
        <x:v>Jul</x:v>
      </x:c>
      <x:c r="F1071" t="str">
        <x:f>"Q"&amp;ROUNDUP(D1071/3,0)</x:f>
        <x:v>Q3</x:v>
      </x:c>
      <x:c r="G1071" s="23" t="n">
        <x:v>79</x:v>
      </x:c>
      <x:c r="H1071" s="23" t="n">
        <x:v>71</x:v>
      </x:c>
      <x:c r="I1071" s="23" t="n">
        <x:v>75</x:v>
      </x:c>
      <x:c r="J1071" s="23" t="n">
        <x:f>G1071-H1071</x:f>
        <x:v>8</x:v>
      </x:c>
      <x:c r="K1071" t="str">
        <x:v>OBSERVED</x:v>
      </x:c>
      <x:c r="L1071" s="24" t="n">
        <x:v>17.4483</x:v>
      </x:c>
      <x:c r="M1071" s="24" t="n">
        <x:v>78.3915</x:v>
      </x:c>
      <x:c r="N1071" t="str">
        <x:f>IF(I1071&gt;70,"70+ dB",IF(I1071&gt;55,"56-70 dB","41-55 dB"))</x:f>
        <x:v>70+ dB</x:v>
      </x:c>
      <x:c r="O1071" t="str">
        <x:f>IF(I1071&gt;70,"High",IF(I1071&gt;55,"Moderate","Low"))</x:f>
        <x:v>High</x:v>
      </x:c>
      <x:c r="P1071" t="str">
        <x:f>IF(I1071&gt;=70,"Yes","No")</x:f>
        <x:v>Yes</x:v>
      </x:c>
      <x:c r="Q1071" t="str">
        <x:f>TEXT(B1071,"yyyy-mm")</x:f>
        <x:v>2018-07</x:v>
      </x:c>
    </x:row>
    <x:row r="1072">
      <x:c r="A1072" t="str">
        <x:v>HYD07</x:v>
      </x:c>
      <x:c r="B1072" s="22" t="n">
        <x:f>DATE(C1072,D1072,1)</x:f>
        <x:v>43313</x:v>
      </x:c>
      <x:c r="C1072" t="n">
        <x:v>2018</x:v>
      </x:c>
      <x:c r="D1072" t="n">
        <x:v>8</x:v>
      </x:c>
      <x:c r="E1072" t="str">
        <x:f>TEXT(B1072,"mmm")</x:f>
        <x:v>Aug</x:v>
      </x:c>
      <x:c r="F1072" t="str">
        <x:f>"Q"&amp;ROUNDUP(D1072/3,0)</x:f>
        <x:v>Q3</x:v>
      </x:c>
      <x:c r="G1072" s="23" t="n">
        <x:v>72</x:v>
      </x:c>
      <x:c r="H1072" s="23" t="n">
        <x:v>62</x:v>
      </x:c>
      <x:c r="I1072" s="23" t="n">
        <x:v>67</x:v>
      </x:c>
      <x:c r="J1072" s="23" t="n">
        <x:f>G1072-H1072</x:f>
        <x:v>10</x:v>
      </x:c>
      <x:c r="K1072" t="str">
        <x:v>OBSERVED</x:v>
      </x:c>
      <x:c r="L1072" s="24" t="n">
        <x:v>17.4483</x:v>
      </x:c>
      <x:c r="M1072" s="24" t="n">
        <x:v>78.3915</x:v>
      </x:c>
      <x:c r="N1072" t="str">
        <x:f>IF(I1072&gt;70,"70+ dB",IF(I1072&gt;55,"56-70 dB","41-55 dB"))</x:f>
        <x:v>56-70 dB</x:v>
      </x:c>
      <x:c r="O1072" t="str">
        <x:f>IF(I1072&gt;70,"High",IF(I1072&gt;55,"Moderate","Low"))</x:f>
        <x:v>Moderate</x:v>
      </x:c>
      <x:c r="P1072" t="str">
        <x:f>IF(I1072&gt;=70,"Yes","No")</x:f>
        <x:v>No</x:v>
      </x:c>
      <x:c r="Q1072" t="str">
        <x:f>TEXT(B1072,"yyyy-mm")</x:f>
        <x:v>2018-08</x:v>
      </x:c>
    </x:row>
    <x:row r="1073">
      <x:c r="A1073" t="str">
        <x:v>HYD07</x:v>
      </x:c>
      <x:c r="B1073" s="22" t="n">
        <x:f>DATE(C1073,D1073,1)</x:f>
        <x:v>43344</x:v>
      </x:c>
      <x:c r="C1073" t="n">
        <x:v>2018</x:v>
      </x:c>
      <x:c r="D1073" t="n">
        <x:v>9</x:v>
      </x:c>
      <x:c r="E1073" t="str">
        <x:f>TEXT(B1073,"mmm")</x:f>
        <x:v>Sep</x:v>
      </x:c>
      <x:c r="F1073" t="str">
        <x:f>"Q"&amp;ROUNDUP(D1073/3,0)</x:f>
        <x:v>Q3</x:v>
      </x:c>
      <x:c r="G1073" s="23" t="n">
        <x:v>71</x:v>
      </x:c>
      <x:c r="H1073" s="23" t="n">
        <x:v>61</x:v>
      </x:c>
      <x:c r="I1073" s="23" t="n">
        <x:v>66</x:v>
      </x:c>
      <x:c r="J1073" s="23" t="n">
        <x:f>G1073-H1073</x:f>
        <x:v>10</x:v>
      </x:c>
      <x:c r="K1073" t="str">
        <x:v>OBSERVED</x:v>
      </x:c>
      <x:c r="L1073" s="24" t="n">
        <x:v>17.4483</x:v>
      </x:c>
      <x:c r="M1073" s="24" t="n">
        <x:v>78.3915</x:v>
      </x:c>
      <x:c r="N1073" t="str">
        <x:f>IF(I1073&gt;70,"70+ dB",IF(I1073&gt;55,"56-70 dB","41-55 dB"))</x:f>
        <x:v>56-70 dB</x:v>
      </x:c>
      <x:c r="O1073" t="str">
        <x:f>IF(I1073&gt;70,"High",IF(I1073&gt;55,"Moderate","Low"))</x:f>
        <x:v>Moderate</x:v>
      </x:c>
      <x:c r="P1073" t="str">
        <x:f>IF(I1073&gt;=70,"Yes","No")</x:f>
        <x:v>No</x:v>
      </x:c>
      <x:c r="Q1073" t="str">
        <x:f>TEXT(B1073,"yyyy-mm")</x:f>
        <x:v>2018-09</x:v>
      </x:c>
    </x:row>
    <x:row r="1074">
      <x:c r="A1074" t="str">
        <x:v>HYD07</x:v>
      </x:c>
      <x:c r="B1074" s="22" t="n">
        <x:f>DATE(C1074,D1074,1)</x:f>
        <x:v>43374</x:v>
      </x:c>
      <x:c r="C1074" t="n">
        <x:v>2018</x:v>
      </x:c>
      <x:c r="D1074" t="n">
        <x:v>10</x:v>
      </x:c>
      <x:c r="E1074" t="str">
        <x:f>TEXT(B1074,"mmm")</x:f>
        <x:v>Oct</x:v>
      </x:c>
      <x:c r="F1074" t="str">
        <x:f>"Q"&amp;ROUNDUP(D1074/3,0)</x:f>
        <x:v>Q4</x:v>
      </x:c>
      <x:c r="G1074" s="23" t="n">
        <x:v>64</x:v>
      </x:c>
      <x:c r="H1074" s="23" t="n">
        <x:v>55</x:v>
      </x:c>
      <x:c r="I1074" s="23" t="n">
        <x:v>59.5</x:v>
      </x:c>
      <x:c r="J1074" s="23" t="n">
        <x:f>G1074-H1074</x:f>
        <x:v>9</x:v>
      </x:c>
      <x:c r="K1074" t="str">
        <x:v>OBSERVED</x:v>
      </x:c>
      <x:c r="L1074" s="24" t="n">
        <x:v>17.4483</x:v>
      </x:c>
      <x:c r="M1074" s="24" t="n">
        <x:v>78.3915</x:v>
      </x:c>
      <x:c r="N1074" t="str">
        <x:f>IF(I1074&gt;70,"70+ dB",IF(I1074&gt;55,"56-70 dB","41-55 dB"))</x:f>
        <x:v>56-70 dB</x:v>
      </x:c>
      <x:c r="O1074" t="str">
        <x:f>IF(I1074&gt;70,"High",IF(I1074&gt;55,"Moderate","Low"))</x:f>
        <x:v>Moderate</x:v>
      </x:c>
      <x:c r="P1074" t="str">
        <x:f>IF(I1074&gt;=70,"Yes","No")</x:f>
        <x:v>No</x:v>
      </x:c>
      <x:c r="Q1074" t="str">
        <x:f>TEXT(B1074,"yyyy-mm")</x:f>
        <x:v>2018-10</x:v>
      </x:c>
    </x:row>
    <x:row r="1075">
      <x:c r="A1075" t="str">
        <x:v>HYD07</x:v>
      </x:c>
      <x:c r="B1075" s="22" t="n">
        <x:f>DATE(C1075,D1075,1)</x:f>
        <x:v>43405</x:v>
      </x:c>
      <x:c r="C1075" t="n">
        <x:v>2018</x:v>
      </x:c>
      <x:c r="D1075" t="n">
        <x:v>11</x:v>
      </x:c>
      <x:c r="E1075" t="str">
        <x:f>TEXT(B1075,"mmm")</x:f>
        <x:v>Nov</x:v>
      </x:c>
      <x:c r="F1075" t="str">
        <x:f>"Q"&amp;ROUNDUP(D1075/3,0)</x:f>
        <x:v>Q4</x:v>
      </x:c>
      <x:c r="G1075" s="23" t="n">
        <x:v>69</x:v>
      </x:c>
      <x:c r="H1075" s="23" t="n">
        <x:v>60</x:v>
      </x:c>
      <x:c r="I1075" s="23" t="n">
        <x:v>64.5</x:v>
      </x:c>
      <x:c r="J1075" s="23" t="n">
        <x:f>G1075-H1075</x:f>
        <x:v>9</x:v>
      </x:c>
      <x:c r="K1075" t="str">
        <x:v>OBSERVED</x:v>
      </x:c>
      <x:c r="L1075" s="24" t="n">
        <x:v>17.4483</x:v>
      </x:c>
      <x:c r="M1075" s="24" t="n">
        <x:v>78.3915</x:v>
      </x:c>
      <x:c r="N1075" t="str">
        <x:f>IF(I1075&gt;70,"70+ dB",IF(I1075&gt;55,"56-70 dB","41-55 dB"))</x:f>
        <x:v>56-70 dB</x:v>
      </x:c>
      <x:c r="O1075" t="str">
        <x:f>IF(I1075&gt;70,"High",IF(I1075&gt;55,"Moderate","Low"))</x:f>
        <x:v>Moderate</x:v>
      </x:c>
      <x:c r="P1075" t="str">
        <x:f>IF(I1075&gt;=70,"Yes","No")</x:f>
        <x:v>No</x:v>
      </x:c>
      <x:c r="Q1075" t="str">
        <x:f>TEXT(B1075,"yyyy-mm")</x:f>
        <x:v>2018-11</x:v>
      </x:c>
    </x:row>
    <x:row r="1076">
      <x:c r="A1076" t="str">
        <x:v>HYD07</x:v>
      </x:c>
      <x:c r="B1076" s="22" t="n">
        <x:f>DATE(C1076,D1076,1)</x:f>
        <x:v>43435</x:v>
      </x:c>
      <x:c r="C1076" t="n">
        <x:v>2018</x:v>
      </x:c>
      <x:c r="D1076" t="n">
        <x:v>12</x:v>
      </x:c>
      <x:c r="E1076" t="str">
        <x:f>TEXT(B1076,"mmm")</x:f>
        <x:v>Dec</x:v>
      </x:c>
      <x:c r="F1076" t="str">
        <x:f>"Q"&amp;ROUNDUP(D1076/3,0)</x:f>
        <x:v>Q4</x:v>
      </x:c>
      <x:c r="G1076" s="23" t="n">
        <x:v>62</x:v>
      </x:c>
      <x:c r="H1076" s="23" t="n">
        <x:v>56</x:v>
      </x:c>
      <x:c r="I1076" s="23" t="n">
        <x:v>59</x:v>
      </x:c>
      <x:c r="J1076" s="23" t="n">
        <x:f>G1076-H1076</x:f>
        <x:v>6</x:v>
      </x:c>
      <x:c r="K1076" t="str">
        <x:v>OBSERVED</x:v>
      </x:c>
      <x:c r="L1076" s="24" t="n">
        <x:v>17.4483</x:v>
      </x:c>
      <x:c r="M1076" s="24" t="n">
        <x:v>78.3915</x:v>
      </x:c>
      <x:c r="N1076" t="str">
        <x:f>IF(I1076&gt;70,"70+ dB",IF(I1076&gt;55,"56-70 dB","41-55 dB"))</x:f>
        <x:v>56-70 dB</x:v>
      </x:c>
      <x:c r="O1076" t="str">
        <x:f>IF(I1076&gt;70,"High",IF(I1076&gt;55,"Moderate","Low"))</x:f>
        <x:v>Moderate</x:v>
      </x:c>
      <x:c r="P1076" t="str">
        <x:f>IF(I1076&gt;=70,"Yes","No")</x:f>
        <x:v>No</x:v>
      </x:c>
      <x:c r="Q1076" t="str">
        <x:f>TEXT(B1076,"yyyy-mm")</x:f>
        <x:v>2018-12</x:v>
      </x:c>
    </x:row>
    <x:row r="1077">
      <x:c r="A1077" t="str">
        <x:v>HYD07</x:v>
      </x:c>
      <x:c r="B1077" s="22" t="n">
        <x:f>DATE(C1077,D1077,1)</x:f>
        <x:v>43466</x:v>
      </x:c>
      <x:c r="C1077" t="n">
        <x:v>2019</x:v>
      </x:c>
      <x:c r="D1077" t="n">
        <x:v>1</x:v>
      </x:c>
      <x:c r="E1077" t="str">
        <x:f>TEXT(B1077,"mmm")</x:f>
        <x:v>Jan</x:v>
      </x:c>
      <x:c r="F1077" t="str">
        <x:f>"Q"&amp;ROUNDUP(D1077/3,0)</x:f>
        <x:v>Q1</x:v>
      </x:c>
      <x:c r="G1077" s="23" t="n">
        <x:v>67.36</x:v>
      </x:c>
      <x:c r="H1077" s="23" t="n">
        <x:v>65.95</x:v>
      </x:c>
      <x:c r="I1077" s="23" t="n">
        <x:v>66.7</x:v>
      </x:c>
      <x:c r="J1077" s="23" t="n">
        <x:f>G1077-H1077</x:f>
        <x:v>1.4099999999999966</x:v>
      </x:c>
      <x:c r="K1077" t="str">
        <x:v>HINDCAST</x:v>
      </x:c>
      <x:c r="L1077" s="24" t="n">
        <x:v>17.4483</x:v>
      </x:c>
      <x:c r="M1077" s="24" t="n">
        <x:v>78.3915</x:v>
      </x:c>
      <x:c r="N1077" t="str">
        <x:f>IF(I1077&gt;70,"70+ dB",IF(I1077&gt;55,"56-70 dB","41-55 dB"))</x:f>
        <x:v>56-70 dB</x:v>
      </x:c>
      <x:c r="O1077" t="str">
        <x:f>IF(I1077&gt;70,"High",IF(I1077&gt;55,"Moderate","Low"))</x:f>
        <x:v>Moderate</x:v>
      </x:c>
      <x:c r="P1077" t="str">
        <x:f>IF(I1077&gt;=70,"Yes","No")</x:f>
        <x:v>No</x:v>
      </x:c>
      <x:c r="Q1077" t="str">
        <x:f>TEXT(B1077,"yyyy-mm")</x:f>
        <x:v>2019-01</x:v>
      </x:c>
    </x:row>
    <x:row r="1078">
      <x:c r="A1078" t="str">
        <x:v>HYD07</x:v>
      </x:c>
      <x:c r="B1078" s="22" t="n">
        <x:f>DATE(C1078,D1078,1)</x:f>
        <x:v>43497</x:v>
      </x:c>
      <x:c r="C1078" t="n">
        <x:v>2019</x:v>
      </x:c>
      <x:c r="D1078" t="n">
        <x:v>2</x:v>
      </x:c>
      <x:c r="E1078" t="str">
        <x:f>TEXT(B1078,"mmm")</x:f>
        <x:v>Feb</x:v>
      </x:c>
      <x:c r="F1078" t="str">
        <x:f>"Q"&amp;ROUNDUP(D1078/3,0)</x:f>
        <x:v>Q1</x:v>
      </x:c>
      <x:c r="G1078" s="23" t="n">
        <x:v>67.96</x:v>
      </x:c>
      <x:c r="H1078" s="23" t="n">
        <x:v>65.13</x:v>
      </x:c>
      <x:c r="I1078" s="23" t="n">
        <x:v>66.5</x:v>
      </x:c>
      <x:c r="J1078" s="23" t="n">
        <x:f>G1078-H1078</x:f>
        <x:v>2.8299999999999983</x:v>
      </x:c>
      <x:c r="K1078" t="str">
        <x:v>HINDCAST</x:v>
      </x:c>
      <x:c r="L1078" s="24" t="n">
        <x:v>17.4483</x:v>
      </x:c>
      <x:c r="M1078" s="24" t="n">
        <x:v>78.3915</x:v>
      </x:c>
      <x:c r="N1078" t="str">
        <x:f>IF(I1078&gt;70,"70+ dB",IF(I1078&gt;55,"56-70 dB","41-55 dB"))</x:f>
        <x:v>56-70 dB</x:v>
      </x:c>
      <x:c r="O1078" t="str">
        <x:f>IF(I1078&gt;70,"High",IF(I1078&gt;55,"Moderate","Low"))</x:f>
        <x:v>Moderate</x:v>
      </x:c>
      <x:c r="P1078" t="str">
        <x:f>IF(I1078&gt;=70,"Yes","No")</x:f>
        <x:v>No</x:v>
      </x:c>
      <x:c r="Q1078" t="str">
        <x:f>TEXT(B1078,"yyyy-mm")</x:f>
        <x:v>2019-02</x:v>
      </x:c>
    </x:row>
    <x:row r="1079">
      <x:c r="A1079" t="str">
        <x:v>HYD07</x:v>
      </x:c>
      <x:c r="B1079" s="22" t="n">
        <x:f>DATE(C1079,D1079,1)</x:f>
        <x:v>43525</x:v>
      </x:c>
      <x:c r="C1079" t="n">
        <x:v>2019</x:v>
      </x:c>
      <x:c r="D1079" t="n">
        <x:v>3</x:v>
      </x:c>
      <x:c r="E1079" t="str">
        <x:f>TEXT(B1079,"mmm")</x:f>
        <x:v>Mar</x:v>
      </x:c>
      <x:c r="F1079" t="str">
        <x:f>"Q"&amp;ROUNDUP(D1079/3,0)</x:f>
        <x:v>Q1</x:v>
      </x:c>
      <x:c r="G1079" s="23" t="n">
        <x:v>67.03</x:v>
      </x:c>
      <x:c r="H1079" s="23" t="n">
        <x:v>65.91</x:v>
      </x:c>
      <x:c r="I1079" s="23" t="n">
        <x:v>66.5</x:v>
      </x:c>
      <x:c r="J1079" s="23" t="n">
        <x:f>G1079-H1079</x:f>
        <x:v>1.1200000000000045</x:v>
      </x:c>
      <x:c r="K1079" t="str">
        <x:v>HINDCAST</x:v>
      </x:c>
      <x:c r="L1079" s="24" t="n">
        <x:v>17.4483</x:v>
      </x:c>
      <x:c r="M1079" s="24" t="n">
        <x:v>78.3915</x:v>
      </x:c>
      <x:c r="N1079" t="str">
        <x:f>IF(I1079&gt;70,"70+ dB",IF(I1079&gt;55,"56-70 dB","41-55 dB"))</x:f>
        <x:v>56-70 dB</x:v>
      </x:c>
      <x:c r="O1079" t="str">
        <x:f>IF(I1079&gt;70,"High",IF(I1079&gt;55,"Moderate","Low"))</x:f>
        <x:v>Moderate</x:v>
      </x:c>
      <x:c r="P1079" t="str">
        <x:f>IF(I1079&gt;=70,"Yes","No")</x:f>
        <x:v>No</x:v>
      </x:c>
      <x:c r="Q1079" t="str">
        <x:f>TEXT(B1079,"yyyy-mm")</x:f>
        <x:v>2019-03</x:v>
      </x:c>
    </x:row>
    <x:row r="1080">
      <x:c r="A1080" t="str">
        <x:v>HYD07</x:v>
      </x:c>
      <x:c r="B1080" s="22" t="n">
        <x:f>DATE(C1080,D1080,1)</x:f>
        <x:v>43556</x:v>
      </x:c>
      <x:c r="C1080" t="n">
        <x:v>2019</x:v>
      </x:c>
      <x:c r="D1080" t="n">
        <x:v>4</x:v>
      </x:c>
      <x:c r="E1080" t="str">
        <x:f>TEXT(B1080,"mmm")</x:f>
        <x:v>Apr</x:v>
      </x:c>
      <x:c r="F1080" t="str">
        <x:f>"Q"&amp;ROUNDUP(D1080/3,0)</x:f>
        <x:v>Q2</x:v>
      </x:c>
      <x:c r="G1080" s="23" t="n">
        <x:v>67.47</x:v>
      </x:c>
      <x:c r="H1080" s="23" t="n">
        <x:v>67.05</x:v>
      </x:c>
      <x:c r="I1080" s="23" t="n">
        <x:v>67.3</x:v>
      </x:c>
      <x:c r="J1080" s="23" t="n">
        <x:f>G1080-H1080</x:f>
        <x:v>0.4200000000000017</x:v>
      </x:c>
      <x:c r="K1080" t="str">
        <x:v>HINDCAST</x:v>
      </x:c>
      <x:c r="L1080" s="24" t="n">
        <x:v>17.4483</x:v>
      </x:c>
      <x:c r="M1080" s="24" t="n">
        <x:v>78.3915</x:v>
      </x:c>
      <x:c r="N1080" t="str">
        <x:f>IF(I1080&gt;70,"70+ dB",IF(I1080&gt;55,"56-70 dB","41-55 dB"))</x:f>
        <x:v>56-70 dB</x:v>
      </x:c>
      <x:c r="O1080" t="str">
        <x:f>IF(I1080&gt;70,"High",IF(I1080&gt;55,"Moderate","Low"))</x:f>
        <x:v>Moderate</x:v>
      </x:c>
      <x:c r="P1080" t="str">
        <x:f>IF(I1080&gt;=70,"Yes","No")</x:f>
        <x:v>No</x:v>
      </x:c>
      <x:c r="Q1080" t="str">
        <x:f>TEXT(B1080,"yyyy-mm")</x:f>
        <x:v>2019-04</x:v>
      </x:c>
    </x:row>
    <x:row r="1081">
      <x:c r="A1081" t="str">
        <x:v>HYD07</x:v>
      </x:c>
      <x:c r="B1081" s="22" t="n">
        <x:f>DATE(C1081,D1081,1)</x:f>
        <x:v>43586</x:v>
      </x:c>
      <x:c r="C1081" t="n">
        <x:v>2019</x:v>
      </x:c>
      <x:c r="D1081" t="n">
        <x:v>5</x:v>
      </x:c>
      <x:c r="E1081" t="str">
        <x:f>TEXT(B1081,"mmm")</x:f>
        <x:v>May</x:v>
      </x:c>
      <x:c r="F1081" t="str">
        <x:f>"Q"&amp;ROUNDUP(D1081/3,0)</x:f>
        <x:v>Q2</x:v>
      </x:c>
      <x:c r="G1081" s="23" t="n">
        <x:v>68.29</x:v>
      </x:c>
      <x:c r="H1081" s="23" t="n">
        <x:v>69.52</x:v>
      </x:c>
      <x:c r="I1081" s="23" t="n">
        <x:v>68.9</x:v>
      </x:c>
      <x:c r="J1081" s="23" t="n">
        <x:f>G1081-H1081</x:f>
        <x:v>-1.2299999999999898</x:v>
      </x:c>
      <x:c r="K1081" t="str">
        <x:v>HINDCAST</x:v>
      </x:c>
      <x:c r="L1081" s="24" t="n">
        <x:v>17.4483</x:v>
      </x:c>
      <x:c r="M1081" s="24" t="n">
        <x:v>78.3915</x:v>
      </x:c>
      <x:c r="N1081" t="str">
        <x:f>IF(I1081&gt;70,"70+ dB",IF(I1081&gt;55,"56-70 dB","41-55 dB"))</x:f>
        <x:v>56-70 dB</x:v>
      </x:c>
      <x:c r="O1081" t="str">
        <x:f>IF(I1081&gt;70,"High",IF(I1081&gt;55,"Moderate","Low"))</x:f>
        <x:v>Moderate</x:v>
      </x:c>
      <x:c r="P1081" t="str">
        <x:f>IF(I1081&gt;=70,"Yes","No")</x:f>
        <x:v>No</x:v>
      </x:c>
      <x:c r="Q1081" t="str">
        <x:f>TEXT(B1081,"yyyy-mm")</x:f>
        <x:v>2019-05</x:v>
      </x:c>
    </x:row>
    <x:row r="1082">
      <x:c r="A1082" t="str">
        <x:v>HYD07</x:v>
      </x:c>
      <x:c r="B1082" s="22" t="n">
        <x:f>DATE(C1082,D1082,1)</x:f>
        <x:v>43617</x:v>
      </x:c>
      <x:c r="C1082" t="n">
        <x:v>2019</x:v>
      </x:c>
      <x:c r="D1082" t="n">
        <x:v>6</x:v>
      </x:c>
      <x:c r="E1082" t="str">
        <x:f>TEXT(B1082,"mmm")</x:f>
        <x:v>Jun</x:v>
      </x:c>
      <x:c r="F1082" t="str">
        <x:f>"Q"&amp;ROUNDUP(D1082/3,0)</x:f>
        <x:v>Q2</x:v>
      </x:c>
      <x:c r="G1082" s="23" t="n">
        <x:v>69.12</x:v>
      </x:c>
      <x:c r="H1082" s="23" t="n">
        <x:v>64.56</x:v>
      </x:c>
      <x:c r="I1082" s="23" t="n">
        <x:v>66.8</x:v>
      </x:c>
      <x:c r="J1082" s="23" t="n">
        <x:f>G1082-H1082</x:f>
        <x:v>4.560000000000002</x:v>
      </x:c>
      <x:c r="K1082" t="str">
        <x:v>HINDCAST</x:v>
      </x:c>
      <x:c r="L1082" s="24" t="n">
        <x:v>17.4483</x:v>
      </x:c>
      <x:c r="M1082" s="24" t="n">
        <x:v>78.3915</x:v>
      </x:c>
      <x:c r="N1082" t="str">
        <x:f>IF(I1082&gt;70,"70+ dB",IF(I1082&gt;55,"56-70 dB","41-55 dB"))</x:f>
        <x:v>56-70 dB</x:v>
      </x:c>
      <x:c r="O1082" t="str">
        <x:f>IF(I1082&gt;70,"High",IF(I1082&gt;55,"Moderate","Low"))</x:f>
        <x:v>Moderate</x:v>
      </x:c>
      <x:c r="P1082" t="str">
        <x:f>IF(I1082&gt;=70,"Yes","No")</x:f>
        <x:v>No</x:v>
      </x:c>
      <x:c r="Q1082" t="str">
        <x:f>TEXT(B1082,"yyyy-mm")</x:f>
        <x:v>2019-06</x:v>
      </x:c>
    </x:row>
    <x:row r="1083">
      <x:c r="A1083" t="str">
        <x:v>HYD07</x:v>
      </x:c>
      <x:c r="B1083" s="22" t="n">
        <x:f>DATE(C1083,D1083,1)</x:f>
        <x:v>43647</x:v>
      </x:c>
      <x:c r="C1083" t="n">
        <x:v>2019</x:v>
      </x:c>
      <x:c r="D1083" t="n">
        <x:v>7</x:v>
      </x:c>
      <x:c r="E1083" t="str">
        <x:f>TEXT(B1083,"mmm")</x:f>
        <x:v>Jul</x:v>
      </x:c>
      <x:c r="F1083" t="str">
        <x:f>"Q"&amp;ROUNDUP(D1083/3,0)</x:f>
        <x:v>Q3</x:v>
      </x:c>
      <x:c r="G1083" s="23" t="n">
        <x:v>70.71</x:v>
      </x:c>
      <x:c r="H1083" s="23" t="n">
        <x:v>66.09</x:v>
      </x:c>
      <x:c r="I1083" s="23" t="n">
        <x:v>68.4</x:v>
      </x:c>
      <x:c r="J1083" s="23" t="n">
        <x:f>G1083-H1083</x:f>
        <x:v>4.61999999999999</x:v>
      </x:c>
      <x:c r="K1083" t="str">
        <x:v>HINDCAST</x:v>
      </x:c>
      <x:c r="L1083" s="24" t="n">
        <x:v>17.4483</x:v>
      </x:c>
      <x:c r="M1083" s="24" t="n">
        <x:v>78.3915</x:v>
      </x:c>
      <x:c r="N1083" t="str">
        <x:f>IF(I1083&gt;70,"70+ dB",IF(I1083&gt;55,"56-70 dB","41-55 dB"))</x:f>
        <x:v>56-70 dB</x:v>
      </x:c>
      <x:c r="O1083" t="str">
        <x:f>IF(I1083&gt;70,"High",IF(I1083&gt;55,"Moderate","Low"))</x:f>
        <x:v>Moderate</x:v>
      </x:c>
      <x:c r="P1083" t="str">
        <x:f>IF(I1083&gt;=70,"Yes","No")</x:f>
        <x:v>No</x:v>
      </x:c>
      <x:c r="Q1083" t="str">
        <x:f>TEXT(B1083,"yyyy-mm")</x:f>
        <x:v>2019-07</x:v>
      </x:c>
    </x:row>
    <x:row r="1084">
      <x:c r="A1084" t="str">
        <x:v>HYD07</x:v>
      </x:c>
      <x:c r="B1084" s="22" t="n">
        <x:f>DATE(C1084,D1084,1)</x:f>
        <x:v>43678</x:v>
      </x:c>
      <x:c r="C1084" t="n">
        <x:v>2019</x:v>
      </x:c>
      <x:c r="D1084" t="n">
        <x:v>8</x:v>
      </x:c>
      <x:c r="E1084" t="str">
        <x:f>TEXT(B1084,"mmm")</x:f>
        <x:v>Aug</x:v>
      </x:c>
      <x:c r="F1084" t="str">
        <x:f>"Q"&amp;ROUNDUP(D1084/3,0)</x:f>
        <x:v>Q3</x:v>
      </x:c>
      <x:c r="G1084" s="23" t="n">
        <x:v>75.09</x:v>
      </x:c>
      <x:c r="H1084" s="23" t="n">
        <x:v>70.22</x:v>
      </x:c>
      <x:c r="I1084" s="23" t="n">
        <x:v>72.7</x:v>
      </x:c>
      <x:c r="J1084" s="23" t="n">
        <x:f>G1084-H1084</x:f>
        <x:v>4.8700000000000045</x:v>
      </x:c>
      <x:c r="K1084" t="str">
        <x:v>HINDCAST</x:v>
      </x:c>
      <x:c r="L1084" s="24" t="n">
        <x:v>17.4483</x:v>
      </x:c>
      <x:c r="M1084" s="24" t="n">
        <x:v>78.3915</x:v>
      </x:c>
      <x:c r="N1084" t="str">
        <x:f>IF(I1084&gt;70,"70+ dB",IF(I1084&gt;55,"56-70 dB","41-55 dB"))</x:f>
        <x:v>70+ dB</x:v>
      </x:c>
      <x:c r="O1084" t="str">
        <x:f>IF(I1084&gt;70,"High",IF(I1084&gt;55,"Moderate","Low"))</x:f>
        <x:v>High</x:v>
      </x:c>
      <x:c r="P1084" t="str">
        <x:f>IF(I1084&gt;=70,"Yes","No")</x:f>
        <x:v>Yes</x:v>
      </x:c>
      <x:c r="Q1084" t="str">
        <x:f>TEXT(B1084,"yyyy-mm")</x:f>
        <x:v>2019-08</x:v>
      </x:c>
    </x:row>
    <x:row r="1085">
      <x:c r="A1085" t="str">
        <x:v>HYD07</x:v>
      </x:c>
      <x:c r="B1085" s="22" t="n">
        <x:f>DATE(C1085,D1085,1)</x:f>
        <x:v>43709</x:v>
      </x:c>
      <x:c r="C1085" t="n">
        <x:v>2019</x:v>
      </x:c>
      <x:c r="D1085" t="n">
        <x:v>9</x:v>
      </x:c>
      <x:c r="E1085" t="str">
        <x:f>TEXT(B1085,"mmm")</x:f>
        <x:v>Sep</x:v>
      </x:c>
      <x:c r="F1085" t="str">
        <x:f>"Q"&amp;ROUNDUP(D1085/3,0)</x:f>
        <x:v>Q3</x:v>
      </x:c>
      <x:c r="G1085" s="23" t="n">
        <x:v>74.88</x:v>
      </x:c>
      <x:c r="H1085" s="23" t="n">
        <x:v>66.94</x:v>
      </x:c>
      <x:c r="I1085" s="23" t="n">
        <x:v>70.9</x:v>
      </x:c>
      <x:c r="J1085" s="23" t="n">
        <x:f>G1085-H1085</x:f>
        <x:v>7.939999999999998</x:v>
      </x:c>
      <x:c r="K1085" t="str">
        <x:v>HINDCAST</x:v>
      </x:c>
      <x:c r="L1085" s="24" t="n">
        <x:v>17.4483</x:v>
      </x:c>
      <x:c r="M1085" s="24" t="n">
        <x:v>78.3915</x:v>
      </x:c>
      <x:c r="N1085" t="str">
        <x:f>IF(I1085&gt;70,"70+ dB",IF(I1085&gt;55,"56-70 dB","41-55 dB"))</x:f>
        <x:v>70+ dB</x:v>
      </x:c>
      <x:c r="O1085" t="str">
        <x:f>IF(I1085&gt;70,"High",IF(I1085&gt;55,"Moderate","Low"))</x:f>
        <x:v>High</x:v>
      </x:c>
      <x:c r="P1085" t="str">
        <x:f>IF(I1085&gt;=70,"Yes","No")</x:f>
        <x:v>Yes</x:v>
      </x:c>
      <x:c r="Q1085" t="str">
        <x:f>TEXT(B1085,"yyyy-mm")</x:f>
        <x:v>2019-09</x:v>
      </x:c>
    </x:row>
    <x:row r="1086">
      <x:c r="A1086" t="str">
        <x:v>HYD07</x:v>
      </x:c>
      <x:c r="B1086" s="22" t="n">
        <x:f>DATE(C1086,D1086,1)</x:f>
        <x:v>43739</x:v>
      </x:c>
      <x:c r="C1086" t="n">
        <x:v>2019</x:v>
      </x:c>
      <x:c r="D1086" t="n">
        <x:v>10</x:v>
      </x:c>
      <x:c r="E1086" t="str">
        <x:f>TEXT(B1086,"mmm")</x:f>
        <x:v>Oct</x:v>
      </x:c>
      <x:c r="F1086" t="str">
        <x:f>"Q"&amp;ROUNDUP(D1086/3,0)</x:f>
        <x:v>Q4</x:v>
      </x:c>
      <x:c r="G1086" s="23" t="n">
        <x:v>75.76</x:v>
      </x:c>
      <x:c r="H1086" s="23" t="n">
        <x:v>73.65</x:v>
      </x:c>
      <x:c r="I1086" s="23" t="n">
        <x:v>74.7</x:v>
      </x:c>
      <x:c r="J1086" s="23" t="n">
        <x:f>G1086-H1086</x:f>
        <x:v>2.1099999999999994</x:v>
      </x:c>
      <x:c r="K1086" t="str">
        <x:v>HINDCAST</x:v>
      </x:c>
      <x:c r="L1086" s="24" t="n">
        <x:v>17.4483</x:v>
      </x:c>
      <x:c r="M1086" s="24" t="n">
        <x:v>78.3915</x:v>
      </x:c>
      <x:c r="N1086" t="str">
        <x:f>IF(I1086&gt;70,"70+ dB",IF(I1086&gt;55,"56-70 dB","41-55 dB"))</x:f>
        <x:v>70+ dB</x:v>
      </x:c>
      <x:c r="O1086" t="str">
        <x:f>IF(I1086&gt;70,"High",IF(I1086&gt;55,"Moderate","Low"))</x:f>
        <x:v>High</x:v>
      </x:c>
      <x:c r="P1086" t="str">
        <x:f>IF(I1086&gt;=70,"Yes","No")</x:f>
        <x:v>Yes</x:v>
      </x:c>
      <x:c r="Q1086" t="str">
        <x:f>TEXT(B1086,"yyyy-mm")</x:f>
        <x:v>2019-10</x:v>
      </x:c>
    </x:row>
    <x:row r="1087">
      <x:c r="A1087" t="str">
        <x:v>HYD07</x:v>
      </x:c>
      <x:c r="B1087" s="22" t="n">
        <x:f>DATE(C1087,D1087,1)</x:f>
        <x:v>43770</x:v>
      </x:c>
      <x:c r="C1087" t="n">
        <x:v>2019</x:v>
      </x:c>
      <x:c r="D1087" t="n">
        <x:v>11</x:v>
      </x:c>
      <x:c r="E1087" t="str">
        <x:f>TEXT(B1087,"mmm")</x:f>
        <x:v>Nov</x:v>
      </x:c>
      <x:c r="F1087" t="str">
        <x:f>"Q"&amp;ROUNDUP(D1087/3,0)</x:f>
        <x:v>Q4</x:v>
      </x:c>
      <x:c r="G1087" s="23" t="n">
        <x:v>73.78</x:v>
      </x:c>
      <x:c r="H1087" s="23" t="n">
        <x:v>67.54</x:v>
      </x:c>
      <x:c r="I1087" s="23" t="n">
        <x:v>70.7</x:v>
      </x:c>
      <x:c r="J1087" s="23" t="n">
        <x:f>G1087-H1087</x:f>
        <x:v>6.239999999999995</x:v>
      </x:c>
      <x:c r="K1087" t="str">
        <x:v>HINDCAST</x:v>
      </x:c>
      <x:c r="L1087" s="24" t="n">
        <x:v>17.4483</x:v>
      </x:c>
      <x:c r="M1087" s="24" t="n">
        <x:v>78.3915</x:v>
      </x:c>
      <x:c r="N1087" t="str">
        <x:f>IF(I1087&gt;70,"70+ dB",IF(I1087&gt;55,"56-70 dB","41-55 dB"))</x:f>
        <x:v>70+ dB</x:v>
      </x:c>
      <x:c r="O1087" t="str">
        <x:f>IF(I1087&gt;70,"High",IF(I1087&gt;55,"Moderate","Low"))</x:f>
        <x:v>High</x:v>
      </x:c>
      <x:c r="P1087" t="str">
        <x:f>IF(I1087&gt;=70,"Yes","No")</x:f>
        <x:v>Yes</x:v>
      </x:c>
      <x:c r="Q1087" t="str">
        <x:f>TEXT(B1087,"yyyy-mm")</x:f>
        <x:v>2019-11</x:v>
      </x:c>
    </x:row>
    <x:row r="1088">
      <x:c r="A1088" t="str">
        <x:v>HYD07</x:v>
      </x:c>
      <x:c r="B1088" s="22" t="n">
        <x:f>DATE(C1088,D1088,1)</x:f>
        <x:v>43800</x:v>
      </x:c>
      <x:c r="C1088" t="n">
        <x:v>2019</x:v>
      </x:c>
      <x:c r="D1088" t="n">
        <x:v>12</x:v>
      </x:c>
      <x:c r="E1088" t="str">
        <x:f>TEXT(B1088,"mmm")</x:f>
        <x:v>Dec</x:v>
      </x:c>
      <x:c r="F1088" t="str">
        <x:f>"Q"&amp;ROUNDUP(D1088/3,0)</x:f>
        <x:v>Q4</x:v>
      </x:c>
      <x:c r="G1088" s="23" t="n">
        <x:v>67.13</x:v>
      </x:c>
      <x:c r="H1088" s="23" t="n">
        <x:v>64.5</x:v>
      </x:c>
      <x:c r="I1088" s="23" t="n">
        <x:v>65.8</x:v>
      </x:c>
      <x:c r="J1088" s="23" t="n">
        <x:f>G1088-H1088</x:f>
        <x:v>2.6299999999999955</x:v>
      </x:c>
      <x:c r="K1088" t="str">
        <x:v>HINDCAST</x:v>
      </x:c>
      <x:c r="L1088" s="24" t="n">
        <x:v>17.4483</x:v>
      </x:c>
      <x:c r="M1088" s="24" t="n">
        <x:v>78.3915</x:v>
      </x:c>
      <x:c r="N1088" t="str">
        <x:f>IF(I1088&gt;70,"70+ dB",IF(I1088&gt;55,"56-70 dB","41-55 dB"))</x:f>
        <x:v>56-70 dB</x:v>
      </x:c>
      <x:c r="O1088" t="str">
        <x:f>IF(I1088&gt;70,"High",IF(I1088&gt;55,"Moderate","Low"))</x:f>
        <x:v>Moderate</x:v>
      </x:c>
      <x:c r="P1088" t="str">
        <x:f>IF(I1088&gt;=70,"Yes","No")</x:f>
        <x:v>No</x:v>
      </x:c>
      <x:c r="Q1088" t="str">
        <x:f>TEXT(B1088,"yyyy-mm")</x:f>
        <x:v>2019-12</x:v>
      </x:c>
    </x:row>
    <x:row r="1089">
      <x:c r="A1089" t="str">
        <x:v>HYD07</x:v>
      </x:c>
      <x:c r="B1089" s="22" t="n">
        <x:f>DATE(C1089,D1089,1)</x:f>
        <x:v>43831</x:v>
      </x:c>
      <x:c r="C1089" t="n">
        <x:v>2020</x:v>
      </x:c>
      <x:c r="D1089" t="n">
        <x:v>1</x:v>
      </x:c>
      <x:c r="E1089" t="str">
        <x:f>TEXT(B1089,"mmm")</x:f>
        <x:v>Jan</x:v>
      </x:c>
      <x:c r="F1089" t="str">
        <x:f>"Q"&amp;ROUNDUP(D1089/3,0)</x:f>
        <x:v>Q1</x:v>
      </x:c>
      <x:c r="G1089" s="23" t="n">
        <x:v>65.9</x:v>
      </x:c>
      <x:c r="H1089" s="23" t="n">
        <x:v>61.42</x:v>
      </x:c>
      <x:c r="I1089" s="23" t="n">
        <x:v>63.7</x:v>
      </x:c>
      <x:c r="J1089" s="23" t="n">
        <x:f>G1089-H1089</x:f>
        <x:v>4.480000000000004</x:v>
      </x:c>
      <x:c r="K1089" t="str">
        <x:v>HINDCAST</x:v>
      </x:c>
      <x:c r="L1089" s="24" t="n">
        <x:v>17.4483</x:v>
      </x:c>
      <x:c r="M1089" s="24" t="n">
        <x:v>78.3915</x:v>
      </x:c>
      <x:c r="N1089" t="str">
        <x:f>IF(I1089&gt;70,"70+ dB",IF(I1089&gt;55,"56-70 dB","41-55 dB"))</x:f>
        <x:v>56-70 dB</x:v>
      </x:c>
      <x:c r="O1089" t="str">
        <x:f>IF(I1089&gt;70,"High",IF(I1089&gt;55,"Moderate","Low"))</x:f>
        <x:v>Moderate</x:v>
      </x:c>
      <x:c r="P1089" t="str">
        <x:f>IF(I1089&gt;=70,"Yes","No")</x:f>
        <x:v>No</x:v>
      </x:c>
      <x:c r="Q1089" t="str">
        <x:f>TEXT(B1089,"yyyy-mm")</x:f>
        <x:v>2020-01</x:v>
      </x:c>
    </x:row>
    <x:row r="1090">
      <x:c r="A1090" t="str">
        <x:v>HYD07</x:v>
      </x:c>
      <x:c r="B1090" s="22" t="n">
        <x:f>DATE(C1090,D1090,1)</x:f>
        <x:v>43862</x:v>
      </x:c>
      <x:c r="C1090" t="n">
        <x:v>2020</x:v>
      </x:c>
      <x:c r="D1090" t="n">
        <x:v>2</x:v>
      </x:c>
      <x:c r="E1090" t="str">
        <x:f>TEXT(B1090,"mmm")</x:f>
        <x:v>Feb</x:v>
      </x:c>
      <x:c r="F1090" t="str">
        <x:f>"Q"&amp;ROUNDUP(D1090/3,0)</x:f>
        <x:v>Q1</x:v>
      </x:c>
      <x:c r="G1090" s="23" t="n">
        <x:v>67.98</x:v>
      </x:c>
      <x:c r="H1090" s="23" t="n">
        <x:v>64.52</x:v>
      </x:c>
      <x:c r="I1090" s="23" t="n">
        <x:v>66.2</x:v>
      </x:c>
      <x:c r="J1090" s="23" t="n">
        <x:f>G1090-H1090</x:f>
        <x:v>3.460000000000008</x:v>
      </x:c>
      <x:c r="K1090" t="str">
        <x:v>HINDCAST</x:v>
      </x:c>
      <x:c r="L1090" s="24" t="n">
        <x:v>17.4483</x:v>
      </x:c>
      <x:c r="M1090" s="24" t="n">
        <x:v>78.3915</x:v>
      </x:c>
      <x:c r="N1090" t="str">
        <x:f>IF(I1090&gt;70,"70+ dB",IF(I1090&gt;55,"56-70 dB","41-55 dB"))</x:f>
        <x:v>56-70 dB</x:v>
      </x:c>
      <x:c r="O1090" t="str">
        <x:f>IF(I1090&gt;70,"High",IF(I1090&gt;55,"Moderate","Low"))</x:f>
        <x:v>Moderate</x:v>
      </x:c>
      <x:c r="P1090" t="str">
        <x:f>IF(I1090&gt;=70,"Yes","No")</x:f>
        <x:v>No</x:v>
      </x:c>
      <x:c r="Q1090" t="str">
        <x:f>TEXT(B1090,"yyyy-mm")</x:f>
        <x:v>2020-02</x:v>
      </x:c>
    </x:row>
    <x:row r="1091">
      <x:c r="A1091" t="str">
        <x:v>HYD07</x:v>
      </x:c>
      <x:c r="B1091" s="22" t="n">
        <x:f>DATE(C1091,D1091,1)</x:f>
        <x:v>43891</x:v>
      </x:c>
      <x:c r="C1091" t="n">
        <x:v>2020</x:v>
      </x:c>
      <x:c r="D1091" t="n">
        <x:v>3</x:v>
      </x:c>
      <x:c r="E1091" t="str">
        <x:f>TEXT(B1091,"mmm")</x:f>
        <x:v>Mar</x:v>
      </x:c>
      <x:c r="F1091" t="str">
        <x:f>"Q"&amp;ROUNDUP(D1091/3,0)</x:f>
        <x:v>Q1</x:v>
      </x:c>
      <x:c r="G1091" s="23" t="n">
        <x:v>66.84</x:v>
      </x:c>
      <x:c r="H1091" s="23" t="n">
        <x:v>63.59</x:v>
      </x:c>
      <x:c r="I1091" s="23" t="n">
        <x:v>65.2</x:v>
      </x:c>
      <x:c r="J1091" s="23" t="n">
        <x:f>G1091-H1091</x:f>
        <x:v>3.25</x:v>
      </x:c>
      <x:c r="K1091" t="str">
        <x:v>HINDCAST</x:v>
      </x:c>
      <x:c r="L1091" s="24" t="n">
        <x:v>17.4483</x:v>
      </x:c>
      <x:c r="M1091" s="24" t="n">
        <x:v>78.3915</x:v>
      </x:c>
      <x:c r="N1091" t="str">
        <x:f>IF(I1091&gt;70,"70+ dB",IF(I1091&gt;55,"56-70 dB","41-55 dB"))</x:f>
        <x:v>56-70 dB</x:v>
      </x:c>
      <x:c r="O1091" t="str">
        <x:f>IF(I1091&gt;70,"High",IF(I1091&gt;55,"Moderate","Low"))</x:f>
        <x:v>Moderate</x:v>
      </x:c>
      <x:c r="P1091" t="str">
        <x:f>IF(I1091&gt;=70,"Yes","No")</x:f>
        <x:v>No</x:v>
      </x:c>
      <x:c r="Q1091" t="str">
        <x:f>TEXT(B1091,"yyyy-mm")</x:f>
        <x:v>2020-03</x:v>
      </x:c>
    </x:row>
    <x:row r="1092">
      <x:c r="A1092" t="str">
        <x:v>HYD07</x:v>
      </x:c>
      <x:c r="B1092" s="22" t="n">
        <x:f>DATE(C1092,D1092,1)</x:f>
        <x:v>43922</x:v>
      </x:c>
      <x:c r="C1092" t="n">
        <x:v>2020</x:v>
      </x:c>
      <x:c r="D1092" t="n">
        <x:v>4</x:v>
      </x:c>
      <x:c r="E1092" t="str">
        <x:f>TEXT(B1092,"mmm")</x:f>
        <x:v>Apr</x:v>
      </x:c>
      <x:c r="F1092" t="str">
        <x:f>"Q"&amp;ROUNDUP(D1092/3,0)</x:f>
        <x:v>Q2</x:v>
      </x:c>
      <x:c r="G1092" s="23" t="n">
        <x:v>65.9</x:v>
      </x:c>
      <x:c r="H1092" s="23" t="n">
        <x:v>65.05</x:v>
      </x:c>
      <x:c r="I1092" s="23" t="n">
        <x:v>65.5</x:v>
      </x:c>
      <x:c r="J1092" s="23" t="n">
        <x:f>G1092-H1092</x:f>
        <x:v>0.8500000000000085</x:v>
      </x:c>
      <x:c r="K1092" t="str">
        <x:v>HINDCAST</x:v>
      </x:c>
      <x:c r="L1092" s="24" t="n">
        <x:v>17.4483</x:v>
      </x:c>
      <x:c r="M1092" s="24" t="n">
        <x:v>78.3915</x:v>
      </x:c>
      <x:c r="N1092" t="str">
        <x:f>IF(I1092&gt;70,"70+ dB",IF(I1092&gt;55,"56-70 dB","41-55 dB"))</x:f>
        <x:v>56-70 dB</x:v>
      </x:c>
      <x:c r="O1092" t="str">
        <x:f>IF(I1092&gt;70,"High",IF(I1092&gt;55,"Moderate","Low"))</x:f>
        <x:v>Moderate</x:v>
      </x:c>
      <x:c r="P1092" t="str">
        <x:f>IF(I1092&gt;=70,"Yes","No")</x:f>
        <x:v>No</x:v>
      </x:c>
      <x:c r="Q1092" t="str">
        <x:f>TEXT(B1092,"yyyy-mm")</x:f>
        <x:v>2020-04</x:v>
      </x:c>
    </x:row>
    <x:row r="1093">
      <x:c r="A1093" t="str">
        <x:v>HYD07</x:v>
      </x:c>
      <x:c r="B1093" s="22" t="n">
        <x:f>DATE(C1093,D1093,1)</x:f>
        <x:v>43952</x:v>
      </x:c>
      <x:c r="C1093" t="n">
        <x:v>2020</x:v>
      </x:c>
      <x:c r="D1093" t="n">
        <x:v>5</x:v>
      </x:c>
      <x:c r="E1093" t="str">
        <x:f>TEXT(B1093,"mmm")</x:f>
        <x:v>May</x:v>
      </x:c>
      <x:c r="F1093" t="str">
        <x:f>"Q"&amp;ROUNDUP(D1093/3,0)</x:f>
        <x:v>Q2</x:v>
      </x:c>
      <x:c r="G1093" s="23" t="n">
        <x:v>67.29</x:v>
      </x:c>
      <x:c r="H1093" s="23" t="n">
        <x:v>66.98</x:v>
      </x:c>
      <x:c r="I1093" s="23" t="n">
        <x:v>67.1</x:v>
      </x:c>
      <x:c r="J1093" s="23" t="n">
        <x:f>G1093-H1093</x:f>
        <x:v>0.3100000000000023</x:v>
      </x:c>
      <x:c r="K1093" t="str">
        <x:v>HINDCAST</x:v>
      </x:c>
      <x:c r="L1093" s="24" t="n">
        <x:v>17.4483</x:v>
      </x:c>
      <x:c r="M1093" s="24" t="n">
        <x:v>78.3915</x:v>
      </x:c>
      <x:c r="N1093" t="str">
        <x:f>IF(I1093&gt;70,"70+ dB",IF(I1093&gt;55,"56-70 dB","41-55 dB"))</x:f>
        <x:v>56-70 dB</x:v>
      </x:c>
      <x:c r="O1093" t="str">
        <x:f>IF(I1093&gt;70,"High",IF(I1093&gt;55,"Moderate","Low"))</x:f>
        <x:v>Moderate</x:v>
      </x:c>
      <x:c r="P1093" t="str">
        <x:f>IF(I1093&gt;=70,"Yes","No")</x:f>
        <x:v>No</x:v>
      </x:c>
      <x:c r="Q1093" t="str">
        <x:f>TEXT(B1093,"yyyy-mm")</x:f>
        <x:v>2020-05</x:v>
      </x:c>
    </x:row>
    <x:row r="1094">
      <x:c r="A1094" t="str">
        <x:v>HYD07</x:v>
      </x:c>
      <x:c r="B1094" s="22" t="n">
        <x:f>DATE(C1094,D1094,1)</x:f>
        <x:v>43983</x:v>
      </x:c>
      <x:c r="C1094" t="n">
        <x:v>2020</x:v>
      </x:c>
      <x:c r="D1094" t="n">
        <x:v>6</x:v>
      </x:c>
      <x:c r="E1094" t="str">
        <x:f>TEXT(B1094,"mmm")</x:f>
        <x:v>Jun</x:v>
      </x:c>
      <x:c r="F1094" t="str">
        <x:f>"Q"&amp;ROUNDUP(D1094/3,0)</x:f>
        <x:v>Q2</x:v>
      </x:c>
      <x:c r="G1094" s="23" t="n">
        <x:v>72.42</x:v>
      </x:c>
      <x:c r="H1094" s="23" t="n">
        <x:v>70.58</x:v>
      </x:c>
      <x:c r="I1094" s="23" t="n">
        <x:v>71.5</x:v>
      </x:c>
      <x:c r="J1094" s="23" t="n">
        <x:f>G1094-H1094</x:f>
        <x:v>1.8400000000000034</x:v>
      </x:c>
      <x:c r="K1094" t="str">
        <x:v>HINDCAST</x:v>
      </x:c>
      <x:c r="L1094" s="24" t="n">
        <x:v>17.4483</x:v>
      </x:c>
      <x:c r="M1094" s="24" t="n">
        <x:v>78.3915</x:v>
      </x:c>
      <x:c r="N1094" t="str">
        <x:f>IF(I1094&gt;70,"70+ dB",IF(I1094&gt;55,"56-70 dB","41-55 dB"))</x:f>
        <x:v>70+ dB</x:v>
      </x:c>
      <x:c r="O1094" t="str">
        <x:f>IF(I1094&gt;70,"High",IF(I1094&gt;55,"Moderate","Low"))</x:f>
        <x:v>High</x:v>
      </x:c>
      <x:c r="P1094" t="str">
        <x:f>IF(I1094&gt;=70,"Yes","No")</x:f>
        <x:v>Yes</x:v>
      </x:c>
      <x:c r="Q1094" t="str">
        <x:f>TEXT(B1094,"yyyy-mm")</x:f>
        <x:v>2020-06</x:v>
      </x:c>
    </x:row>
    <x:row r="1095">
      <x:c r="A1095" t="str">
        <x:v>HYD07</x:v>
      </x:c>
      <x:c r="B1095" s="22" t="n">
        <x:f>DATE(C1095,D1095,1)</x:f>
        <x:v>44013</x:v>
      </x:c>
      <x:c r="C1095" t="n">
        <x:v>2020</x:v>
      </x:c>
      <x:c r="D1095" t="n">
        <x:v>7</x:v>
      </x:c>
      <x:c r="E1095" t="str">
        <x:f>TEXT(B1095,"mmm")</x:f>
        <x:v>Jul</x:v>
      </x:c>
      <x:c r="F1095" t="str">
        <x:f>"Q"&amp;ROUNDUP(D1095/3,0)</x:f>
        <x:v>Q3</x:v>
      </x:c>
      <x:c r="G1095" s="23" t="n">
        <x:v>74.21</x:v>
      </x:c>
      <x:c r="H1095" s="23" t="n">
        <x:v>71.09</x:v>
      </x:c>
      <x:c r="I1095" s="23" t="n">
        <x:v>72.6</x:v>
      </x:c>
      <x:c r="J1095" s="23" t="n">
        <x:f>G1095-H1095</x:f>
        <x:v>3.1199999999999903</x:v>
      </x:c>
      <x:c r="K1095" t="str">
        <x:v>HINDCAST</x:v>
      </x:c>
      <x:c r="L1095" s="24" t="n">
        <x:v>17.4483</x:v>
      </x:c>
      <x:c r="M1095" s="24" t="n">
        <x:v>78.3915</x:v>
      </x:c>
      <x:c r="N1095" t="str">
        <x:f>IF(I1095&gt;70,"70+ dB",IF(I1095&gt;55,"56-70 dB","41-55 dB"))</x:f>
        <x:v>70+ dB</x:v>
      </x:c>
      <x:c r="O1095" t="str">
        <x:f>IF(I1095&gt;70,"High",IF(I1095&gt;55,"Moderate","Low"))</x:f>
        <x:v>High</x:v>
      </x:c>
      <x:c r="P1095" t="str">
        <x:f>IF(I1095&gt;=70,"Yes","No")</x:f>
        <x:v>Yes</x:v>
      </x:c>
      <x:c r="Q1095" t="str">
        <x:f>TEXT(B1095,"yyyy-mm")</x:f>
        <x:v>2020-07</x:v>
      </x:c>
    </x:row>
    <x:row r="1096">
      <x:c r="A1096" t="str">
        <x:v>HYD07</x:v>
      </x:c>
      <x:c r="B1096" s="22" t="n">
        <x:f>DATE(C1096,D1096,1)</x:f>
        <x:v>44044</x:v>
      </x:c>
      <x:c r="C1096" t="n">
        <x:v>2020</x:v>
      </x:c>
      <x:c r="D1096" t="n">
        <x:v>8</x:v>
      </x:c>
      <x:c r="E1096" t="str">
        <x:f>TEXT(B1096,"mmm")</x:f>
        <x:v>Aug</x:v>
      </x:c>
      <x:c r="F1096" t="str">
        <x:f>"Q"&amp;ROUNDUP(D1096/3,0)</x:f>
        <x:v>Q3</x:v>
      </x:c>
      <x:c r="G1096" s="23" t="n">
        <x:v>72.56</x:v>
      </x:c>
      <x:c r="H1096" s="23" t="n">
        <x:v>67.38</x:v>
      </x:c>
      <x:c r="I1096" s="23" t="n">
        <x:v>70</x:v>
      </x:c>
      <x:c r="J1096" s="23" t="n">
        <x:f>G1096-H1096</x:f>
        <x:v>5.180000000000007</x:v>
      </x:c>
      <x:c r="K1096" t="str">
        <x:v>HINDCAST</x:v>
      </x:c>
      <x:c r="L1096" s="24" t="n">
        <x:v>17.4483</x:v>
      </x:c>
      <x:c r="M1096" s="24" t="n">
        <x:v>78.3915</x:v>
      </x:c>
      <x:c r="N1096" t="str">
        <x:f>IF(I1096&gt;70,"70+ dB",IF(I1096&gt;55,"56-70 dB","41-55 dB"))</x:f>
        <x:v>56-70 dB</x:v>
      </x:c>
      <x:c r="O1096" t="str">
        <x:f>IF(I1096&gt;70,"High",IF(I1096&gt;55,"Moderate","Low"))</x:f>
        <x:v>Moderate</x:v>
      </x:c>
      <x:c r="P1096" t="str">
        <x:f>IF(I1096&gt;=70,"Yes","No")</x:f>
        <x:v>Yes</x:v>
      </x:c>
      <x:c r="Q1096" t="str">
        <x:f>TEXT(B1096,"yyyy-mm")</x:f>
        <x:v>2020-08</x:v>
      </x:c>
    </x:row>
    <x:row r="1097">
      <x:c r="A1097" t="str">
        <x:v>HYD07</x:v>
      </x:c>
      <x:c r="B1097" s="22" t="n">
        <x:f>DATE(C1097,D1097,1)</x:f>
        <x:v>44075</x:v>
      </x:c>
      <x:c r="C1097" t="n">
        <x:v>2020</x:v>
      </x:c>
      <x:c r="D1097" t="n">
        <x:v>9</x:v>
      </x:c>
      <x:c r="E1097" t="str">
        <x:f>TEXT(B1097,"mmm")</x:f>
        <x:v>Sep</x:v>
      </x:c>
      <x:c r="F1097" t="str">
        <x:f>"Q"&amp;ROUNDUP(D1097/3,0)</x:f>
        <x:v>Q3</x:v>
      </x:c>
      <x:c r="G1097" s="23" t="n">
        <x:v>71.93</x:v>
      </x:c>
      <x:c r="H1097" s="23" t="n">
        <x:v>65.44</x:v>
      </x:c>
      <x:c r="I1097" s="23" t="n">
        <x:v>68.7</x:v>
      </x:c>
      <x:c r="J1097" s="23" t="n">
        <x:f>G1097-H1097</x:f>
        <x:v>6.490000000000009</x:v>
      </x:c>
      <x:c r="K1097" t="str">
        <x:v>HINDCAST</x:v>
      </x:c>
      <x:c r="L1097" s="24" t="n">
        <x:v>17.4483</x:v>
      </x:c>
      <x:c r="M1097" s="24" t="n">
        <x:v>78.3915</x:v>
      </x:c>
      <x:c r="N1097" t="str">
        <x:f>IF(I1097&gt;70,"70+ dB",IF(I1097&gt;55,"56-70 dB","41-55 dB"))</x:f>
        <x:v>56-70 dB</x:v>
      </x:c>
      <x:c r="O1097" t="str">
        <x:f>IF(I1097&gt;70,"High",IF(I1097&gt;55,"Moderate","Low"))</x:f>
        <x:v>Moderate</x:v>
      </x:c>
      <x:c r="P1097" t="str">
        <x:f>IF(I1097&gt;=70,"Yes","No")</x:f>
        <x:v>No</x:v>
      </x:c>
      <x:c r="Q1097" t="str">
        <x:f>TEXT(B1097,"yyyy-mm")</x:f>
        <x:v>2020-09</x:v>
      </x:c>
    </x:row>
    <x:row r="1098">
      <x:c r="A1098" t="str">
        <x:v>HYD07</x:v>
      </x:c>
      <x:c r="B1098" s="22" t="n">
        <x:f>DATE(C1098,D1098,1)</x:f>
        <x:v>44105</x:v>
      </x:c>
      <x:c r="C1098" t="n">
        <x:v>2020</x:v>
      </x:c>
      <x:c r="D1098" t="n">
        <x:v>10</x:v>
      </x:c>
      <x:c r="E1098" t="str">
        <x:f>TEXT(B1098,"mmm")</x:f>
        <x:v>Oct</x:v>
      </x:c>
      <x:c r="F1098" t="str">
        <x:f>"Q"&amp;ROUNDUP(D1098/3,0)</x:f>
        <x:v>Q4</x:v>
      </x:c>
      <x:c r="G1098" s="23" t="n">
        <x:v>68.64</x:v>
      </x:c>
      <x:c r="H1098" s="23" t="n">
        <x:v>64.52</x:v>
      </x:c>
      <x:c r="I1098" s="23" t="n">
        <x:v>66.6</x:v>
      </x:c>
      <x:c r="J1098" s="23" t="n">
        <x:f>G1098-H1098</x:f>
        <x:v>4.1200000000000045</x:v>
      </x:c>
      <x:c r="K1098" t="str">
        <x:v>HINDCAST</x:v>
      </x:c>
      <x:c r="L1098" s="24" t="n">
        <x:v>17.4483</x:v>
      </x:c>
      <x:c r="M1098" s="24" t="n">
        <x:v>78.3915</x:v>
      </x:c>
      <x:c r="N1098" t="str">
        <x:f>IF(I1098&gt;70,"70+ dB",IF(I1098&gt;55,"56-70 dB","41-55 dB"))</x:f>
        <x:v>56-70 dB</x:v>
      </x:c>
      <x:c r="O1098" t="str">
        <x:f>IF(I1098&gt;70,"High",IF(I1098&gt;55,"Moderate","Low"))</x:f>
        <x:v>Moderate</x:v>
      </x:c>
      <x:c r="P1098" t="str">
        <x:f>IF(I1098&gt;=70,"Yes","No")</x:f>
        <x:v>No</x:v>
      </x:c>
      <x:c r="Q1098" t="str">
        <x:f>TEXT(B1098,"yyyy-mm")</x:f>
        <x:v>2020-10</x:v>
      </x:c>
    </x:row>
    <x:row r="1099">
      <x:c r="A1099" t="str">
        <x:v>HYD07</x:v>
      </x:c>
      <x:c r="B1099" s="22" t="n">
        <x:f>DATE(C1099,D1099,1)</x:f>
        <x:v>44136</x:v>
      </x:c>
      <x:c r="C1099" t="n">
        <x:v>2020</x:v>
      </x:c>
      <x:c r="D1099" t="n">
        <x:v>11</x:v>
      </x:c>
      <x:c r="E1099" t="str">
        <x:f>TEXT(B1099,"mmm")</x:f>
        <x:v>Nov</x:v>
      </x:c>
      <x:c r="F1099" t="str">
        <x:f>"Q"&amp;ROUNDUP(D1099/3,0)</x:f>
        <x:v>Q4</x:v>
      </x:c>
      <x:c r="G1099" s="23" t="n">
        <x:v>70.35</x:v>
      </x:c>
      <x:c r="H1099" s="23" t="n">
        <x:v>65.08</x:v>
      </x:c>
      <x:c r="I1099" s="23" t="n">
        <x:v>67.7</x:v>
      </x:c>
      <x:c r="J1099" s="23" t="n">
        <x:f>G1099-H1099</x:f>
        <x:v>5.269999999999996</x:v>
      </x:c>
      <x:c r="K1099" t="str">
        <x:v>HINDCAST</x:v>
      </x:c>
      <x:c r="L1099" s="24" t="n">
        <x:v>17.4483</x:v>
      </x:c>
      <x:c r="M1099" s="24" t="n">
        <x:v>78.3915</x:v>
      </x:c>
      <x:c r="N1099" t="str">
        <x:f>IF(I1099&gt;70,"70+ dB",IF(I1099&gt;55,"56-70 dB","41-55 dB"))</x:f>
        <x:v>56-70 dB</x:v>
      </x:c>
      <x:c r="O1099" t="str">
        <x:f>IF(I1099&gt;70,"High",IF(I1099&gt;55,"Moderate","Low"))</x:f>
        <x:v>Moderate</x:v>
      </x:c>
      <x:c r="P1099" t="str">
        <x:f>IF(I1099&gt;=70,"Yes","No")</x:f>
        <x:v>No</x:v>
      </x:c>
      <x:c r="Q1099" t="str">
        <x:f>TEXT(B1099,"yyyy-mm")</x:f>
        <x:v>2020-11</x:v>
      </x:c>
    </x:row>
    <x:row r="1100">
      <x:c r="A1100" t="str">
        <x:v>HYD07</x:v>
      </x:c>
      <x:c r="B1100" s="22" t="n">
        <x:f>DATE(C1100,D1100,1)</x:f>
        <x:v>44166</x:v>
      </x:c>
      <x:c r="C1100" t="n">
        <x:v>2020</x:v>
      </x:c>
      <x:c r="D1100" t="n">
        <x:v>12</x:v>
      </x:c>
      <x:c r="E1100" t="str">
        <x:f>TEXT(B1100,"mmm")</x:f>
        <x:v>Dec</x:v>
      </x:c>
      <x:c r="F1100" t="str">
        <x:f>"Q"&amp;ROUNDUP(D1100/3,0)</x:f>
        <x:v>Q4</x:v>
      </x:c>
      <x:c r="G1100" s="23" t="n">
        <x:v>63.52</x:v>
      </x:c>
      <x:c r="H1100" s="23" t="n">
        <x:v>61.47</x:v>
      </x:c>
      <x:c r="I1100" s="23" t="n">
        <x:v>62.5</x:v>
      </x:c>
      <x:c r="J1100" s="23" t="n">
        <x:f>G1100-H1100</x:f>
        <x:v>2.0500000000000043</x:v>
      </x:c>
      <x:c r="K1100" t="str">
        <x:v>HINDCAST</x:v>
      </x:c>
      <x:c r="L1100" s="24" t="n">
        <x:v>17.4483</x:v>
      </x:c>
      <x:c r="M1100" s="24" t="n">
        <x:v>78.3915</x:v>
      </x:c>
      <x:c r="N1100" t="str">
        <x:f>IF(I1100&gt;70,"70+ dB",IF(I1100&gt;55,"56-70 dB","41-55 dB"))</x:f>
        <x:v>56-70 dB</x:v>
      </x:c>
      <x:c r="O1100" t="str">
        <x:f>IF(I1100&gt;70,"High",IF(I1100&gt;55,"Moderate","Low"))</x:f>
        <x:v>Moderate</x:v>
      </x:c>
      <x:c r="P1100" t="str">
        <x:f>IF(I1100&gt;=70,"Yes","No")</x:f>
        <x:v>No</x:v>
      </x:c>
      <x:c r="Q1100" t="str">
        <x:f>TEXT(B1100,"yyyy-mm")</x:f>
        <x:v>2020-12</x:v>
      </x:c>
    </x:row>
    <x:row r="1101">
      <x:c r="A1101" t="str">
        <x:v>HYD07</x:v>
      </x:c>
      <x:c r="B1101" s="22" t="n">
        <x:f>DATE(C1101,D1101,1)</x:f>
        <x:v>44197</x:v>
      </x:c>
      <x:c r="C1101" t="n">
        <x:v>2021</x:v>
      </x:c>
      <x:c r="D1101" t="n">
        <x:v>1</x:v>
      </x:c>
      <x:c r="E1101" t="str">
        <x:f>TEXT(B1101,"mmm")</x:f>
        <x:v>Jan</x:v>
      </x:c>
      <x:c r="F1101" t="str">
        <x:f>"Q"&amp;ROUNDUP(D1101/3,0)</x:f>
        <x:v>Q1</x:v>
      </x:c>
      <x:c r="G1101" s="23" t="n">
        <x:v>65.77</x:v>
      </x:c>
      <x:c r="H1101" s="23" t="n">
        <x:v>66.23</x:v>
      </x:c>
      <x:c r="I1101" s="23" t="n">
        <x:v>66</x:v>
      </x:c>
      <x:c r="J1101" s="23" t="n">
        <x:f>G1101-H1101</x:f>
        <x:v>-0.46000000000000796</x:v>
      </x:c>
      <x:c r="K1101" t="str">
        <x:v>HINDCAST</x:v>
      </x:c>
      <x:c r="L1101" s="24" t="n">
        <x:v>17.4483</x:v>
      </x:c>
      <x:c r="M1101" s="24" t="n">
        <x:v>78.3915</x:v>
      </x:c>
      <x:c r="N1101" t="str">
        <x:f>IF(I1101&gt;70,"70+ dB",IF(I1101&gt;55,"56-70 dB","41-55 dB"))</x:f>
        <x:v>56-70 dB</x:v>
      </x:c>
      <x:c r="O1101" t="str">
        <x:f>IF(I1101&gt;70,"High",IF(I1101&gt;55,"Moderate","Low"))</x:f>
        <x:v>Moderate</x:v>
      </x:c>
      <x:c r="P1101" t="str">
        <x:f>IF(I1101&gt;=70,"Yes","No")</x:f>
        <x:v>No</x:v>
      </x:c>
      <x:c r="Q1101" t="str">
        <x:f>TEXT(B1101,"yyyy-mm")</x:f>
        <x:v>2021-01</x:v>
      </x:c>
    </x:row>
    <x:row r="1102">
      <x:c r="A1102" t="str">
        <x:v>HYD07</x:v>
      </x:c>
      <x:c r="B1102" s="22" t="n">
        <x:f>DATE(C1102,D1102,1)</x:f>
        <x:v>44228</x:v>
      </x:c>
      <x:c r="C1102" t="n">
        <x:v>2021</x:v>
      </x:c>
      <x:c r="D1102" t="n">
        <x:v>2</x:v>
      </x:c>
      <x:c r="E1102" t="str">
        <x:f>TEXT(B1102,"mmm")</x:f>
        <x:v>Feb</x:v>
      </x:c>
      <x:c r="F1102" t="str">
        <x:f>"Q"&amp;ROUNDUP(D1102/3,0)</x:f>
        <x:v>Q1</x:v>
      </x:c>
      <x:c r="G1102" s="23" t="n">
        <x:v>67.07</x:v>
      </x:c>
      <x:c r="H1102" s="23" t="n">
        <x:v>66.97</x:v>
      </x:c>
      <x:c r="I1102" s="23" t="n">
        <x:v>67</x:v>
      </x:c>
      <x:c r="J1102" s="23" t="n">
        <x:f>G1102-H1102</x:f>
        <x:v>0.09999999999999432</x:v>
      </x:c>
      <x:c r="K1102" t="str">
        <x:v>HINDCAST</x:v>
      </x:c>
      <x:c r="L1102" s="24" t="n">
        <x:v>17.4483</x:v>
      </x:c>
      <x:c r="M1102" s="24" t="n">
        <x:v>78.3915</x:v>
      </x:c>
      <x:c r="N1102" t="str">
        <x:f>IF(I1102&gt;70,"70+ dB",IF(I1102&gt;55,"56-70 dB","41-55 dB"))</x:f>
        <x:v>56-70 dB</x:v>
      </x:c>
      <x:c r="O1102" t="str">
        <x:f>IF(I1102&gt;70,"High",IF(I1102&gt;55,"Moderate","Low"))</x:f>
        <x:v>Moderate</x:v>
      </x:c>
      <x:c r="P1102" t="str">
        <x:f>IF(I1102&gt;=70,"Yes","No")</x:f>
        <x:v>No</x:v>
      </x:c>
      <x:c r="Q1102" t="str">
        <x:f>TEXT(B1102,"yyyy-mm")</x:f>
        <x:v>2021-02</x:v>
      </x:c>
    </x:row>
    <x:row r="1103">
      <x:c r="A1103" t="str">
        <x:v>HYD07</x:v>
      </x:c>
      <x:c r="B1103" s="22" t="n">
        <x:f>DATE(C1103,D1103,1)</x:f>
        <x:v>44256</x:v>
      </x:c>
      <x:c r="C1103" t="n">
        <x:v>2021</x:v>
      </x:c>
      <x:c r="D1103" t="n">
        <x:v>3</x:v>
      </x:c>
      <x:c r="E1103" t="str">
        <x:f>TEXT(B1103,"mmm")</x:f>
        <x:v>Mar</x:v>
      </x:c>
      <x:c r="F1103" t="str">
        <x:f>"Q"&amp;ROUNDUP(D1103/3,0)</x:f>
        <x:v>Q1</x:v>
      </x:c>
      <x:c r="G1103" s="23" t="n">
        <x:v>66.04</x:v>
      </x:c>
      <x:c r="H1103" s="23" t="n">
        <x:v>67.07</x:v>
      </x:c>
      <x:c r="I1103" s="23" t="n">
        <x:v>66.6</x:v>
      </x:c>
      <x:c r="J1103" s="23" t="n">
        <x:f>G1103-H1103</x:f>
        <x:v>-1.029999999999987</x:v>
      </x:c>
      <x:c r="K1103" t="str">
        <x:v>HINDCAST</x:v>
      </x:c>
      <x:c r="L1103" s="24" t="n">
        <x:v>17.4483</x:v>
      </x:c>
      <x:c r="M1103" s="24" t="n">
        <x:v>78.3915</x:v>
      </x:c>
      <x:c r="N1103" t="str">
        <x:f>IF(I1103&gt;70,"70+ dB",IF(I1103&gt;55,"56-70 dB","41-55 dB"))</x:f>
        <x:v>56-70 dB</x:v>
      </x:c>
      <x:c r="O1103" t="str">
        <x:f>IF(I1103&gt;70,"High",IF(I1103&gt;55,"Moderate","Low"))</x:f>
        <x:v>Moderate</x:v>
      </x:c>
      <x:c r="P1103" t="str">
        <x:f>IF(I1103&gt;=70,"Yes","No")</x:f>
        <x:v>No</x:v>
      </x:c>
      <x:c r="Q1103" t="str">
        <x:f>TEXT(B1103,"yyyy-mm")</x:f>
        <x:v>2021-03</x:v>
      </x:c>
    </x:row>
    <x:row r="1104">
      <x:c r="A1104" t="str">
        <x:v>HYD07</x:v>
      </x:c>
      <x:c r="B1104" s="22" t="n">
        <x:f>DATE(C1104,D1104,1)</x:f>
        <x:v>44287</x:v>
      </x:c>
      <x:c r="C1104" t="n">
        <x:v>2021</x:v>
      </x:c>
      <x:c r="D1104" t="n">
        <x:v>4</x:v>
      </x:c>
      <x:c r="E1104" t="str">
        <x:f>TEXT(B1104,"mmm")</x:f>
        <x:v>Apr</x:v>
      </x:c>
      <x:c r="F1104" t="str">
        <x:f>"Q"&amp;ROUNDUP(D1104/3,0)</x:f>
        <x:v>Q2</x:v>
      </x:c>
      <x:c r="G1104" s="23" t="n">
        <x:v>65.82</x:v>
      </x:c>
      <x:c r="H1104" s="23" t="n">
        <x:v>68.34</x:v>
      </x:c>
      <x:c r="I1104" s="23" t="n">
        <x:v>67.1</x:v>
      </x:c>
      <x:c r="J1104" s="23" t="n">
        <x:f>G1104-H1104</x:f>
        <x:v>-2.5200000000000102</x:v>
      </x:c>
      <x:c r="K1104" t="str">
        <x:v>HINDCAST</x:v>
      </x:c>
      <x:c r="L1104" s="24" t="n">
        <x:v>17.4483</x:v>
      </x:c>
      <x:c r="M1104" s="24" t="n">
        <x:v>78.3915</x:v>
      </x:c>
      <x:c r="N1104" t="str">
        <x:f>IF(I1104&gt;70,"70+ dB",IF(I1104&gt;55,"56-70 dB","41-55 dB"))</x:f>
        <x:v>56-70 dB</x:v>
      </x:c>
      <x:c r="O1104" t="str">
        <x:f>IF(I1104&gt;70,"High",IF(I1104&gt;55,"Moderate","Low"))</x:f>
        <x:v>Moderate</x:v>
      </x:c>
      <x:c r="P1104" t="str">
        <x:f>IF(I1104&gt;=70,"Yes","No")</x:f>
        <x:v>No</x:v>
      </x:c>
      <x:c r="Q1104" t="str">
        <x:f>TEXT(B1104,"yyyy-mm")</x:f>
        <x:v>2021-04</x:v>
      </x:c>
    </x:row>
    <x:row r="1105">
      <x:c r="A1105" t="str">
        <x:v>HYD07</x:v>
      </x:c>
      <x:c r="B1105" s="22" t="n">
        <x:f>DATE(C1105,D1105,1)</x:f>
        <x:v>44317</x:v>
      </x:c>
      <x:c r="C1105" t="n">
        <x:v>2021</x:v>
      </x:c>
      <x:c r="D1105" t="n">
        <x:v>5</x:v>
      </x:c>
      <x:c r="E1105" t="str">
        <x:f>TEXT(B1105,"mmm")</x:f>
        <x:v>May</x:v>
      </x:c>
      <x:c r="F1105" t="str">
        <x:f>"Q"&amp;ROUNDUP(D1105/3,0)</x:f>
        <x:v>Q2</x:v>
      </x:c>
      <x:c r="G1105" s="23" t="n">
        <x:v>66.92</x:v>
      </x:c>
      <x:c r="H1105" s="23" t="n">
        <x:v>70.59</x:v>
      </x:c>
      <x:c r="I1105" s="23" t="n">
        <x:v>68.8</x:v>
      </x:c>
      <x:c r="J1105" s="23" t="n">
        <x:f>G1105-H1105</x:f>
        <x:v>-3.6700000000000017</x:v>
      </x:c>
      <x:c r="K1105" t="str">
        <x:v>HINDCAST</x:v>
      </x:c>
      <x:c r="L1105" s="24" t="n">
        <x:v>17.4483</x:v>
      </x:c>
      <x:c r="M1105" s="24" t="n">
        <x:v>78.3915</x:v>
      </x:c>
      <x:c r="N1105" t="str">
        <x:f>IF(I1105&gt;70,"70+ dB",IF(I1105&gt;55,"56-70 dB","41-55 dB"))</x:f>
        <x:v>56-70 dB</x:v>
      </x:c>
      <x:c r="O1105" t="str">
        <x:f>IF(I1105&gt;70,"High",IF(I1105&gt;55,"Moderate","Low"))</x:f>
        <x:v>Moderate</x:v>
      </x:c>
      <x:c r="P1105" t="str">
        <x:f>IF(I1105&gt;=70,"Yes","No")</x:f>
        <x:v>No</x:v>
      </x:c>
      <x:c r="Q1105" t="str">
        <x:f>TEXT(B1105,"yyyy-mm")</x:f>
        <x:v>2021-05</x:v>
      </x:c>
    </x:row>
    <x:row r="1106">
      <x:c r="A1106" t="str">
        <x:v>HYD07</x:v>
      </x:c>
      <x:c r="B1106" s="22" t="n">
        <x:f>DATE(C1106,D1106,1)</x:f>
        <x:v>44348</x:v>
      </x:c>
      <x:c r="C1106" t="n">
        <x:v>2021</x:v>
      </x:c>
      <x:c r="D1106" t="n">
        <x:v>6</x:v>
      </x:c>
      <x:c r="E1106" t="str">
        <x:f>TEXT(B1106,"mmm")</x:f>
        <x:v>Jun</x:v>
      </x:c>
      <x:c r="F1106" t="str">
        <x:f>"Q"&amp;ROUNDUP(D1106/3,0)</x:f>
        <x:v>Q2</x:v>
      </x:c>
      <x:c r="G1106" s="23" t="n">
        <x:v>69.77</x:v>
      </x:c>
      <x:c r="H1106" s="23" t="n">
        <x:v>69.04</x:v>
      </x:c>
      <x:c r="I1106" s="23" t="n">
        <x:v>69.4</x:v>
      </x:c>
      <x:c r="J1106" s="23" t="n">
        <x:f>G1106-H1106</x:f>
        <x:v>0.7299999999999898</x:v>
      </x:c>
      <x:c r="K1106" t="str">
        <x:v>HINDCAST</x:v>
      </x:c>
      <x:c r="L1106" s="24" t="n">
        <x:v>17.4483</x:v>
      </x:c>
      <x:c r="M1106" s="24" t="n">
        <x:v>78.3915</x:v>
      </x:c>
      <x:c r="N1106" t="str">
        <x:f>IF(I1106&gt;70,"70+ dB",IF(I1106&gt;55,"56-70 dB","41-55 dB"))</x:f>
        <x:v>56-70 dB</x:v>
      </x:c>
      <x:c r="O1106" t="str">
        <x:f>IF(I1106&gt;70,"High",IF(I1106&gt;55,"Moderate","Low"))</x:f>
        <x:v>Moderate</x:v>
      </x:c>
      <x:c r="P1106" t="str">
        <x:f>IF(I1106&gt;=70,"Yes","No")</x:f>
        <x:v>No</x:v>
      </x:c>
      <x:c r="Q1106" t="str">
        <x:f>TEXT(B1106,"yyyy-mm")</x:f>
        <x:v>2021-06</x:v>
      </x:c>
    </x:row>
    <x:row r="1107">
      <x:c r="A1107" t="str">
        <x:v>HYD07</x:v>
      </x:c>
      <x:c r="B1107" s="22" t="n">
        <x:f>DATE(C1107,D1107,1)</x:f>
        <x:v>44378</x:v>
      </x:c>
      <x:c r="C1107" t="n">
        <x:v>2021</x:v>
      </x:c>
      <x:c r="D1107" t="n">
        <x:v>7</x:v>
      </x:c>
      <x:c r="E1107" t="str">
        <x:f>TEXT(B1107,"mmm")</x:f>
        <x:v>Jul</x:v>
      </x:c>
      <x:c r="F1107" t="str">
        <x:f>"Q"&amp;ROUNDUP(D1107/3,0)</x:f>
        <x:v>Q3</x:v>
      </x:c>
      <x:c r="G1107" s="23" t="n">
        <x:v>71.46</x:v>
      </x:c>
      <x:c r="H1107" s="23" t="n">
        <x:v>70.17</x:v>
      </x:c>
      <x:c r="I1107" s="23" t="n">
        <x:v>70.8</x:v>
      </x:c>
      <x:c r="J1107" s="23" t="n">
        <x:f>G1107-H1107</x:f>
        <x:v>1.289999999999992</x:v>
      </x:c>
      <x:c r="K1107" t="str">
        <x:v>HINDCAST</x:v>
      </x:c>
      <x:c r="L1107" s="24" t="n">
        <x:v>17.4483</x:v>
      </x:c>
      <x:c r="M1107" s="24" t="n">
        <x:v>78.3915</x:v>
      </x:c>
      <x:c r="N1107" t="str">
        <x:f>IF(I1107&gt;70,"70+ dB",IF(I1107&gt;55,"56-70 dB","41-55 dB"))</x:f>
        <x:v>70+ dB</x:v>
      </x:c>
      <x:c r="O1107" t="str">
        <x:f>IF(I1107&gt;70,"High",IF(I1107&gt;55,"Moderate","Low"))</x:f>
        <x:v>High</x:v>
      </x:c>
      <x:c r="P1107" t="str">
        <x:f>IF(I1107&gt;=70,"Yes","No")</x:f>
        <x:v>Yes</x:v>
      </x:c>
      <x:c r="Q1107" t="str">
        <x:f>TEXT(B1107,"yyyy-mm")</x:f>
        <x:v>2021-07</x:v>
      </x:c>
    </x:row>
    <x:row r="1108">
      <x:c r="A1108" t="str">
        <x:v>HYD07</x:v>
      </x:c>
      <x:c r="B1108" s="22" t="n">
        <x:f>DATE(C1108,D1108,1)</x:f>
        <x:v>44409</x:v>
      </x:c>
      <x:c r="C1108" t="n">
        <x:v>2021</x:v>
      </x:c>
      <x:c r="D1108" t="n">
        <x:v>8</x:v>
      </x:c>
      <x:c r="E1108" t="str">
        <x:f>TEXT(B1108,"mmm")</x:f>
        <x:v>Aug</x:v>
      </x:c>
      <x:c r="F1108" t="str">
        <x:f>"Q"&amp;ROUNDUP(D1108/3,0)</x:f>
        <x:v>Q3</x:v>
      </x:c>
      <x:c r="G1108" s="23" t="n">
        <x:v>73</x:v>
      </x:c>
      <x:c r="H1108" s="23" t="n">
        <x:v>71.17</x:v>
      </x:c>
      <x:c r="I1108" s="23" t="n">
        <x:v>72.1</x:v>
      </x:c>
      <x:c r="J1108" s="23" t="n">
        <x:f>G1108-H1108</x:f>
        <x:v>1.8299999999999983</x:v>
      </x:c>
      <x:c r="K1108" t="str">
        <x:v>HINDCAST</x:v>
      </x:c>
      <x:c r="L1108" s="24" t="n">
        <x:v>17.4483</x:v>
      </x:c>
      <x:c r="M1108" s="24" t="n">
        <x:v>78.3915</x:v>
      </x:c>
      <x:c r="N1108" t="str">
        <x:f>IF(I1108&gt;70,"70+ dB",IF(I1108&gt;55,"56-70 dB","41-55 dB"))</x:f>
        <x:v>70+ dB</x:v>
      </x:c>
      <x:c r="O1108" t="str">
        <x:f>IF(I1108&gt;70,"High",IF(I1108&gt;55,"Moderate","Low"))</x:f>
        <x:v>High</x:v>
      </x:c>
      <x:c r="P1108" t="str">
        <x:f>IF(I1108&gt;=70,"Yes","No")</x:f>
        <x:v>Yes</x:v>
      </x:c>
      <x:c r="Q1108" t="str">
        <x:f>TEXT(B1108,"yyyy-mm")</x:f>
        <x:v>2021-08</x:v>
      </x:c>
    </x:row>
    <x:row r="1109">
      <x:c r="A1109" t="str">
        <x:v>HYD07</x:v>
      </x:c>
      <x:c r="B1109" s="22" t="n">
        <x:f>DATE(C1109,D1109,1)</x:f>
        <x:v>44440</x:v>
      </x:c>
      <x:c r="C1109" t="n">
        <x:v>2021</x:v>
      </x:c>
      <x:c r="D1109" t="n">
        <x:v>9</x:v>
      </x:c>
      <x:c r="E1109" t="str">
        <x:f>TEXT(B1109,"mmm")</x:f>
        <x:v>Sep</x:v>
      </x:c>
      <x:c r="F1109" t="str">
        <x:f>"Q"&amp;ROUNDUP(D1109/3,0)</x:f>
        <x:v>Q3</x:v>
      </x:c>
      <x:c r="G1109" s="23" t="n">
        <x:v>72.59</x:v>
      </x:c>
      <x:c r="H1109" s="23" t="n">
        <x:v>68.43</x:v>
      </x:c>
      <x:c r="I1109" s="23" t="n">
        <x:v>70.5</x:v>
      </x:c>
      <x:c r="J1109" s="23" t="n">
        <x:f>G1109-H1109</x:f>
        <x:v>4.159999999999997</x:v>
      </x:c>
      <x:c r="K1109" t="str">
        <x:v>HINDCAST</x:v>
      </x:c>
      <x:c r="L1109" s="24" t="n">
        <x:v>17.4483</x:v>
      </x:c>
      <x:c r="M1109" s="24" t="n">
        <x:v>78.3915</x:v>
      </x:c>
      <x:c r="N1109" t="str">
        <x:f>IF(I1109&gt;70,"70+ dB",IF(I1109&gt;55,"56-70 dB","41-55 dB"))</x:f>
        <x:v>70+ dB</x:v>
      </x:c>
      <x:c r="O1109" t="str">
        <x:f>IF(I1109&gt;70,"High",IF(I1109&gt;55,"Moderate","Low"))</x:f>
        <x:v>High</x:v>
      </x:c>
      <x:c r="P1109" t="str">
        <x:f>IF(I1109&gt;=70,"Yes","No")</x:f>
        <x:v>Yes</x:v>
      </x:c>
      <x:c r="Q1109" t="str">
        <x:f>TEXT(B1109,"yyyy-mm")</x:f>
        <x:v>2021-09</x:v>
      </x:c>
    </x:row>
    <x:row r="1110">
      <x:c r="A1110" t="str">
        <x:v>HYD07</x:v>
      </x:c>
      <x:c r="B1110" s="22" t="n">
        <x:f>DATE(C1110,D1110,1)</x:f>
        <x:v>44470</x:v>
      </x:c>
      <x:c r="C1110" t="n">
        <x:v>2021</x:v>
      </x:c>
      <x:c r="D1110" t="n">
        <x:v>10</x:v>
      </x:c>
      <x:c r="E1110" t="str">
        <x:f>TEXT(B1110,"mmm")</x:f>
        <x:v>Oct</x:v>
      </x:c>
      <x:c r="F1110" t="str">
        <x:f>"Q"&amp;ROUNDUP(D1110/3,0)</x:f>
        <x:v>Q4</x:v>
      </x:c>
      <x:c r="G1110" s="23" t="n">
        <x:v>71.5</x:v>
      </x:c>
      <x:c r="H1110" s="23" t="n">
        <x:v>72.09</x:v>
      </x:c>
      <x:c r="I1110" s="23" t="n">
        <x:v>71.8</x:v>
      </x:c>
      <x:c r="J1110" s="23" t="n">
        <x:f>G1110-H1110</x:f>
        <x:v>-0.5900000000000034</x:v>
      </x:c>
      <x:c r="K1110" t="str">
        <x:v>HINDCAST</x:v>
      </x:c>
      <x:c r="L1110" s="24" t="n">
        <x:v>17.4483</x:v>
      </x:c>
      <x:c r="M1110" s="24" t="n">
        <x:v>78.3915</x:v>
      </x:c>
      <x:c r="N1110" t="str">
        <x:f>IF(I1110&gt;70,"70+ dB",IF(I1110&gt;55,"56-70 dB","41-55 dB"))</x:f>
        <x:v>70+ dB</x:v>
      </x:c>
      <x:c r="O1110" t="str">
        <x:f>IF(I1110&gt;70,"High",IF(I1110&gt;55,"Moderate","Low"))</x:f>
        <x:v>High</x:v>
      </x:c>
      <x:c r="P1110" t="str">
        <x:f>IF(I1110&gt;=70,"Yes","No")</x:f>
        <x:v>Yes</x:v>
      </x:c>
      <x:c r="Q1110" t="str">
        <x:f>TEXT(B1110,"yyyy-mm")</x:f>
        <x:v>2021-10</x:v>
      </x:c>
    </x:row>
    <x:row r="1111">
      <x:c r="A1111" t="str">
        <x:v>HYD07</x:v>
      </x:c>
      <x:c r="B1111" s="22" t="n">
        <x:f>DATE(C1111,D1111,1)</x:f>
        <x:v>44501</x:v>
      </x:c>
      <x:c r="C1111" t="n">
        <x:v>2021</x:v>
      </x:c>
      <x:c r="D1111" t="n">
        <x:v>11</x:v>
      </x:c>
      <x:c r="E1111" t="str">
        <x:f>TEXT(B1111,"mmm")</x:f>
        <x:v>Nov</x:v>
      </x:c>
      <x:c r="F1111" t="str">
        <x:f>"Q"&amp;ROUNDUP(D1111/3,0)</x:f>
        <x:v>Q4</x:v>
      </x:c>
      <x:c r="G1111" s="23" t="n">
        <x:v>71.26</x:v>
      </x:c>
      <x:c r="H1111" s="23" t="n">
        <x:v>68.64</x:v>
      </x:c>
      <x:c r="I1111" s="23" t="n">
        <x:v>70</x:v>
      </x:c>
      <x:c r="J1111" s="23" t="n">
        <x:f>G1111-H1111</x:f>
        <x:v>2.6200000000000045</x:v>
      </x:c>
      <x:c r="K1111" t="str">
        <x:v>HINDCAST</x:v>
      </x:c>
      <x:c r="L1111" s="24" t="n">
        <x:v>17.4483</x:v>
      </x:c>
      <x:c r="M1111" s="24" t="n">
        <x:v>78.3915</x:v>
      </x:c>
      <x:c r="N1111" t="str">
        <x:f>IF(I1111&gt;70,"70+ dB",IF(I1111&gt;55,"56-70 dB","41-55 dB"))</x:f>
        <x:v>56-70 dB</x:v>
      </x:c>
      <x:c r="O1111" t="str">
        <x:f>IF(I1111&gt;70,"High",IF(I1111&gt;55,"Moderate","Low"))</x:f>
        <x:v>Moderate</x:v>
      </x:c>
      <x:c r="P1111" t="str">
        <x:f>IF(I1111&gt;=70,"Yes","No")</x:f>
        <x:v>Yes</x:v>
      </x:c>
      <x:c r="Q1111" t="str">
        <x:f>TEXT(B1111,"yyyy-mm")</x:f>
        <x:v>2021-11</x:v>
      </x:c>
    </x:row>
    <x:row r="1112">
      <x:c r="A1112" t="str">
        <x:v>HYD07</x:v>
      </x:c>
      <x:c r="B1112" s="22" t="n">
        <x:f>DATE(C1112,D1112,1)</x:f>
        <x:v>44531</x:v>
      </x:c>
      <x:c r="C1112" t="n">
        <x:v>2021</x:v>
      </x:c>
      <x:c r="D1112" t="n">
        <x:v>12</x:v>
      </x:c>
      <x:c r="E1112" t="str">
        <x:f>TEXT(B1112,"mmm")</x:f>
        <x:v>Dec</x:v>
      </x:c>
      <x:c r="F1112" t="str">
        <x:f>"Q"&amp;ROUNDUP(D1112/3,0)</x:f>
        <x:v>Q4</x:v>
      </x:c>
      <x:c r="G1112" s="23" t="n">
        <x:v>64.53</x:v>
      </x:c>
      <x:c r="H1112" s="23" t="n">
        <x:v>65.37</x:v>
      </x:c>
      <x:c r="I1112" s="23" t="n">
        <x:v>65</x:v>
      </x:c>
      <x:c r="J1112" s="23" t="n">
        <x:f>G1112-H1112</x:f>
        <x:v>-0.8400000000000034</x:v>
      </x:c>
      <x:c r="K1112" t="str">
        <x:v>HINDCAST</x:v>
      </x:c>
      <x:c r="L1112" s="24" t="n">
        <x:v>17.4483</x:v>
      </x:c>
      <x:c r="M1112" s="24" t="n">
        <x:v>78.3915</x:v>
      </x:c>
      <x:c r="N1112" t="str">
        <x:f>IF(I1112&gt;70,"70+ dB",IF(I1112&gt;55,"56-70 dB","41-55 dB"))</x:f>
        <x:v>56-70 dB</x:v>
      </x:c>
      <x:c r="O1112" t="str">
        <x:f>IF(I1112&gt;70,"High",IF(I1112&gt;55,"Moderate","Low"))</x:f>
        <x:v>Moderate</x:v>
      </x:c>
      <x:c r="P1112" t="str">
        <x:f>IF(I1112&gt;=70,"Yes","No")</x:f>
        <x:v>No</x:v>
      </x:c>
      <x:c r="Q1112" t="str">
        <x:f>TEXT(B1112,"yyyy-mm")</x:f>
        <x:v>2021-12</x:v>
      </x:c>
    </x:row>
    <x:row r="1113">
      <x:c r="A1113" t="str">
        <x:v>HYD07</x:v>
      </x:c>
      <x:c r="B1113" s="22" t="n">
        <x:f>DATE(C1113,D1113,1)</x:f>
        <x:v>44562</x:v>
      </x:c>
      <x:c r="C1113" t="n">
        <x:v>2022</x:v>
      </x:c>
      <x:c r="D1113" t="n">
        <x:v>1</x:v>
      </x:c>
      <x:c r="E1113" t="str">
        <x:f>TEXT(B1113,"mmm")</x:f>
        <x:v>Jan</x:v>
      </x:c>
      <x:c r="F1113" t="str">
        <x:f>"Q"&amp;ROUNDUP(D1113/3,0)</x:f>
        <x:v>Q1</x:v>
      </x:c>
      <x:c r="G1113" s="23" t="n">
        <x:v>64.94</x:v>
      </x:c>
      <x:c r="H1113" s="23" t="n">
        <x:v>65.42</x:v>
      </x:c>
      <x:c r="I1113" s="23" t="n">
        <x:v>65.2</x:v>
      </x:c>
      <x:c r="J1113" s="23" t="n">
        <x:f>G1113-H1113</x:f>
        <x:v>-0.480000000000004</x:v>
      </x:c>
      <x:c r="K1113" t="str">
        <x:v>HINDCAST</x:v>
      </x:c>
      <x:c r="L1113" s="24" t="n">
        <x:v>17.4483</x:v>
      </x:c>
      <x:c r="M1113" s="24" t="n">
        <x:v>78.3915</x:v>
      </x:c>
      <x:c r="N1113" t="str">
        <x:f>IF(I1113&gt;70,"70+ dB",IF(I1113&gt;55,"56-70 dB","41-55 dB"))</x:f>
        <x:v>56-70 dB</x:v>
      </x:c>
      <x:c r="O1113" t="str">
        <x:f>IF(I1113&gt;70,"High",IF(I1113&gt;55,"Moderate","Low"))</x:f>
        <x:v>Moderate</x:v>
      </x:c>
      <x:c r="P1113" t="str">
        <x:f>IF(I1113&gt;=70,"Yes","No")</x:f>
        <x:v>No</x:v>
      </x:c>
      <x:c r="Q1113" t="str">
        <x:f>TEXT(B1113,"yyyy-mm")</x:f>
        <x:v>2022-01</x:v>
      </x:c>
    </x:row>
    <x:row r="1114">
      <x:c r="A1114" t="str">
        <x:v>HYD07</x:v>
      </x:c>
      <x:c r="B1114" s="22" t="n">
        <x:f>DATE(C1114,D1114,1)</x:f>
        <x:v>44593</x:v>
      </x:c>
      <x:c r="C1114" t="n">
        <x:v>2022</x:v>
      </x:c>
      <x:c r="D1114" t="n">
        <x:v>2</x:v>
      </x:c>
      <x:c r="E1114" t="str">
        <x:f>TEXT(B1114,"mmm")</x:f>
        <x:v>Feb</x:v>
      </x:c>
      <x:c r="F1114" t="str">
        <x:f>"Q"&amp;ROUNDUP(D1114/3,0)</x:f>
        <x:v>Q1</x:v>
      </x:c>
      <x:c r="G1114" s="23" t="n">
        <x:v>66.65</x:v>
      </x:c>
      <x:c r="H1114" s="23" t="n">
        <x:v>67.58</x:v>
      </x:c>
      <x:c r="I1114" s="23" t="n">
        <x:v>67.1</x:v>
      </x:c>
      <x:c r="J1114" s="23" t="n">
        <x:f>G1114-H1114</x:f>
        <x:v>-0.9299999999999926</x:v>
      </x:c>
      <x:c r="K1114" t="str">
        <x:v>HINDCAST</x:v>
      </x:c>
      <x:c r="L1114" s="24" t="n">
        <x:v>17.4483</x:v>
      </x:c>
      <x:c r="M1114" s="24" t="n">
        <x:v>78.3915</x:v>
      </x:c>
      <x:c r="N1114" t="str">
        <x:f>IF(I1114&gt;70,"70+ dB",IF(I1114&gt;55,"56-70 dB","41-55 dB"))</x:f>
        <x:v>56-70 dB</x:v>
      </x:c>
      <x:c r="O1114" t="str">
        <x:f>IF(I1114&gt;70,"High",IF(I1114&gt;55,"Moderate","Low"))</x:f>
        <x:v>Moderate</x:v>
      </x:c>
      <x:c r="P1114" t="str">
        <x:f>IF(I1114&gt;=70,"Yes","No")</x:f>
        <x:v>No</x:v>
      </x:c>
      <x:c r="Q1114" t="str">
        <x:f>TEXT(B1114,"yyyy-mm")</x:f>
        <x:v>2022-02</x:v>
      </x:c>
    </x:row>
    <x:row r="1115">
      <x:c r="A1115" t="str">
        <x:v>HYD07</x:v>
      </x:c>
      <x:c r="B1115" s="22" t="n">
        <x:f>DATE(C1115,D1115,1)</x:f>
        <x:v>44621</x:v>
      </x:c>
      <x:c r="C1115" t="n">
        <x:v>2022</x:v>
      </x:c>
      <x:c r="D1115" t="n">
        <x:v>3</x:v>
      </x:c>
      <x:c r="E1115" t="str">
        <x:f>TEXT(B1115,"mmm")</x:f>
        <x:v>Mar</x:v>
      </x:c>
      <x:c r="F1115" t="str">
        <x:f>"Q"&amp;ROUNDUP(D1115/3,0)</x:f>
        <x:v>Q1</x:v>
      </x:c>
      <x:c r="G1115" s="23" t="n">
        <x:v>65.56</x:v>
      </x:c>
      <x:c r="H1115" s="23" t="n">
        <x:v>67.06</x:v>
      </x:c>
      <x:c r="I1115" s="23" t="n">
        <x:v>66.3</x:v>
      </x:c>
      <x:c r="J1115" s="23" t="n">
        <x:f>G1115-H1115</x:f>
        <x:v>-1.5</x:v>
      </x:c>
      <x:c r="K1115" t="str">
        <x:v>HINDCAST</x:v>
      </x:c>
      <x:c r="L1115" s="24" t="n">
        <x:v>17.4483</x:v>
      </x:c>
      <x:c r="M1115" s="24" t="n">
        <x:v>78.3915</x:v>
      </x:c>
      <x:c r="N1115" t="str">
        <x:f>IF(I1115&gt;70,"70+ dB",IF(I1115&gt;55,"56-70 dB","41-55 dB"))</x:f>
        <x:v>56-70 dB</x:v>
      </x:c>
      <x:c r="O1115" t="str">
        <x:f>IF(I1115&gt;70,"High",IF(I1115&gt;55,"Moderate","Low"))</x:f>
        <x:v>Moderate</x:v>
      </x:c>
      <x:c r="P1115" t="str">
        <x:f>IF(I1115&gt;=70,"Yes","No")</x:f>
        <x:v>No</x:v>
      </x:c>
      <x:c r="Q1115" t="str">
        <x:f>TEXT(B1115,"yyyy-mm")</x:f>
        <x:v>2022-03</x:v>
      </x:c>
    </x:row>
    <x:row r="1116">
      <x:c r="A1116" t="str">
        <x:v>HYD07</x:v>
      </x:c>
      <x:c r="B1116" s="22" t="n">
        <x:f>DATE(C1116,D1116,1)</x:f>
        <x:v>44652</x:v>
      </x:c>
      <x:c r="C1116" t="n">
        <x:v>2022</x:v>
      </x:c>
      <x:c r="D1116" t="n">
        <x:v>4</x:v>
      </x:c>
      <x:c r="E1116" t="str">
        <x:f>TEXT(B1116,"mmm")</x:f>
        <x:v>Apr</x:v>
      </x:c>
      <x:c r="F1116" t="str">
        <x:f>"Q"&amp;ROUNDUP(D1116/3,0)</x:f>
        <x:v>Q2</x:v>
      </x:c>
      <x:c r="G1116" s="23" t="n">
        <x:v>64.96</x:v>
      </x:c>
      <x:c r="H1116" s="23" t="n">
        <x:v>68.44</x:v>
      </x:c>
      <x:c r="I1116" s="23" t="n">
        <x:v>66.7</x:v>
      </x:c>
      <x:c r="J1116" s="23" t="n">
        <x:f>G1116-H1116</x:f>
        <x:v>-3.480000000000004</x:v>
      </x:c>
      <x:c r="K1116" t="str">
        <x:v>HINDCAST</x:v>
      </x:c>
      <x:c r="L1116" s="24" t="n">
        <x:v>17.4483</x:v>
      </x:c>
      <x:c r="M1116" s="24" t="n">
        <x:v>78.3915</x:v>
      </x:c>
      <x:c r="N1116" t="str">
        <x:f>IF(I1116&gt;70,"70+ dB",IF(I1116&gt;55,"56-70 dB","41-55 dB"))</x:f>
        <x:v>56-70 dB</x:v>
      </x:c>
      <x:c r="O1116" t="str">
        <x:f>IF(I1116&gt;70,"High",IF(I1116&gt;55,"Moderate","Low"))</x:f>
        <x:v>Moderate</x:v>
      </x:c>
      <x:c r="P1116" t="str">
        <x:f>IF(I1116&gt;=70,"Yes","No")</x:f>
        <x:v>No</x:v>
      </x:c>
      <x:c r="Q1116" t="str">
        <x:f>TEXT(B1116,"yyyy-mm")</x:f>
        <x:v>2022-04</x:v>
      </x:c>
    </x:row>
    <x:row r="1117">
      <x:c r="A1117" t="str">
        <x:v>HYD07</x:v>
      </x:c>
      <x:c r="B1117" s="22" t="n">
        <x:f>DATE(C1117,D1117,1)</x:f>
        <x:v>44682</x:v>
      </x:c>
      <x:c r="C1117" t="n">
        <x:v>2022</x:v>
      </x:c>
      <x:c r="D1117" t="n">
        <x:v>5</x:v>
      </x:c>
      <x:c r="E1117" t="str">
        <x:f>TEXT(B1117,"mmm")</x:f>
        <x:v>May</x:v>
      </x:c>
      <x:c r="F1117" t="str">
        <x:f>"Q"&amp;ROUNDUP(D1117/3,0)</x:f>
        <x:v>Q2</x:v>
      </x:c>
      <x:c r="G1117" s="23" t="n">
        <x:v>66.22</x:v>
      </x:c>
      <x:c r="H1117" s="23" t="n">
        <x:v>70.5</x:v>
      </x:c>
      <x:c r="I1117" s="23" t="n">
        <x:v>68.4</x:v>
      </x:c>
      <x:c r="J1117" s="23" t="n">
        <x:f>G1117-H1117</x:f>
        <x:v>-4.280000000000001</x:v>
      </x:c>
      <x:c r="K1117" t="str">
        <x:v>HINDCAST</x:v>
      </x:c>
      <x:c r="L1117" s="24" t="n">
        <x:v>17.4483</x:v>
      </x:c>
      <x:c r="M1117" s="24" t="n">
        <x:v>78.3915</x:v>
      </x:c>
      <x:c r="N1117" t="str">
        <x:f>IF(I1117&gt;70,"70+ dB",IF(I1117&gt;55,"56-70 dB","41-55 dB"))</x:f>
        <x:v>56-70 dB</x:v>
      </x:c>
      <x:c r="O1117" t="str">
        <x:f>IF(I1117&gt;70,"High",IF(I1117&gt;55,"Moderate","Low"))</x:f>
        <x:v>Moderate</x:v>
      </x:c>
      <x:c r="P1117" t="str">
        <x:f>IF(I1117&gt;=70,"Yes","No")</x:f>
        <x:v>No</x:v>
      </x:c>
      <x:c r="Q1117" t="str">
        <x:f>TEXT(B1117,"yyyy-mm")</x:f>
        <x:v>2022-05</x:v>
      </x:c>
    </x:row>
    <x:row r="1118">
      <x:c r="A1118" t="str">
        <x:v>HYD07</x:v>
      </x:c>
      <x:c r="B1118" s="22" t="n">
        <x:f>DATE(C1118,D1118,1)</x:f>
        <x:v>44713</x:v>
      </x:c>
      <x:c r="C1118" t="n">
        <x:v>2022</x:v>
      </x:c>
      <x:c r="D1118" t="n">
        <x:v>6</x:v>
      </x:c>
      <x:c r="E1118" t="str">
        <x:f>TEXT(B1118,"mmm")</x:f>
        <x:v>Jun</x:v>
      </x:c>
      <x:c r="F1118" t="str">
        <x:f>"Q"&amp;ROUNDUP(D1118/3,0)</x:f>
        <x:v>Q2</x:v>
      </x:c>
      <x:c r="G1118" s="23" t="n">
        <x:v>70.27</x:v>
      </x:c>
      <x:c r="H1118" s="23" t="n">
        <x:v>72.05</x:v>
      </x:c>
      <x:c r="I1118" s="23" t="n">
        <x:v>71.2</x:v>
      </x:c>
      <x:c r="J1118" s="23" t="n">
        <x:f>G1118-H1118</x:f>
        <x:v>-1.7800000000000011</x:v>
      </x:c>
      <x:c r="K1118" t="str">
        <x:v>HINDCAST</x:v>
      </x:c>
      <x:c r="L1118" s="24" t="n">
        <x:v>17.4483</x:v>
      </x:c>
      <x:c r="M1118" s="24" t="n">
        <x:v>78.3915</x:v>
      </x:c>
      <x:c r="N1118" t="str">
        <x:f>IF(I1118&gt;70,"70+ dB",IF(I1118&gt;55,"56-70 dB","41-55 dB"))</x:f>
        <x:v>70+ dB</x:v>
      </x:c>
      <x:c r="O1118" t="str">
        <x:f>IF(I1118&gt;70,"High",IF(I1118&gt;55,"Moderate","Low"))</x:f>
        <x:v>High</x:v>
      </x:c>
      <x:c r="P1118" t="str">
        <x:f>IF(I1118&gt;=70,"Yes","No")</x:f>
        <x:v>Yes</x:v>
      </x:c>
      <x:c r="Q1118" t="str">
        <x:f>TEXT(B1118,"yyyy-mm")</x:f>
        <x:v>2022-06</x:v>
      </x:c>
    </x:row>
    <x:row r="1119">
      <x:c r="A1119" t="str">
        <x:v>HYD07</x:v>
      </x:c>
      <x:c r="B1119" s="22" t="n">
        <x:f>DATE(C1119,D1119,1)</x:f>
        <x:v>44743</x:v>
      </x:c>
      <x:c r="C1119" t="n">
        <x:v>2022</x:v>
      </x:c>
      <x:c r="D1119" t="n">
        <x:v>7</x:v>
      </x:c>
      <x:c r="E1119" t="str">
        <x:f>TEXT(B1119,"mmm")</x:f>
        <x:v>Jul</x:v>
      </x:c>
      <x:c r="F1119" t="str">
        <x:f>"Q"&amp;ROUNDUP(D1119/3,0)</x:f>
        <x:v>Q3</x:v>
      </x:c>
      <x:c r="G1119" s="23" t="n">
        <x:v>72.01</x:v>
      </x:c>
      <x:c r="H1119" s="23" t="n">
        <x:v>72.81</x:v>
      </x:c>
      <x:c r="I1119" s="23" t="n">
        <x:v>72.4</x:v>
      </x:c>
      <x:c r="J1119" s="23" t="n">
        <x:f>G1119-H1119</x:f>
        <x:v>-0.7999999999999972</x:v>
      </x:c>
      <x:c r="K1119" t="str">
        <x:v>HINDCAST</x:v>
      </x:c>
      <x:c r="L1119" s="24" t="n">
        <x:v>17.4483</x:v>
      </x:c>
      <x:c r="M1119" s="24" t="n">
        <x:v>78.3915</x:v>
      </x:c>
      <x:c r="N1119" t="str">
        <x:f>IF(I1119&gt;70,"70+ dB",IF(I1119&gt;55,"56-70 dB","41-55 dB"))</x:f>
        <x:v>70+ dB</x:v>
      </x:c>
      <x:c r="O1119" t="str">
        <x:f>IF(I1119&gt;70,"High",IF(I1119&gt;55,"Moderate","Low"))</x:f>
        <x:v>High</x:v>
      </x:c>
      <x:c r="P1119" t="str">
        <x:f>IF(I1119&gt;=70,"Yes","No")</x:f>
        <x:v>Yes</x:v>
      </x:c>
      <x:c r="Q1119" t="str">
        <x:f>TEXT(B1119,"yyyy-mm")</x:f>
        <x:v>2022-07</x:v>
      </x:c>
    </x:row>
    <x:row r="1120">
      <x:c r="A1120" t="str">
        <x:v>HYD07</x:v>
      </x:c>
      <x:c r="B1120" s="22" t="n">
        <x:f>DATE(C1120,D1120,1)</x:f>
        <x:v>44774</x:v>
      </x:c>
      <x:c r="C1120" t="n">
        <x:v>2022</x:v>
      </x:c>
      <x:c r="D1120" t="n">
        <x:v>8</x:v>
      </x:c>
      <x:c r="E1120" t="str">
        <x:f>TEXT(B1120,"mmm")</x:f>
        <x:v>Aug</x:v>
      </x:c>
      <x:c r="F1120" t="str">
        <x:f>"Q"&amp;ROUNDUP(D1120/3,0)</x:f>
        <x:v>Q3</x:v>
      </x:c>
      <x:c r="G1120" s="23" t="n">
        <x:v>71.87</x:v>
      </x:c>
      <x:c r="H1120" s="23" t="n">
        <x:v>70.98</x:v>
      </x:c>
      <x:c r="I1120" s="23" t="n">
        <x:v>71.4</x:v>
      </x:c>
      <x:c r="J1120" s="23" t="n">
        <x:f>G1120-H1120</x:f>
        <x:v>0.8900000000000006</x:v>
      </x:c>
      <x:c r="K1120" t="str">
        <x:v>HINDCAST</x:v>
      </x:c>
      <x:c r="L1120" s="24" t="n">
        <x:v>17.4483</x:v>
      </x:c>
      <x:c r="M1120" s="24" t="n">
        <x:v>78.3915</x:v>
      </x:c>
      <x:c r="N1120" t="str">
        <x:f>IF(I1120&gt;70,"70+ dB",IF(I1120&gt;55,"56-70 dB","41-55 dB"))</x:f>
        <x:v>70+ dB</x:v>
      </x:c>
      <x:c r="O1120" t="str">
        <x:f>IF(I1120&gt;70,"High",IF(I1120&gt;55,"Moderate","Low"))</x:f>
        <x:v>High</x:v>
      </x:c>
      <x:c r="P1120" t="str">
        <x:f>IF(I1120&gt;=70,"Yes","No")</x:f>
        <x:v>Yes</x:v>
      </x:c>
      <x:c r="Q1120" t="str">
        <x:f>TEXT(B1120,"yyyy-mm")</x:f>
        <x:v>2022-08</x:v>
      </x:c>
    </x:row>
    <x:row r="1121">
      <x:c r="A1121" t="str">
        <x:v>HYD07</x:v>
      </x:c>
      <x:c r="B1121" s="22" t="n">
        <x:f>DATE(C1121,D1121,1)</x:f>
        <x:v>44805</x:v>
      </x:c>
      <x:c r="C1121" t="n">
        <x:v>2022</x:v>
      </x:c>
      <x:c r="D1121" t="n">
        <x:v>9</x:v>
      </x:c>
      <x:c r="E1121" t="str">
        <x:f>TEXT(B1121,"mmm")</x:f>
        <x:v>Sep</x:v>
      </x:c>
      <x:c r="F1121" t="str">
        <x:f>"Q"&amp;ROUNDUP(D1121/3,0)</x:f>
        <x:v>Q3</x:v>
      </x:c>
      <x:c r="G1121" s="23" t="n">
        <x:v>71.34</x:v>
      </x:c>
      <x:c r="H1121" s="23" t="n">
        <x:v>68.71</x:v>
      </x:c>
      <x:c r="I1121" s="23" t="n">
        <x:v>70</x:v>
      </x:c>
      <x:c r="J1121" s="23" t="n">
        <x:f>G1121-H1121</x:f>
        <x:v>2.6300000000000097</x:v>
      </x:c>
      <x:c r="K1121" t="str">
        <x:v>HINDCAST</x:v>
      </x:c>
      <x:c r="L1121" s="24" t="n">
        <x:v>17.4483</x:v>
      </x:c>
      <x:c r="M1121" s="24" t="n">
        <x:v>78.3915</x:v>
      </x:c>
      <x:c r="N1121" t="str">
        <x:f>IF(I1121&gt;70,"70+ dB",IF(I1121&gt;55,"56-70 dB","41-55 dB"))</x:f>
        <x:v>56-70 dB</x:v>
      </x:c>
      <x:c r="O1121" t="str">
        <x:f>IF(I1121&gt;70,"High",IF(I1121&gt;55,"Moderate","Low"))</x:f>
        <x:v>Moderate</x:v>
      </x:c>
      <x:c r="P1121" t="str">
        <x:f>IF(I1121&gt;=70,"Yes","No")</x:f>
        <x:v>Yes</x:v>
      </x:c>
      <x:c r="Q1121" t="str">
        <x:f>TEXT(B1121,"yyyy-mm")</x:f>
        <x:v>2022-09</x:v>
      </x:c>
    </x:row>
    <x:row r="1122">
      <x:c r="A1122" t="str">
        <x:v>HYD07</x:v>
      </x:c>
      <x:c r="B1122" s="22" t="n">
        <x:f>DATE(C1122,D1122,1)</x:f>
        <x:v>44835</x:v>
      </x:c>
      <x:c r="C1122" t="n">
        <x:v>2022</x:v>
      </x:c>
      <x:c r="D1122" t="n">
        <x:v>10</x:v>
      </x:c>
      <x:c r="E1122" t="str">
        <x:f>TEXT(B1122,"mmm")</x:f>
        <x:v>Oct</x:v>
      </x:c>
      <x:c r="F1122" t="str">
        <x:f>"Q"&amp;ROUNDUP(D1122/3,0)</x:f>
        <x:v>Q4</x:v>
      </x:c>
      <x:c r="G1122" s="23" t="n">
        <x:v>69.09</x:v>
      </x:c>
      <x:c r="H1122" s="23" t="n">
        <x:v>69.62</x:v>
      </x:c>
      <x:c r="I1122" s="23" t="n">
        <x:v>69.4</x:v>
      </x:c>
      <x:c r="J1122" s="23" t="n">
        <x:f>G1122-H1122</x:f>
        <x:v>-0.5300000000000011</x:v>
      </x:c>
      <x:c r="K1122" t="str">
        <x:v>HINDCAST</x:v>
      </x:c>
      <x:c r="L1122" s="24" t="n">
        <x:v>17.4483</x:v>
      </x:c>
      <x:c r="M1122" s="24" t="n">
        <x:v>78.3915</x:v>
      </x:c>
      <x:c r="N1122" t="str">
        <x:f>IF(I1122&gt;70,"70+ dB",IF(I1122&gt;55,"56-70 dB","41-55 dB"))</x:f>
        <x:v>56-70 dB</x:v>
      </x:c>
      <x:c r="O1122" t="str">
        <x:f>IF(I1122&gt;70,"High",IF(I1122&gt;55,"Moderate","Low"))</x:f>
        <x:v>Moderate</x:v>
      </x:c>
      <x:c r="P1122" t="str">
        <x:f>IF(I1122&gt;=70,"Yes","No")</x:f>
        <x:v>No</x:v>
      </x:c>
      <x:c r="Q1122" t="str">
        <x:f>TEXT(B1122,"yyyy-mm")</x:f>
        <x:v>2022-10</x:v>
      </x:c>
    </x:row>
    <x:row r="1123">
      <x:c r="A1123" t="str">
        <x:v>HYD07</x:v>
      </x:c>
      <x:c r="B1123" s="22" t="n">
        <x:f>DATE(C1123,D1123,1)</x:f>
        <x:v>44866</x:v>
      </x:c>
      <x:c r="C1123" t="n">
        <x:v>2022</x:v>
      </x:c>
      <x:c r="D1123" t="n">
        <x:v>11</x:v>
      </x:c>
      <x:c r="E1123" t="str">
        <x:f>TEXT(B1123,"mmm")</x:f>
        <x:v>Nov</x:v>
      </x:c>
      <x:c r="F1123" t="str">
        <x:f>"Q"&amp;ROUNDUP(D1123/3,0)</x:f>
        <x:v>Q4</x:v>
      </x:c>
      <x:c r="G1123" s="23" t="n">
        <x:v>69.88</x:v>
      </x:c>
      <x:c r="H1123" s="23" t="n">
        <x:v>68.58</x:v>
      </x:c>
      <x:c r="I1123" s="23" t="n">
        <x:v>69.2</x:v>
      </x:c>
      <x:c r="J1123" s="23" t="n">
        <x:f>G1123-H1123</x:f>
        <x:v>1.2999999999999972</x:v>
      </x:c>
      <x:c r="K1123" t="str">
        <x:v>HINDCAST</x:v>
      </x:c>
      <x:c r="L1123" s="24" t="n">
        <x:v>17.4483</x:v>
      </x:c>
      <x:c r="M1123" s="24" t="n">
        <x:v>78.3915</x:v>
      </x:c>
      <x:c r="N1123" t="str">
        <x:f>IF(I1123&gt;70,"70+ dB",IF(I1123&gt;55,"56-70 dB","41-55 dB"))</x:f>
        <x:v>56-70 dB</x:v>
      </x:c>
      <x:c r="O1123" t="str">
        <x:f>IF(I1123&gt;70,"High",IF(I1123&gt;55,"Moderate","Low"))</x:f>
        <x:v>Moderate</x:v>
      </x:c>
      <x:c r="P1123" t="str">
        <x:f>IF(I1123&gt;=70,"Yes","No")</x:f>
        <x:v>No</x:v>
      </x:c>
      <x:c r="Q1123" t="str">
        <x:f>TEXT(B1123,"yyyy-mm")</x:f>
        <x:v>2022-11</x:v>
      </x:c>
    </x:row>
    <x:row r="1124">
      <x:c r="A1124" t="str">
        <x:v>HYD07</x:v>
      </x:c>
      <x:c r="B1124" s="22" t="n">
        <x:f>DATE(C1124,D1124,1)</x:f>
        <x:v>44896</x:v>
      </x:c>
      <x:c r="C1124" t="n">
        <x:v>2022</x:v>
      </x:c>
      <x:c r="D1124" t="n">
        <x:v>12</x:v>
      </x:c>
      <x:c r="E1124" t="str">
        <x:f>TEXT(B1124,"mmm")</x:f>
        <x:v>Dec</x:v>
      </x:c>
      <x:c r="F1124" t="str">
        <x:f>"Q"&amp;ROUNDUP(D1124/3,0)</x:f>
        <x:v>Q4</x:v>
      </x:c>
      <x:c r="G1124" s="23" t="n">
        <x:v>63.09</x:v>
      </x:c>
      <x:c r="H1124" s="23" t="n">
        <x:v>65.11</x:v>
      </x:c>
      <x:c r="I1124" s="23" t="n">
        <x:v>64.1</x:v>
      </x:c>
      <x:c r="J1124" s="23" t="n">
        <x:f>G1124-H1124</x:f>
        <x:v>-2.019999999999996</x:v>
      </x:c>
      <x:c r="K1124" t="str">
        <x:v>HINDCAST</x:v>
      </x:c>
      <x:c r="L1124" s="24" t="n">
        <x:v>17.4483</x:v>
      </x:c>
      <x:c r="M1124" s="24" t="n">
        <x:v>78.3915</x:v>
      </x:c>
      <x:c r="N1124" t="str">
        <x:f>IF(I1124&gt;70,"70+ dB",IF(I1124&gt;55,"56-70 dB","41-55 dB"))</x:f>
        <x:v>56-70 dB</x:v>
      </x:c>
      <x:c r="O1124" t="str">
        <x:f>IF(I1124&gt;70,"High",IF(I1124&gt;55,"Moderate","Low"))</x:f>
        <x:v>Moderate</x:v>
      </x:c>
      <x:c r="P1124" t="str">
        <x:f>IF(I1124&gt;=70,"Yes","No")</x:f>
        <x:v>No</x:v>
      </x:c>
      <x:c r="Q1124" t="str">
        <x:f>TEXT(B1124,"yyyy-mm")</x:f>
        <x:v>2022-12</x:v>
      </x:c>
    </x:row>
    <x:row r="1125">
      <x:c r="A1125" t="str">
        <x:v>HYD07</x:v>
      </x:c>
      <x:c r="B1125" s="22" t="n">
        <x:f>DATE(C1125,D1125,1)</x:f>
        <x:v>44927</x:v>
      </x:c>
      <x:c r="C1125" t="n">
        <x:v>2023</x:v>
      </x:c>
      <x:c r="D1125" t="n">
        <x:v>1</x:v>
      </x:c>
      <x:c r="E1125" t="str">
        <x:f>TEXT(B1125,"mmm")</x:f>
        <x:v>Jan</x:v>
      </x:c>
      <x:c r="F1125" t="str">
        <x:f>"Q"&amp;ROUNDUP(D1125/3,0)</x:f>
        <x:v>Q1</x:v>
      </x:c>
      <x:c r="G1125" s="23" t="n">
        <x:v>64.47</x:v>
      </x:c>
      <x:c r="H1125" s="23" t="n">
        <x:v>67.99</x:v>
      </x:c>
      <x:c r="I1125" s="23" t="n">
        <x:v>66.2</x:v>
      </x:c>
      <x:c r="J1125" s="23" t="n">
        <x:f>G1125-H1125</x:f>
        <x:v>-3.519999999999996</x:v>
      </x:c>
      <x:c r="K1125" t="str">
        <x:v>HINDCAST</x:v>
      </x:c>
      <x:c r="L1125" s="24" t="n">
        <x:v>17.4483</x:v>
      </x:c>
      <x:c r="M1125" s="24" t="n">
        <x:v>78.3915</x:v>
      </x:c>
      <x:c r="N1125" t="str">
        <x:f>IF(I1125&gt;70,"70+ dB",IF(I1125&gt;55,"56-70 dB","41-55 dB"))</x:f>
        <x:v>56-70 dB</x:v>
      </x:c>
      <x:c r="O1125" t="str">
        <x:f>IF(I1125&gt;70,"High",IF(I1125&gt;55,"Moderate","Low"))</x:f>
        <x:v>Moderate</x:v>
      </x:c>
      <x:c r="P1125" t="str">
        <x:f>IF(I1125&gt;=70,"Yes","No")</x:f>
        <x:v>No</x:v>
      </x:c>
      <x:c r="Q1125" t="str">
        <x:f>TEXT(B1125,"yyyy-mm")</x:f>
        <x:v>2023-01</x:v>
      </x:c>
    </x:row>
    <x:row r="1126">
      <x:c r="A1126" t="str">
        <x:v>HYD07</x:v>
      </x:c>
      <x:c r="B1126" s="22" t="n">
        <x:f>DATE(C1126,D1126,1)</x:f>
        <x:v>44958</x:v>
      </x:c>
      <x:c r="C1126" t="n">
        <x:v>2023</x:v>
      </x:c>
      <x:c r="D1126" t="n">
        <x:v>2</x:v>
      </x:c>
      <x:c r="E1126" t="str">
        <x:f>TEXT(B1126,"mmm")</x:f>
        <x:v>Feb</x:v>
      </x:c>
      <x:c r="F1126" t="str">
        <x:f>"Q"&amp;ROUNDUP(D1126/3,0)</x:f>
        <x:v>Q1</x:v>
      </x:c>
      <x:c r="G1126" s="23" t="n">
        <x:v>65.97</x:v>
      </x:c>
      <x:c r="H1126" s="23" t="n">
        <x:v>69.3</x:v>
      </x:c>
      <x:c r="I1126" s="23" t="n">
        <x:v>67.6</x:v>
      </x:c>
      <x:c r="J1126" s="23" t="n">
        <x:f>G1126-H1126</x:f>
        <x:v>-3.3299999999999983</x:v>
      </x:c>
      <x:c r="K1126" t="str">
        <x:v>HINDCAST</x:v>
      </x:c>
      <x:c r="L1126" s="24" t="n">
        <x:v>17.4483</x:v>
      </x:c>
      <x:c r="M1126" s="24" t="n">
        <x:v>78.3915</x:v>
      </x:c>
      <x:c r="N1126" t="str">
        <x:f>IF(I1126&gt;70,"70+ dB",IF(I1126&gt;55,"56-70 dB","41-55 dB"))</x:f>
        <x:v>56-70 dB</x:v>
      </x:c>
      <x:c r="O1126" t="str">
        <x:f>IF(I1126&gt;70,"High",IF(I1126&gt;55,"Moderate","Low"))</x:f>
        <x:v>Moderate</x:v>
      </x:c>
      <x:c r="P1126" t="str">
        <x:f>IF(I1126&gt;=70,"Yes","No")</x:f>
        <x:v>No</x:v>
      </x:c>
      <x:c r="Q1126" t="str">
        <x:f>TEXT(B1126,"yyyy-mm")</x:f>
        <x:v>2023-02</x:v>
      </x:c>
    </x:row>
    <x:row r="1127">
      <x:c r="A1127" t="str">
        <x:v>HYD07</x:v>
      </x:c>
      <x:c r="B1127" s="22" t="n">
        <x:f>DATE(C1127,D1127,1)</x:f>
        <x:v>44986</x:v>
      </x:c>
      <x:c r="C1127" t="n">
        <x:v>2023</x:v>
      </x:c>
      <x:c r="D1127" t="n">
        <x:v>3</x:v>
      </x:c>
      <x:c r="E1127" t="str">
        <x:f>TEXT(B1127,"mmm")</x:f>
        <x:v>Mar</x:v>
      </x:c>
      <x:c r="F1127" t="str">
        <x:f>"Q"&amp;ROUNDUP(D1127/3,0)</x:f>
        <x:v>Q1</x:v>
      </x:c>
      <x:c r="G1127" s="23" t="n">
        <x:v>64.91</x:v>
      </x:c>
      <x:c r="H1127" s="23" t="n">
        <x:v>69.15</x:v>
      </x:c>
      <x:c r="I1127" s="23" t="n">
        <x:v>67</x:v>
      </x:c>
      <x:c r="J1127" s="23" t="n">
        <x:f>G1127-H1127</x:f>
        <x:v>-4.240000000000009</x:v>
      </x:c>
      <x:c r="K1127" t="str">
        <x:v>HINDCAST</x:v>
      </x:c>
      <x:c r="L1127" s="24" t="n">
        <x:v>17.4483</x:v>
      </x:c>
      <x:c r="M1127" s="24" t="n">
        <x:v>78.3915</x:v>
      </x:c>
      <x:c r="N1127" t="str">
        <x:f>IF(I1127&gt;70,"70+ dB",IF(I1127&gt;55,"56-70 dB","41-55 dB"))</x:f>
        <x:v>56-70 dB</x:v>
      </x:c>
      <x:c r="O1127" t="str">
        <x:f>IF(I1127&gt;70,"High",IF(I1127&gt;55,"Moderate","Low"))</x:f>
        <x:v>Moderate</x:v>
      </x:c>
      <x:c r="P1127" t="str">
        <x:f>IF(I1127&gt;=70,"Yes","No")</x:f>
        <x:v>No</x:v>
      </x:c>
      <x:c r="Q1127" t="str">
        <x:f>TEXT(B1127,"yyyy-mm")</x:f>
        <x:v>2023-03</x:v>
      </x:c>
    </x:row>
    <x:row r="1128">
      <x:c r="A1128" t="str">
        <x:v>HYD07</x:v>
      </x:c>
      <x:c r="B1128" s="22" t="n">
        <x:f>DATE(C1128,D1128,1)</x:f>
        <x:v>45017</x:v>
      </x:c>
      <x:c r="C1128" t="n">
        <x:v>2023</x:v>
      </x:c>
      <x:c r="D1128" t="n">
        <x:v>4</x:v>
      </x:c>
      <x:c r="E1128" t="str">
        <x:f>TEXT(B1128,"mmm")</x:f>
        <x:v>Apr</x:v>
      </x:c>
      <x:c r="F1128" t="str">
        <x:f>"Q"&amp;ROUNDUP(D1128/3,0)</x:f>
        <x:v>Q2</x:v>
      </x:c>
      <x:c r="G1128" s="23" t="n">
        <x:v>64.52</x:v>
      </x:c>
      <x:c r="H1128" s="23" t="n">
        <x:v>70.46</x:v>
      </x:c>
      <x:c r="I1128" s="23" t="n">
        <x:v>67.5</x:v>
      </x:c>
      <x:c r="J1128" s="23" t="n">
        <x:f>G1128-H1128</x:f>
        <x:v>-5.939999999999998</x:v>
      </x:c>
      <x:c r="K1128" t="str">
        <x:v>HINDCAST</x:v>
      </x:c>
      <x:c r="L1128" s="24" t="n">
        <x:v>17.4483</x:v>
      </x:c>
      <x:c r="M1128" s="24" t="n">
        <x:v>78.3915</x:v>
      </x:c>
      <x:c r="N1128" t="str">
        <x:f>IF(I1128&gt;70,"70+ dB",IF(I1128&gt;55,"56-70 dB","41-55 dB"))</x:f>
        <x:v>56-70 dB</x:v>
      </x:c>
      <x:c r="O1128" t="str">
        <x:f>IF(I1128&gt;70,"High",IF(I1128&gt;55,"Moderate","Low"))</x:f>
        <x:v>Moderate</x:v>
      </x:c>
      <x:c r="P1128" t="str">
        <x:f>IF(I1128&gt;=70,"Yes","No")</x:f>
        <x:v>No</x:v>
      </x:c>
      <x:c r="Q1128" t="str">
        <x:f>TEXT(B1128,"yyyy-mm")</x:f>
        <x:v>2023-04</x:v>
      </x:c>
    </x:row>
    <x:row r="1129">
      <x:c r="A1129" t="str">
        <x:v>HYD07</x:v>
      </x:c>
      <x:c r="B1129" s="22" t="n">
        <x:f>DATE(C1129,D1129,1)</x:f>
        <x:v>45047</x:v>
      </x:c>
      <x:c r="C1129" t="n">
        <x:v>2023</x:v>
      </x:c>
      <x:c r="D1129" t="n">
        <x:v>5</x:v>
      </x:c>
      <x:c r="E1129" t="str">
        <x:f>TEXT(B1129,"mmm")</x:f>
        <x:v>May</x:v>
      </x:c>
      <x:c r="F1129" t="str">
        <x:f>"Q"&amp;ROUNDUP(D1129/3,0)</x:f>
        <x:v>Q2</x:v>
      </x:c>
      <x:c r="G1129" s="23" t="n">
        <x:v>65.69</x:v>
      </x:c>
      <x:c r="H1129" s="23" t="n">
        <x:v>72.64</x:v>
      </x:c>
      <x:c r="I1129" s="23" t="n">
        <x:v>69.2</x:v>
      </x:c>
      <x:c r="J1129" s="23" t="n">
        <x:f>G1129-H1129</x:f>
        <x:v>-6.950000000000003</x:v>
      </x:c>
      <x:c r="K1129" t="str">
        <x:v>HINDCAST</x:v>
      </x:c>
      <x:c r="L1129" s="24" t="n">
        <x:v>17.4483</x:v>
      </x:c>
      <x:c r="M1129" s="24" t="n">
        <x:v>78.3915</x:v>
      </x:c>
      <x:c r="N1129" t="str">
        <x:f>IF(I1129&gt;70,"70+ dB",IF(I1129&gt;55,"56-70 dB","41-55 dB"))</x:f>
        <x:v>56-70 dB</x:v>
      </x:c>
      <x:c r="O1129" t="str">
        <x:f>IF(I1129&gt;70,"High",IF(I1129&gt;55,"Moderate","Low"))</x:f>
        <x:v>Moderate</x:v>
      </x:c>
      <x:c r="P1129" t="str">
        <x:f>IF(I1129&gt;=70,"Yes","No")</x:f>
        <x:v>No</x:v>
      </x:c>
      <x:c r="Q1129" t="str">
        <x:f>TEXT(B1129,"yyyy-mm")</x:f>
        <x:v>2023-05</x:v>
      </x:c>
    </x:row>
    <x:row r="1130">
      <x:c r="A1130" t="str">
        <x:v>HYD07</x:v>
      </x:c>
      <x:c r="B1130" s="22" t="n">
        <x:f>DATE(C1130,D1130,1)</x:f>
        <x:v>45078</x:v>
      </x:c>
      <x:c r="C1130" t="n">
        <x:v>2023</x:v>
      </x:c>
      <x:c r="D1130" t="n">
        <x:v>6</x:v>
      </x:c>
      <x:c r="E1130" t="str">
        <x:f>TEXT(B1130,"mmm")</x:f>
        <x:v>Jun</x:v>
      </x:c>
      <x:c r="F1130" t="str">
        <x:f>"Q"&amp;ROUNDUP(D1130/3,0)</x:f>
        <x:v>Q2</x:v>
      </x:c>
      <x:c r="G1130" s="23" t="n">
        <x:v>69.1</x:v>
      </x:c>
      <x:c r="H1130" s="23" t="n">
        <x:v>72.32</x:v>
      </x:c>
      <x:c r="I1130" s="23" t="n">
        <x:v>70.7</x:v>
      </x:c>
      <x:c r="J1130" s="23" t="n">
        <x:f>G1130-H1130</x:f>
        <x:v>-3.219999999999999</x:v>
      </x:c>
      <x:c r="K1130" t="str">
        <x:v>HINDCAST</x:v>
      </x:c>
      <x:c r="L1130" s="24" t="n">
        <x:v>17.4483</x:v>
      </x:c>
      <x:c r="M1130" s="24" t="n">
        <x:v>78.3915</x:v>
      </x:c>
      <x:c r="N1130" t="str">
        <x:f>IF(I1130&gt;70,"70+ dB",IF(I1130&gt;55,"56-70 dB","41-55 dB"))</x:f>
        <x:v>70+ dB</x:v>
      </x:c>
      <x:c r="O1130" t="str">
        <x:f>IF(I1130&gt;70,"High",IF(I1130&gt;55,"Moderate","Low"))</x:f>
        <x:v>High</x:v>
      </x:c>
      <x:c r="P1130" t="str">
        <x:f>IF(I1130&gt;=70,"Yes","No")</x:f>
        <x:v>Yes</x:v>
      </x:c>
      <x:c r="Q1130" t="str">
        <x:f>TEXT(B1130,"yyyy-mm")</x:f>
        <x:v>2023-06</x:v>
      </x:c>
    </x:row>
    <x:row r="1131">
      <x:c r="A1131" t="str">
        <x:v>HYD07</x:v>
      </x:c>
      <x:c r="B1131" s="22" t="n">
        <x:f>DATE(C1131,D1131,1)</x:f>
        <x:v>45108</x:v>
      </x:c>
      <x:c r="C1131" t="n">
        <x:v>2023</x:v>
      </x:c>
      <x:c r="D1131" t="n">
        <x:v>7</x:v>
      </x:c>
      <x:c r="E1131" t="str">
        <x:f>TEXT(B1131,"mmm")</x:f>
        <x:v>Jul</x:v>
      </x:c>
      <x:c r="F1131" t="str">
        <x:f>"Q"&amp;ROUNDUP(D1131/3,0)</x:f>
        <x:v>Q3</x:v>
      </x:c>
      <x:c r="G1131" s="23" t="n">
        <x:v>70.81</x:v>
      </x:c>
      <x:c r="H1131" s="23" t="n">
        <x:v>73.3</x:v>
      </x:c>
      <x:c r="I1131" s="23" t="n">
        <x:v>72.1</x:v>
      </x:c>
      <x:c r="J1131" s="23" t="n">
        <x:f>G1131-H1131</x:f>
        <x:v>-2.489999999999995</x:v>
      </x:c>
      <x:c r="K1131" t="str">
        <x:v>HINDCAST</x:v>
      </x:c>
      <x:c r="L1131" s="24" t="n">
        <x:v>17.4483</x:v>
      </x:c>
      <x:c r="M1131" s="24" t="n">
        <x:v>78.3915</x:v>
      </x:c>
      <x:c r="N1131" t="str">
        <x:f>IF(I1131&gt;70,"70+ dB",IF(I1131&gt;55,"56-70 dB","41-55 dB"))</x:f>
        <x:v>70+ dB</x:v>
      </x:c>
      <x:c r="O1131" t="str">
        <x:f>IF(I1131&gt;70,"High",IF(I1131&gt;55,"Moderate","Low"))</x:f>
        <x:v>High</x:v>
      </x:c>
      <x:c r="P1131" t="str">
        <x:f>IF(I1131&gt;=70,"Yes","No")</x:f>
        <x:v>Yes</x:v>
      </x:c>
      <x:c r="Q1131" t="str">
        <x:f>TEXT(B1131,"yyyy-mm")</x:f>
        <x:v>2023-07</x:v>
      </x:c>
    </x:row>
    <x:row r="1132">
      <x:c r="A1132" t="str">
        <x:v>HYD07</x:v>
      </x:c>
      <x:c r="B1132" s="22" t="n">
        <x:f>DATE(C1132,D1132,1)</x:f>
        <x:v>45139</x:v>
      </x:c>
      <x:c r="C1132" t="n">
        <x:v>2023</x:v>
      </x:c>
      <x:c r="D1132" t="n">
        <x:v>8</x:v>
      </x:c>
      <x:c r="E1132" t="str">
        <x:f>TEXT(B1132,"mmm")</x:f>
        <x:v>Aug</x:v>
      </x:c>
      <x:c r="F1132" t="str">
        <x:f>"Q"&amp;ROUNDUP(D1132/3,0)</x:f>
        <x:v>Q3</x:v>
      </x:c>
      <x:c r="G1132" s="23" t="n">
        <x:v>71.56</x:v>
      </x:c>
      <x:c r="H1132" s="23" t="n">
        <x:v>73.18</x:v>
      </x:c>
      <x:c r="I1132" s="23" t="n">
        <x:v>72.4</x:v>
      </x:c>
      <x:c r="J1132" s="23" t="n">
        <x:f>G1132-H1132</x:f>
        <x:v>-1.6200000000000045</x:v>
      </x:c>
      <x:c r="K1132" t="str">
        <x:v>HINDCAST</x:v>
      </x:c>
      <x:c r="L1132" s="24" t="n">
        <x:v>17.4483</x:v>
      </x:c>
      <x:c r="M1132" s="24" t="n">
        <x:v>78.3915</x:v>
      </x:c>
      <x:c r="N1132" t="str">
        <x:f>IF(I1132&gt;70,"70+ dB",IF(I1132&gt;55,"56-70 dB","41-55 dB"))</x:f>
        <x:v>70+ dB</x:v>
      </x:c>
      <x:c r="O1132" t="str">
        <x:f>IF(I1132&gt;70,"High",IF(I1132&gt;55,"Moderate","Low"))</x:f>
        <x:v>High</x:v>
      </x:c>
      <x:c r="P1132" t="str">
        <x:f>IF(I1132&gt;=70,"Yes","No")</x:f>
        <x:v>Yes</x:v>
      </x:c>
      <x:c r="Q1132" t="str">
        <x:f>TEXT(B1132,"yyyy-mm")</x:f>
        <x:v>2023-08</x:v>
      </x:c>
    </x:row>
    <x:row r="1133">
      <x:c r="A1133" t="str">
        <x:v>HYD07</x:v>
      </x:c>
      <x:c r="B1133" s="22" t="n">
        <x:f>DATE(C1133,D1133,1)</x:f>
        <x:v>45170</x:v>
      </x:c>
      <x:c r="C1133" t="n">
        <x:v>2023</x:v>
      </x:c>
      <x:c r="D1133" t="n">
        <x:v>9</x:v>
      </x:c>
      <x:c r="E1133" t="str">
        <x:f>TEXT(B1133,"mmm")</x:f>
        <x:v>Sep</x:v>
      </x:c>
      <x:c r="F1133" t="str">
        <x:f>"Q"&amp;ROUNDUP(D1133/3,0)</x:f>
        <x:v>Q3</x:v>
      </x:c>
      <x:c r="G1133" s="23" t="n">
        <x:v>71.1</x:v>
      </x:c>
      <x:c r="H1133" s="23" t="n">
        <x:v>70.62</x:v>
      </x:c>
      <x:c r="I1133" s="23" t="n">
        <x:v>70.9</x:v>
      </x:c>
      <x:c r="J1133" s="23" t="n">
        <x:f>G1133-H1133</x:f>
        <x:v>0.47999999999998977</x:v>
      </x:c>
      <x:c r="K1133" t="str">
        <x:v>HINDCAST</x:v>
      </x:c>
      <x:c r="L1133" s="24" t="n">
        <x:v>17.4483</x:v>
      </x:c>
      <x:c r="M1133" s="24" t="n">
        <x:v>78.3915</x:v>
      </x:c>
      <x:c r="N1133" t="str">
        <x:f>IF(I1133&gt;70,"70+ dB",IF(I1133&gt;55,"56-70 dB","41-55 dB"))</x:f>
        <x:v>70+ dB</x:v>
      </x:c>
      <x:c r="O1133" t="str">
        <x:f>IF(I1133&gt;70,"High",IF(I1133&gt;55,"Moderate","Low"))</x:f>
        <x:v>High</x:v>
      </x:c>
      <x:c r="P1133" t="str">
        <x:f>IF(I1133&gt;=70,"Yes","No")</x:f>
        <x:v>Yes</x:v>
      </x:c>
      <x:c r="Q1133" t="str">
        <x:f>TEXT(B1133,"yyyy-mm")</x:f>
        <x:v>2023-09</x:v>
      </x:c>
    </x:row>
    <x:row r="1134">
      <x:c r="A1134" t="str">
        <x:v>HYD07</x:v>
      </x:c>
      <x:c r="B1134" s="22" t="n">
        <x:f>DATE(C1134,D1134,1)</x:f>
        <x:v>45200</x:v>
      </x:c>
      <x:c r="C1134" t="n">
        <x:v>2023</x:v>
      </x:c>
      <x:c r="D1134" t="n">
        <x:v>10</x:v>
      </x:c>
      <x:c r="E1134" t="str">
        <x:f>TEXT(B1134,"mmm")</x:f>
        <x:v>Oct</x:v>
      </x:c>
      <x:c r="F1134" t="str">
        <x:f>"Q"&amp;ROUNDUP(D1134/3,0)</x:f>
        <x:v>Q4</x:v>
      </x:c>
      <x:c r="G1134" s="23" t="n">
        <x:v>69.46</x:v>
      </x:c>
      <x:c r="H1134" s="23" t="n">
        <x:v>73.19</x:v>
      </x:c>
      <x:c r="I1134" s="23" t="n">
        <x:v>71.3</x:v>
      </x:c>
      <x:c r="J1134" s="23" t="n">
        <x:f>G1134-H1134</x:f>
        <x:v>-3.730000000000004</x:v>
      </x:c>
      <x:c r="K1134" t="str">
        <x:v>HINDCAST</x:v>
      </x:c>
      <x:c r="L1134" s="24" t="n">
        <x:v>17.4483</x:v>
      </x:c>
      <x:c r="M1134" s="24" t="n">
        <x:v>78.3915</x:v>
      </x:c>
      <x:c r="N1134" t="str">
        <x:f>IF(I1134&gt;70,"70+ dB",IF(I1134&gt;55,"56-70 dB","41-55 dB"))</x:f>
        <x:v>70+ dB</x:v>
      </x:c>
      <x:c r="O1134" t="str">
        <x:f>IF(I1134&gt;70,"High",IF(I1134&gt;55,"Moderate","Low"))</x:f>
        <x:v>High</x:v>
      </x:c>
      <x:c r="P1134" t="str">
        <x:f>IF(I1134&gt;=70,"Yes","No")</x:f>
        <x:v>Yes</x:v>
      </x:c>
      <x:c r="Q1134" t="str">
        <x:f>TEXT(B1134,"yyyy-mm")</x:f>
        <x:v>2023-10</x:v>
      </x:c>
    </x:row>
    <x:row r="1135">
      <x:c r="A1135" t="str">
        <x:v>HYD07</x:v>
      </x:c>
      <x:c r="B1135" s="22" t="n">
        <x:f>DATE(C1135,D1135,1)</x:f>
        <x:v>45231</x:v>
      </x:c>
      <x:c r="C1135" t="n">
        <x:v>2023</x:v>
      </x:c>
      <x:c r="D1135" t="n">
        <x:v>11</x:v>
      </x:c>
      <x:c r="E1135" t="str">
        <x:f>TEXT(B1135,"mmm")</x:f>
        <x:v>Nov</x:v>
      </x:c>
      <x:c r="F1135" t="str">
        <x:f>"Q"&amp;ROUNDUP(D1135/3,0)</x:f>
        <x:v>Q4</x:v>
      </x:c>
      <x:c r="G1135" s="23" t="n">
        <x:v>69.71</x:v>
      </x:c>
      <x:c r="H1135" s="23" t="n">
        <x:v>70.7</x:v>
      </x:c>
      <x:c r="I1135" s="23" t="n">
        <x:v>70.2</x:v>
      </x:c>
      <x:c r="J1135" s="23" t="n">
        <x:f>G1135-H1135</x:f>
        <x:v>-0.9900000000000091</x:v>
      </x:c>
      <x:c r="K1135" t="str">
        <x:v>HINDCAST</x:v>
      </x:c>
      <x:c r="L1135" s="24" t="n">
        <x:v>17.4483</x:v>
      </x:c>
      <x:c r="M1135" s="24" t="n">
        <x:v>78.3915</x:v>
      </x:c>
      <x:c r="N1135" t="str">
        <x:f>IF(I1135&gt;70,"70+ dB",IF(I1135&gt;55,"56-70 dB","41-55 dB"))</x:f>
        <x:v>70+ dB</x:v>
      </x:c>
      <x:c r="O1135" t="str">
        <x:f>IF(I1135&gt;70,"High",IF(I1135&gt;55,"Moderate","Low"))</x:f>
        <x:v>High</x:v>
      </x:c>
      <x:c r="P1135" t="str">
        <x:f>IF(I1135&gt;=70,"Yes","No")</x:f>
        <x:v>Yes</x:v>
      </x:c>
      <x:c r="Q1135" t="str">
        <x:f>TEXT(B1135,"yyyy-mm")</x:f>
        <x:v>2023-11</x:v>
      </x:c>
    </x:row>
    <x:row r="1136">
      <x:c r="A1136" t="str">
        <x:v>HYD07</x:v>
      </x:c>
      <x:c r="B1136" s="22" t="n">
        <x:f>DATE(C1136,D1136,1)</x:f>
        <x:v>45261</x:v>
      </x:c>
      <x:c r="C1136" t="n">
        <x:v>2023</x:v>
      </x:c>
      <x:c r="D1136" t="n">
        <x:v>12</x:v>
      </x:c>
      <x:c r="E1136" t="str">
        <x:f>TEXT(B1136,"mmm")</x:f>
        <x:v>Dec</x:v>
      </x:c>
      <x:c r="F1136" t="str">
        <x:f>"Q"&amp;ROUNDUP(D1136/3,0)</x:f>
        <x:v>Q4</x:v>
      </x:c>
      <x:c r="G1136" s="23" t="n">
        <x:v>62.95</x:v>
      </x:c>
      <x:c r="H1136" s="23" t="n">
        <x:v>67.35</x:v>
      </x:c>
      <x:c r="I1136" s="23" t="n">
        <x:v>65.2</x:v>
      </x:c>
      <x:c r="J1136" s="23" t="n">
        <x:f>G1136-H1136</x:f>
        <x:v>-4.3999999999999915</x:v>
      </x:c>
      <x:c r="K1136" t="str">
        <x:v>HINDCAST</x:v>
      </x:c>
      <x:c r="L1136" s="24" t="n">
        <x:v>17.4483</x:v>
      </x:c>
      <x:c r="M1136" s="24" t="n">
        <x:v>78.3915</x:v>
      </x:c>
      <x:c r="N1136" t="str">
        <x:f>IF(I1136&gt;70,"70+ dB",IF(I1136&gt;55,"56-70 dB","41-55 dB"))</x:f>
        <x:v>56-70 dB</x:v>
      </x:c>
      <x:c r="O1136" t="str">
        <x:f>IF(I1136&gt;70,"High",IF(I1136&gt;55,"Moderate","Low"))</x:f>
        <x:v>Moderate</x:v>
      </x:c>
      <x:c r="P1136" t="str">
        <x:f>IF(I1136&gt;=70,"Yes","No")</x:f>
        <x:v>No</x:v>
      </x:c>
      <x:c r="Q1136" t="str">
        <x:f>TEXT(B1136,"yyyy-mm")</x:f>
        <x:v>2023-12</x:v>
      </x:c>
    </x:row>
    <x:row r="1137">
      <x:c r="A1137" t="str">
        <x:v>HYD07</x:v>
      </x:c>
      <x:c r="B1137" s="22" t="n">
        <x:f>DATE(C1137,D1137,1)</x:f>
        <x:v>45292</x:v>
      </x:c>
      <x:c r="C1137" t="n">
        <x:v>2024</x:v>
      </x:c>
      <x:c r="D1137" t="n">
        <x:v>1</x:v>
      </x:c>
      <x:c r="E1137" t="str">
        <x:f>TEXT(B1137,"mmm")</x:f>
        <x:v>Jan</x:v>
      </x:c>
      <x:c r="F1137" t="str">
        <x:f>"Q"&amp;ROUNDUP(D1137/3,0)</x:f>
        <x:v>Q1</x:v>
      </x:c>
      <x:c r="G1137" s="23" t="n">
        <x:v>63.82</x:v>
      </x:c>
      <x:c r="H1137" s="23" t="n">
        <x:v>68.53</x:v>
      </x:c>
      <x:c r="I1137" s="23" t="n">
        <x:v>66.2</x:v>
      </x:c>
      <x:c r="J1137" s="23" t="n">
        <x:f>G1137-H1137</x:f>
        <x:v>-4.710000000000001</x:v>
      </x:c>
      <x:c r="K1137" t="str">
        <x:v>HINDCAST</x:v>
      </x:c>
      <x:c r="L1137" s="24" t="n">
        <x:v>17.4483</x:v>
      </x:c>
      <x:c r="M1137" s="24" t="n">
        <x:v>78.3915</x:v>
      </x:c>
      <x:c r="N1137" t="str">
        <x:f>IF(I1137&gt;70,"70+ dB",IF(I1137&gt;55,"56-70 dB","41-55 dB"))</x:f>
        <x:v>56-70 dB</x:v>
      </x:c>
      <x:c r="O1137" t="str">
        <x:f>IF(I1137&gt;70,"High",IF(I1137&gt;55,"Moderate","Low"))</x:f>
        <x:v>Moderate</x:v>
      </x:c>
      <x:c r="P1137" t="str">
        <x:f>IF(I1137&gt;=70,"Yes","No")</x:f>
        <x:v>No</x:v>
      </x:c>
      <x:c r="Q1137" t="str">
        <x:f>TEXT(B1137,"yyyy-mm")</x:f>
        <x:v>2024-01</x:v>
      </x:c>
    </x:row>
    <x:row r="1138">
      <x:c r="A1138" t="str">
        <x:v>HYD07</x:v>
      </x:c>
      <x:c r="B1138" s="22" t="n">
        <x:f>DATE(C1138,D1138,1)</x:f>
        <x:v>45323</x:v>
      </x:c>
      <x:c r="C1138" t="n">
        <x:v>2024</x:v>
      </x:c>
      <x:c r="D1138" t="n">
        <x:v>2</x:v>
      </x:c>
      <x:c r="E1138" t="str">
        <x:f>TEXT(B1138,"mmm")</x:f>
        <x:v>Feb</x:v>
      </x:c>
      <x:c r="F1138" t="str">
        <x:f>"Q"&amp;ROUNDUP(D1138/3,0)</x:f>
        <x:v>Q1</x:v>
      </x:c>
      <x:c r="G1138" s="23" t="n">
        <x:v>65.43</x:v>
      </x:c>
      <x:c r="H1138" s="23" t="n">
        <x:v>70.35</x:v>
      </x:c>
      <x:c r="I1138" s="23" t="n">
        <x:v>67.9</x:v>
      </x:c>
      <x:c r="J1138" s="23" t="n">
        <x:f>G1138-H1138</x:f>
        <x:v>-4.9199999999999875</x:v>
      </x:c>
      <x:c r="K1138" t="str">
        <x:v>HINDCAST</x:v>
      </x:c>
      <x:c r="L1138" s="24" t="n">
        <x:v>17.4483</x:v>
      </x:c>
      <x:c r="M1138" s="24" t="n">
        <x:v>78.3915</x:v>
      </x:c>
      <x:c r="N1138" t="str">
        <x:f>IF(I1138&gt;70,"70+ dB",IF(I1138&gt;55,"56-70 dB","41-55 dB"))</x:f>
        <x:v>56-70 dB</x:v>
      </x:c>
      <x:c r="O1138" t="str">
        <x:f>IF(I1138&gt;70,"High",IF(I1138&gt;55,"Moderate","Low"))</x:f>
        <x:v>Moderate</x:v>
      </x:c>
      <x:c r="P1138" t="str">
        <x:f>IF(I1138&gt;=70,"Yes","No")</x:f>
        <x:v>No</x:v>
      </x:c>
      <x:c r="Q1138" t="str">
        <x:f>TEXT(B1138,"yyyy-mm")</x:f>
        <x:v>2024-02</x:v>
      </x:c>
    </x:row>
    <x:row r="1139">
      <x:c r="A1139" t="str">
        <x:v>HYD07</x:v>
      </x:c>
      <x:c r="B1139" s="22" t="n">
        <x:f>DATE(C1139,D1139,1)</x:f>
        <x:v>45352</x:v>
      </x:c>
      <x:c r="C1139" t="n">
        <x:v>2024</x:v>
      </x:c>
      <x:c r="D1139" t="n">
        <x:v>3</x:v>
      </x:c>
      <x:c r="E1139" t="str">
        <x:f>TEXT(B1139,"mmm")</x:f>
        <x:v>Mar</x:v>
      </x:c>
      <x:c r="F1139" t="str">
        <x:f>"Q"&amp;ROUNDUP(D1139/3,0)</x:f>
        <x:v>Q1</x:v>
      </x:c>
      <x:c r="G1139" s="23" t="n">
        <x:v>64.35</x:v>
      </x:c>
      <x:c r="H1139" s="23" t="n">
        <x:v>69.98</x:v>
      </x:c>
      <x:c r="I1139" s="23" t="n">
        <x:v>67.2</x:v>
      </x:c>
      <x:c r="J1139" s="23" t="n">
        <x:f>G1139-H1139</x:f>
        <x:v>-5.63000000000001</x:v>
      </x:c>
      <x:c r="K1139" t="str">
        <x:v>HINDCAST</x:v>
      </x:c>
      <x:c r="L1139" s="24" t="n">
        <x:v>17.4483</x:v>
      </x:c>
      <x:c r="M1139" s="24" t="n">
        <x:v>78.3915</x:v>
      </x:c>
      <x:c r="N1139" t="str">
        <x:f>IF(I1139&gt;70,"70+ dB",IF(I1139&gt;55,"56-70 dB","41-55 dB"))</x:f>
        <x:v>56-70 dB</x:v>
      </x:c>
      <x:c r="O1139" t="str">
        <x:f>IF(I1139&gt;70,"High",IF(I1139&gt;55,"Moderate","Low"))</x:f>
        <x:v>Moderate</x:v>
      </x:c>
      <x:c r="P1139" t="str">
        <x:f>IF(I1139&gt;=70,"Yes","No")</x:f>
        <x:v>No</x:v>
      </x:c>
      <x:c r="Q1139" t="str">
        <x:f>TEXT(B1139,"yyyy-mm")</x:f>
        <x:v>2024-03</x:v>
      </x:c>
    </x:row>
    <x:row r="1140">
      <x:c r="A1140" t="str">
        <x:v>HYD07</x:v>
      </x:c>
      <x:c r="B1140" s="22" t="n">
        <x:f>DATE(C1140,D1140,1)</x:f>
        <x:v>45383</x:v>
      </x:c>
      <x:c r="C1140" t="n">
        <x:v>2024</x:v>
      </x:c>
      <x:c r="D1140" t="n">
        <x:v>4</x:v>
      </x:c>
      <x:c r="E1140" t="str">
        <x:f>TEXT(B1140,"mmm")</x:f>
        <x:v>Apr</x:v>
      </x:c>
      <x:c r="F1140" t="str">
        <x:f>"Q"&amp;ROUNDUP(D1140/3,0)</x:f>
        <x:v>Q2</x:v>
      </x:c>
      <x:c r="G1140" s="23" t="n">
        <x:v>63.85</x:v>
      </x:c>
      <x:c r="H1140" s="23" t="n">
        <x:v>71.33</x:v>
      </x:c>
      <x:c r="I1140" s="23" t="n">
        <x:v>67.6</x:v>
      </x:c>
      <x:c r="J1140" s="23" t="n">
        <x:f>G1140-H1140</x:f>
        <x:v>-7.479999999999997</x:v>
      </x:c>
      <x:c r="K1140" t="str">
        <x:v>HINDCAST</x:v>
      </x:c>
      <x:c r="L1140" s="24" t="n">
        <x:v>17.4483</x:v>
      </x:c>
      <x:c r="M1140" s="24" t="n">
        <x:v>78.3915</x:v>
      </x:c>
      <x:c r="N1140" t="str">
        <x:f>IF(I1140&gt;70,"70+ dB",IF(I1140&gt;55,"56-70 dB","41-55 dB"))</x:f>
        <x:v>56-70 dB</x:v>
      </x:c>
      <x:c r="O1140" t="str">
        <x:f>IF(I1140&gt;70,"High",IF(I1140&gt;55,"Moderate","Low"))</x:f>
        <x:v>Moderate</x:v>
      </x:c>
      <x:c r="P1140" t="str">
        <x:f>IF(I1140&gt;=70,"Yes","No")</x:f>
        <x:v>No</x:v>
      </x:c>
      <x:c r="Q1140" t="str">
        <x:f>TEXT(B1140,"yyyy-mm")</x:f>
        <x:v>2024-04</x:v>
      </x:c>
    </x:row>
    <x:row r="1141">
      <x:c r="A1141" t="str">
        <x:v>HYD07</x:v>
      </x:c>
      <x:c r="B1141" s="22" t="n">
        <x:f>DATE(C1141,D1141,1)</x:f>
        <x:v>45413</x:v>
      </x:c>
      <x:c r="C1141" t="n">
        <x:v>2024</x:v>
      </x:c>
      <x:c r="D1141" t="n">
        <x:v>5</x:v>
      </x:c>
      <x:c r="E1141" t="str">
        <x:f>TEXT(B1141,"mmm")</x:f>
        <x:v>May</x:v>
      </x:c>
      <x:c r="F1141" t="str">
        <x:f>"Q"&amp;ROUNDUP(D1141/3,0)</x:f>
        <x:v>Q2</x:v>
      </x:c>
      <x:c r="G1141" s="23" t="n">
        <x:v>65.06</x:v>
      </x:c>
      <x:c r="H1141" s="23" t="n">
        <x:v>73.44</x:v>
      </x:c>
      <x:c r="I1141" s="23" t="n">
        <x:v>69.2</x:v>
      </x:c>
      <x:c r="J1141" s="23" t="n">
        <x:f>G1141-H1141</x:f>
        <x:v>-8.379999999999995</x:v>
      </x:c>
      <x:c r="K1141" t="str">
        <x:v>HINDCAST</x:v>
      </x:c>
      <x:c r="L1141" s="24" t="n">
        <x:v>17.4483</x:v>
      </x:c>
      <x:c r="M1141" s="24" t="n">
        <x:v>78.3915</x:v>
      </x:c>
      <x:c r="N1141" t="str">
        <x:f>IF(I1141&gt;70,"70+ dB",IF(I1141&gt;55,"56-70 dB","41-55 dB"))</x:f>
        <x:v>56-70 dB</x:v>
      </x:c>
      <x:c r="O1141" t="str">
        <x:f>IF(I1141&gt;70,"High",IF(I1141&gt;55,"Moderate","Low"))</x:f>
        <x:v>Moderate</x:v>
      </x:c>
      <x:c r="P1141" t="str">
        <x:f>IF(I1141&gt;=70,"Yes","No")</x:f>
        <x:v>No</x:v>
      </x:c>
      <x:c r="Q1141" t="str">
        <x:f>TEXT(B1141,"yyyy-mm")</x:f>
        <x:v>2024-05</x:v>
      </x:c>
    </x:row>
    <x:row r="1142">
      <x:c r="A1142" t="str">
        <x:v>HYD07</x:v>
      </x:c>
      <x:c r="B1142" s="22" t="n">
        <x:f>DATE(C1142,D1142,1)</x:f>
        <x:v>45444</x:v>
      </x:c>
      <x:c r="C1142" t="n">
        <x:v>2024</x:v>
      </x:c>
      <x:c r="D1142" t="n">
        <x:v>6</x:v>
      </x:c>
      <x:c r="E1142" t="str">
        <x:f>TEXT(B1142,"mmm")</x:f>
        <x:v>Jun</x:v>
      </x:c>
      <x:c r="F1142" t="str">
        <x:f>"Q"&amp;ROUNDUP(D1142/3,0)</x:f>
        <x:v>Q2</x:v>
      </x:c>
      <x:c r="G1142" s="23" t="n">
        <x:v>68.82</x:v>
      </x:c>
      <x:c r="H1142" s="23" t="n">
        <x:v>74.24</x:v>
      </x:c>
      <x:c r="I1142" s="23" t="n">
        <x:v>71.5</x:v>
      </x:c>
      <x:c r="J1142" s="23" t="n">
        <x:f>G1142-H1142</x:f>
        <x:v>-5.420000000000002</x:v>
      </x:c>
      <x:c r="K1142" t="str">
        <x:v>HINDCAST</x:v>
      </x:c>
      <x:c r="L1142" s="24" t="n">
        <x:v>17.4483</x:v>
      </x:c>
      <x:c r="M1142" s="24" t="n">
        <x:v>78.3915</x:v>
      </x:c>
      <x:c r="N1142" t="str">
        <x:f>IF(I1142&gt;70,"70+ dB",IF(I1142&gt;55,"56-70 dB","41-55 dB"))</x:f>
        <x:v>70+ dB</x:v>
      </x:c>
      <x:c r="O1142" t="str">
        <x:f>IF(I1142&gt;70,"High",IF(I1142&gt;55,"Moderate","Low"))</x:f>
        <x:v>High</x:v>
      </x:c>
      <x:c r="P1142" t="str">
        <x:f>IF(I1142&gt;=70,"Yes","No")</x:f>
        <x:v>Yes</x:v>
      </x:c>
      <x:c r="Q1142" t="str">
        <x:f>TEXT(B1142,"yyyy-mm")</x:f>
        <x:v>2024-06</x:v>
      </x:c>
    </x:row>
    <x:row r="1143">
      <x:c r="A1143" t="str">
        <x:v>HYD07</x:v>
      </x:c>
      <x:c r="B1143" s="22" t="n">
        <x:f>DATE(C1143,D1143,1)</x:f>
        <x:v>45474</x:v>
      </x:c>
      <x:c r="C1143" t="n">
        <x:v>2024</x:v>
      </x:c>
      <x:c r="D1143" t="n">
        <x:v>7</x:v>
      </x:c>
      <x:c r="E1143" t="str">
        <x:f>TEXT(B1143,"mmm")</x:f>
        <x:v>Jul</x:v>
      </x:c>
      <x:c r="F1143" t="str">
        <x:f>"Q"&amp;ROUNDUP(D1143/3,0)</x:f>
        <x:v>Q3</x:v>
      </x:c>
      <x:c r="G1143" s="23" t="n">
        <x:v>70.54</x:v>
      </x:c>
      <x:c r="H1143" s="23" t="n">
        <x:v>75.09</x:v>
      </x:c>
      <x:c r="I1143" s="23" t="n">
        <x:v>72.8</x:v>
      </x:c>
      <x:c r="J1143" s="23" t="n">
        <x:f>G1143-H1143</x:f>
        <x:v>-4.549999999999997</x:v>
      </x:c>
      <x:c r="K1143" t="str">
        <x:v>HINDCAST</x:v>
      </x:c>
      <x:c r="L1143" s="24" t="n">
        <x:v>17.4483</x:v>
      </x:c>
      <x:c r="M1143" s="24" t="n">
        <x:v>78.3915</x:v>
      </x:c>
      <x:c r="N1143" t="str">
        <x:f>IF(I1143&gt;70,"70+ dB",IF(I1143&gt;55,"56-70 dB","41-55 dB"))</x:f>
        <x:v>70+ dB</x:v>
      </x:c>
      <x:c r="O1143" t="str">
        <x:f>IF(I1143&gt;70,"High",IF(I1143&gt;55,"Moderate","Low"))</x:f>
        <x:v>High</x:v>
      </x:c>
      <x:c r="P1143" t="str">
        <x:f>IF(I1143&gt;=70,"Yes","No")</x:f>
        <x:v>Yes</x:v>
      </x:c>
      <x:c r="Q1143" t="str">
        <x:f>TEXT(B1143,"yyyy-mm")</x:f>
        <x:v>2024-07</x:v>
      </x:c>
    </x:row>
    <x:row r="1144">
      <x:c r="A1144" t="str">
        <x:v>HYD07</x:v>
      </x:c>
      <x:c r="B1144" s="22" t="n">
        <x:f>DATE(C1144,D1144,1)</x:f>
        <x:v>45505</x:v>
      </x:c>
      <x:c r="C1144" t="n">
        <x:v>2024</x:v>
      </x:c>
      <x:c r="D1144" t="n">
        <x:v>8</x:v>
      </x:c>
      <x:c r="E1144" t="str">
        <x:f>TEXT(B1144,"mmm")</x:f>
        <x:v>Aug</x:v>
      </x:c>
      <x:c r="F1144" t="str">
        <x:f>"Q"&amp;ROUNDUP(D1144/3,0)</x:f>
        <x:v>Q3</x:v>
      </x:c>
      <x:c r="G1144" s="23" t="n">
        <x:v>70.82</x:v>
      </x:c>
      <x:c r="H1144" s="23" t="n">
        <x:v>73.94</x:v>
      </x:c>
      <x:c r="I1144" s="23" t="n">
        <x:v>72.4</x:v>
      </x:c>
      <x:c r="J1144" s="23" t="n">
        <x:f>G1144-H1144</x:f>
        <x:v>-3.1200000000000045</x:v>
      </x:c>
      <x:c r="K1144" t="str">
        <x:v>HINDCAST</x:v>
      </x:c>
      <x:c r="L1144" s="24" t="n">
        <x:v>17.4483</x:v>
      </x:c>
      <x:c r="M1144" s="24" t="n">
        <x:v>78.3915</x:v>
      </x:c>
      <x:c r="N1144" t="str">
        <x:f>IF(I1144&gt;70,"70+ dB",IF(I1144&gt;55,"56-70 dB","41-55 dB"))</x:f>
        <x:v>70+ dB</x:v>
      </x:c>
      <x:c r="O1144" t="str">
        <x:f>IF(I1144&gt;70,"High",IF(I1144&gt;55,"Moderate","Low"))</x:f>
        <x:v>High</x:v>
      </x:c>
      <x:c r="P1144" t="str">
        <x:f>IF(I1144&gt;=70,"Yes","No")</x:f>
        <x:v>Yes</x:v>
      </x:c>
      <x:c r="Q1144" t="str">
        <x:f>TEXT(B1144,"yyyy-mm")</x:f>
        <x:v>2024-08</x:v>
      </x:c>
    </x:row>
    <x:row r="1145">
      <x:c r="A1145" t="str">
        <x:v>HYD07</x:v>
      </x:c>
      <x:c r="B1145" s="22" t="n">
        <x:f>DATE(C1145,D1145,1)</x:f>
        <x:v>45536</x:v>
      </x:c>
      <x:c r="C1145" t="n">
        <x:v>2024</x:v>
      </x:c>
      <x:c r="D1145" t="n">
        <x:v>9</x:v>
      </x:c>
      <x:c r="E1145" t="str">
        <x:f>TEXT(B1145,"mmm")</x:f>
        <x:v>Sep</x:v>
      </x:c>
      <x:c r="F1145" t="str">
        <x:f>"Q"&amp;ROUNDUP(D1145/3,0)</x:f>
        <x:v>Q3</x:v>
      </x:c>
      <x:c r="G1145" s="23" t="n">
        <x:v>70.32</x:v>
      </x:c>
      <x:c r="H1145" s="23" t="n">
        <x:v>71.56</x:v>
      </x:c>
      <x:c r="I1145" s="23" t="n">
        <x:v>70.9</x:v>
      </x:c>
      <x:c r="J1145" s="23" t="n">
        <x:f>G1145-H1145</x:f>
        <x:v>-1.240000000000009</x:v>
      </x:c>
      <x:c r="K1145" t="str">
        <x:v>HINDCAST</x:v>
      </x:c>
      <x:c r="L1145" s="24" t="n">
        <x:v>17.4483</x:v>
      </x:c>
      <x:c r="M1145" s="24" t="n">
        <x:v>78.3915</x:v>
      </x:c>
      <x:c r="N1145" t="str">
        <x:f>IF(I1145&gt;70,"70+ dB",IF(I1145&gt;55,"56-70 dB","41-55 dB"))</x:f>
        <x:v>70+ dB</x:v>
      </x:c>
      <x:c r="O1145" t="str">
        <x:f>IF(I1145&gt;70,"High",IF(I1145&gt;55,"Moderate","Low"))</x:f>
        <x:v>High</x:v>
      </x:c>
      <x:c r="P1145" t="str">
        <x:f>IF(I1145&gt;=70,"Yes","No")</x:f>
        <x:v>Yes</x:v>
      </x:c>
      <x:c r="Q1145" t="str">
        <x:f>TEXT(B1145,"yyyy-mm")</x:f>
        <x:v>2024-09</x:v>
      </x:c>
    </x:row>
    <x:row r="1146">
      <x:c r="A1146" t="str">
        <x:v>HYD07</x:v>
      </x:c>
      <x:c r="B1146" s="22" t="n">
        <x:f>DATE(C1146,D1146,1)</x:f>
        <x:v>45566</x:v>
      </x:c>
      <x:c r="C1146" t="n">
        <x:v>2024</x:v>
      </x:c>
      <x:c r="D1146" t="n">
        <x:v>10</x:v>
      </x:c>
      <x:c r="E1146" t="str">
        <x:f>TEXT(B1146,"mmm")</x:f>
        <x:v>Oct</x:v>
      </x:c>
      <x:c r="F1146" t="str">
        <x:f>"Q"&amp;ROUNDUP(D1146/3,0)</x:f>
        <x:v>Q4</x:v>
      </x:c>
      <x:c r="G1146" s="23" t="n">
        <x:v>68.36</x:v>
      </x:c>
      <x:c r="H1146" s="23" t="n">
        <x:v>73.13</x:v>
      </x:c>
      <x:c r="I1146" s="23" t="n">
        <x:v>70.7</x:v>
      </x:c>
      <x:c r="J1146" s="23" t="n">
        <x:f>G1146-H1146</x:f>
        <x:v>-4.769999999999996</x:v>
      </x:c>
      <x:c r="K1146" t="str">
        <x:v>HINDCAST</x:v>
      </x:c>
      <x:c r="L1146" s="24" t="n">
        <x:v>17.4483</x:v>
      </x:c>
      <x:c r="M1146" s="24" t="n">
        <x:v>78.3915</x:v>
      </x:c>
      <x:c r="N1146" t="str">
        <x:f>IF(I1146&gt;70,"70+ dB",IF(I1146&gt;55,"56-70 dB","41-55 dB"))</x:f>
        <x:v>70+ dB</x:v>
      </x:c>
      <x:c r="O1146" t="str">
        <x:f>IF(I1146&gt;70,"High",IF(I1146&gt;55,"Moderate","Low"))</x:f>
        <x:v>High</x:v>
      </x:c>
      <x:c r="P1146" t="str">
        <x:f>IF(I1146&gt;=70,"Yes","No")</x:f>
        <x:v>Yes</x:v>
      </x:c>
      <x:c r="Q1146" t="str">
        <x:f>TEXT(B1146,"yyyy-mm")</x:f>
        <x:v>2024-10</x:v>
      </x:c>
    </x:row>
    <x:row r="1147">
      <x:c r="A1147" t="str">
        <x:v>HYD07</x:v>
      </x:c>
      <x:c r="B1147" s="22" t="n">
        <x:f>DATE(C1147,D1147,1)</x:f>
        <x:v>45597</x:v>
      </x:c>
      <x:c r="C1147" t="n">
        <x:v>2024</x:v>
      </x:c>
      <x:c r="D1147" t="n">
        <x:v>11</x:v>
      </x:c>
      <x:c r="E1147" t="str">
        <x:f>TEXT(B1147,"mmm")</x:f>
        <x:v>Nov</x:v>
      </x:c>
      <x:c r="F1147" t="str">
        <x:f>"Q"&amp;ROUNDUP(D1147/3,0)</x:f>
        <x:v>Q4</x:v>
      </x:c>
      <x:c r="G1147" s="23" t="n">
        <x:v>68.9</x:v>
      </x:c>
      <x:c r="H1147" s="23" t="n">
        <x:v>71.51</x:v>
      </x:c>
      <x:c r="I1147" s="23" t="n">
        <x:v>70.2</x:v>
      </x:c>
      <x:c r="J1147" s="23" t="n">
        <x:f>G1147-H1147</x:f>
        <x:v>-2.6099999999999994</x:v>
      </x:c>
      <x:c r="K1147" t="str">
        <x:v>HINDCAST</x:v>
      </x:c>
      <x:c r="L1147" s="24" t="n">
        <x:v>17.4483</x:v>
      </x:c>
      <x:c r="M1147" s="24" t="n">
        <x:v>78.3915</x:v>
      </x:c>
      <x:c r="N1147" t="str">
        <x:f>IF(I1147&gt;70,"70+ dB",IF(I1147&gt;55,"56-70 dB","41-55 dB"))</x:f>
        <x:v>70+ dB</x:v>
      </x:c>
      <x:c r="O1147" t="str">
        <x:f>IF(I1147&gt;70,"High",IF(I1147&gt;55,"Moderate","Low"))</x:f>
        <x:v>High</x:v>
      </x:c>
      <x:c r="P1147" t="str">
        <x:f>IF(I1147&gt;=70,"Yes","No")</x:f>
        <x:v>Yes</x:v>
      </x:c>
      <x:c r="Q1147" t="str">
        <x:f>TEXT(B1147,"yyyy-mm")</x:f>
        <x:v>2024-11</x:v>
      </x:c>
    </x:row>
    <x:row r="1148">
      <x:c r="A1148" t="str">
        <x:v>HYD07</x:v>
      </x:c>
      <x:c r="B1148" s="22" t="n">
        <x:f>DATE(C1148,D1148,1)</x:f>
        <x:v>45627</x:v>
      </x:c>
      <x:c r="C1148" t="n">
        <x:v>2024</x:v>
      </x:c>
      <x:c r="D1148" t="n">
        <x:v>12</x:v>
      </x:c>
      <x:c r="E1148" t="str">
        <x:f>TEXT(B1148,"mmm")</x:f>
        <x:v>Dec</x:v>
      </x:c>
      <x:c r="F1148" t="str">
        <x:f>"Q"&amp;ROUNDUP(D1148/3,0)</x:f>
        <x:v>Q4</x:v>
      </x:c>
      <x:c r="G1148" s="23" t="n">
        <x:v>62.12</x:v>
      </x:c>
      <x:c r="H1148" s="23" t="n">
        <x:v>68.09</x:v>
      </x:c>
      <x:c r="I1148" s="23" t="n">
        <x:v>65.1</x:v>
      </x:c>
      <x:c r="J1148" s="23" t="n">
        <x:f>G1148-H1148</x:f>
        <x:v>-5.970000000000006</x:v>
      </x:c>
      <x:c r="K1148" t="str">
        <x:v>HINDCAST</x:v>
      </x:c>
      <x:c r="L1148" s="24" t="n">
        <x:v>17.4483</x:v>
      </x:c>
      <x:c r="M1148" s="24" t="n">
        <x:v>78.3915</x:v>
      </x:c>
      <x:c r="N1148" t="str">
        <x:f>IF(I1148&gt;70,"70+ dB",IF(I1148&gt;55,"56-70 dB","41-55 dB"))</x:f>
        <x:v>56-70 dB</x:v>
      </x:c>
      <x:c r="O1148" t="str">
        <x:f>IF(I1148&gt;70,"High",IF(I1148&gt;55,"Moderate","Low"))</x:f>
        <x:v>Moderate</x:v>
      </x:c>
      <x:c r="P1148" t="str">
        <x:f>IF(I1148&gt;=70,"Yes","No")</x:f>
        <x:v>No</x:v>
      </x:c>
      <x:c r="Q1148" t="str">
        <x:f>TEXT(B1148,"yyyy-mm")</x:f>
        <x:v>2024-12</x:v>
      </x:c>
    </x:row>
    <x:row r="1149">
      <x:c r="A1149" t="str">
        <x:v>HYD07</x:v>
      </x:c>
      <x:c r="B1149" s="22" t="n">
        <x:f>DATE(C1149,D1149,1)</x:f>
        <x:v>45658</x:v>
      </x:c>
      <x:c r="C1149" t="n">
        <x:v>2025</x:v>
      </x:c>
      <x:c r="D1149" t="n">
        <x:v>1</x:v>
      </x:c>
      <x:c r="E1149" t="str">
        <x:f>TEXT(B1149,"mmm")</x:f>
        <x:v>Jan</x:v>
      </x:c>
      <x:c r="F1149" t="str">
        <x:f>"Q"&amp;ROUNDUP(D1149/3,0)</x:f>
        <x:v>Q1</x:v>
      </x:c>
      <x:c r="G1149" s="23" t="n">
        <x:v>63.26</x:v>
      </x:c>
      <x:c r="H1149" s="23" t="n">
        <x:v>70.29</x:v>
      </x:c>
      <x:c r="I1149" s="23" t="n">
        <x:v>66.8</x:v>
      </x:c>
      <x:c r="J1149" s="23" t="n">
        <x:f>G1149-H1149</x:f>
        <x:v>-7.030000000000008</x:v>
      </x:c>
      <x:c r="K1149" t="str">
        <x:v>HINDCAST</x:v>
      </x:c>
      <x:c r="L1149" s="24" t="n">
        <x:v>17.4483</x:v>
      </x:c>
      <x:c r="M1149" s="24" t="n">
        <x:v>78.3915</x:v>
      </x:c>
      <x:c r="N1149" t="str">
        <x:f>IF(I1149&gt;70,"70+ dB",IF(I1149&gt;55,"56-70 dB","41-55 dB"))</x:f>
        <x:v>56-70 dB</x:v>
      </x:c>
      <x:c r="O1149" t="str">
        <x:f>IF(I1149&gt;70,"High",IF(I1149&gt;55,"Moderate","Low"))</x:f>
        <x:v>Moderate</x:v>
      </x:c>
      <x:c r="P1149" t="str">
        <x:f>IF(I1149&gt;=70,"Yes","No")</x:f>
        <x:v>No</x:v>
      </x:c>
      <x:c r="Q1149" t="str">
        <x:f>TEXT(B1149,"yyyy-mm")</x:f>
        <x:v>2025-01</x:v>
      </x:c>
    </x:row>
    <x:row r="1150">
      <x:c r="A1150" t="str">
        <x:v>HYD07</x:v>
      </x:c>
      <x:c r="B1150" s="22" t="n">
        <x:f>DATE(C1150,D1150,1)</x:f>
        <x:v>45689</x:v>
      </x:c>
      <x:c r="C1150" t="n">
        <x:v>2025</x:v>
      </x:c>
      <x:c r="D1150" t="n">
        <x:v>2</x:v>
      </x:c>
      <x:c r="E1150" t="str">
        <x:f>TEXT(B1150,"mmm")</x:f>
        <x:v>Feb</x:v>
      </x:c>
      <x:c r="F1150" t="str">
        <x:f>"Q"&amp;ROUNDUP(D1150/3,0)</x:f>
        <x:v>Q1</x:v>
      </x:c>
      <x:c r="G1150" s="23" t="n">
        <x:v>64.81</x:v>
      </x:c>
      <x:c r="H1150" s="23" t="n">
        <x:v>71.8</x:v>
      </x:c>
      <x:c r="I1150" s="23" t="n">
        <x:v>68.3</x:v>
      </x:c>
      <x:c r="J1150" s="23" t="n">
        <x:f>G1150-H1150</x:f>
        <x:v>-6.989999999999995</x:v>
      </x:c>
      <x:c r="K1150" t="str">
        <x:v>HINDCAST</x:v>
      </x:c>
      <x:c r="L1150" s="24" t="n">
        <x:v>17.4483</x:v>
      </x:c>
      <x:c r="M1150" s="24" t="n">
        <x:v>78.3915</x:v>
      </x:c>
      <x:c r="N1150" t="str">
        <x:f>IF(I1150&gt;70,"70+ dB",IF(I1150&gt;55,"56-70 dB","41-55 dB"))</x:f>
        <x:v>56-70 dB</x:v>
      </x:c>
      <x:c r="O1150" t="str">
        <x:f>IF(I1150&gt;70,"High",IF(I1150&gt;55,"Moderate","Low"))</x:f>
        <x:v>Moderate</x:v>
      </x:c>
      <x:c r="P1150" t="str">
        <x:f>IF(I1150&gt;=70,"Yes","No")</x:f>
        <x:v>No</x:v>
      </x:c>
      <x:c r="Q1150" t="str">
        <x:f>TEXT(B1150,"yyyy-mm")</x:f>
        <x:v>2025-02</x:v>
      </x:c>
    </x:row>
    <x:row r="1151">
      <x:c r="A1151" t="str">
        <x:v>HYD07</x:v>
      </x:c>
      <x:c r="B1151" s="22" t="n">
        <x:f>DATE(C1151,D1151,1)</x:f>
        <x:v>45717</x:v>
      </x:c>
      <x:c r="C1151" t="n">
        <x:v>2025</x:v>
      </x:c>
      <x:c r="D1151" t="n">
        <x:v>3</x:v>
      </x:c>
      <x:c r="E1151" t="str">
        <x:f>TEXT(B1151,"mmm")</x:f>
        <x:v>Mar</x:v>
      </x:c>
      <x:c r="F1151" t="str">
        <x:f>"Q"&amp;ROUNDUP(D1151/3,0)</x:f>
        <x:v>Q1</x:v>
      </x:c>
      <x:c r="G1151" s="23" t="n">
        <x:v>63.75</x:v>
      </x:c>
      <x:c r="H1151" s="23" t="n">
        <x:v>71.56</x:v>
      </x:c>
      <x:c r="I1151" s="23" t="n">
        <x:v>67.7</x:v>
      </x:c>
      <x:c r="J1151" s="23" t="n">
        <x:f>G1151-H1151</x:f>
        <x:v>-7.810000000000002</x:v>
      </x:c>
      <x:c r="K1151" t="str">
        <x:v>HINDCAST</x:v>
      </x:c>
      <x:c r="L1151" s="24" t="n">
        <x:v>17.4483</x:v>
      </x:c>
      <x:c r="M1151" s="24" t="n">
        <x:v>78.3915</x:v>
      </x:c>
      <x:c r="N1151" t="str">
        <x:f>IF(I1151&gt;70,"70+ dB",IF(I1151&gt;55,"56-70 dB","41-55 dB"))</x:f>
        <x:v>56-70 dB</x:v>
      </x:c>
      <x:c r="O1151" t="str">
        <x:f>IF(I1151&gt;70,"High",IF(I1151&gt;55,"Moderate","Low"))</x:f>
        <x:v>Moderate</x:v>
      </x:c>
      <x:c r="P1151" t="str">
        <x:f>IF(I1151&gt;=70,"Yes","No")</x:f>
        <x:v>No</x:v>
      </x:c>
      <x:c r="Q1151" t="str">
        <x:f>TEXT(B1151,"yyyy-mm")</x:f>
        <x:v>2025-03</x:v>
      </x:c>
    </x:row>
    <x:row r="1152">
      <x:c r="A1152" t="str">
        <x:v>HYD07</x:v>
      </x:c>
      <x:c r="B1152" s="22" t="n">
        <x:f>DATE(C1152,D1152,1)</x:f>
        <x:v>45748</x:v>
      </x:c>
      <x:c r="C1152" t="n">
        <x:v>2025</x:v>
      </x:c>
      <x:c r="D1152" t="n">
        <x:v>4</x:v>
      </x:c>
      <x:c r="E1152" t="str">
        <x:f>TEXT(B1152,"mmm")</x:f>
        <x:v>Apr</x:v>
      </x:c>
      <x:c r="F1152" t="str">
        <x:f>"Q"&amp;ROUNDUP(D1152/3,0)</x:f>
        <x:v>Q2</x:v>
      </x:c>
      <x:c r="G1152" s="23" t="n">
        <x:v>63.3</x:v>
      </x:c>
      <x:c r="H1152" s="23" t="n">
        <x:v>72.89</x:v>
      </x:c>
      <x:c r="I1152" s="23" t="n">
        <x:v>68.1</x:v>
      </x:c>
      <x:c r="J1152" s="23" t="n">
        <x:f>G1152-H1152</x:f>
        <x:v>-9.590000000000003</x:v>
      </x:c>
      <x:c r="K1152" t="str">
        <x:v>HINDCAST</x:v>
      </x:c>
      <x:c r="L1152" s="24" t="n">
        <x:v>17.4483</x:v>
      </x:c>
      <x:c r="M1152" s="24" t="n">
        <x:v>78.3915</x:v>
      </x:c>
      <x:c r="N1152" t="str">
        <x:f>IF(I1152&gt;70,"70+ dB",IF(I1152&gt;55,"56-70 dB","41-55 dB"))</x:f>
        <x:v>56-70 dB</x:v>
      </x:c>
      <x:c r="O1152" t="str">
        <x:f>IF(I1152&gt;70,"High",IF(I1152&gt;55,"Moderate","Low"))</x:f>
        <x:v>Moderate</x:v>
      </x:c>
      <x:c r="P1152" t="str">
        <x:f>IF(I1152&gt;=70,"Yes","No")</x:f>
        <x:v>No</x:v>
      </x:c>
      <x:c r="Q1152" t="str">
        <x:f>TEXT(B1152,"yyyy-mm")</x:f>
        <x:v>2025-04</x:v>
      </x:c>
    </x:row>
    <x:row r="1153">
      <x:c r="A1153" t="str">
        <x:v>HYD07</x:v>
      </x:c>
      <x:c r="B1153" s="22" t="n">
        <x:f>DATE(C1153,D1153,1)</x:f>
        <x:v>45778</x:v>
      </x:c>
      <x:c r="C1153" t="n">
        <x:v>2025</x:v>
      </x:c>
      <x:c r="D1153" t="n">
        <x:v>5</x:v>
      </x:c>
      <x:c r="E1153" t="str">
        <x:f>TEXT(B1153,"mmm")</x:f>
        <x:v>May</x:v>
      </x:c>
      <x:c r="F1153" t="str">
        <x:f>"Q"&amp;ROUNDUP(D1153/3,0)</x:f>
        <x:v>Q2</x:v>
      </x:c>
      <x:c r="G1153" s="23" t="n">
        <x:v>64.49</x:v>
      </x:c>
      <x:c r="H1153" s="23" t="n">
        <x:v>75.04</x:v>
      </x:c>
      <x:c r="I1153" s="23" t="n">
        <x:v>69.8</x:v>
      </x:c>
      <x:c r="J1153" s="23" t="n">
        <x:f>G1153-H1153</x:f>
        <x:v>-10.550000000000011</x:v>
      </x:c>
      <x:c r="K1153" t="str">
        <x:v>HINDCAST</x:v>
      </x:c>
      <x:c r="L1153" s="24" t="n">
        <x:v>17.4483</x:v>
      </x:c>
      <x:c r="M1153" s="24" t="n">
        <x:v>78.3915</x:v>
      </x:c>
      <x:c r="N1153" t="str">
        <x:f>IF(I1153&gt;70,"70+ dB",IF(I1153&gt;55,"56-70 dB","41-55 dB"))</x:f>
        <x:v>56-70 dB</x:v>
      </x:c>
      <x:c r="O1153" t="str">
        <x:f>IF(I1153&gt;70,"High",IF(I1153&gt;55,"Moderate","Low"))</x:f>
        <x:v>Moderate</x:v>
      </x:c>
      <x:c r="P1153" t="str">
        <x:f>IF(I1153&gt;=70,"Yes","No")</x:f>
        <x:v>No</x:v>
      </x:c>
      <x:c r="Q1153" t="str">
        <x:f>TEXT(B1153,"yyyy-mm")</x:f>
        <x:v>2025-05</x:v>
      </x:c>
    </x:row>
    <x:row r="1154">
      <x:c r="A1154" t="str">
        <x:v>HYD07</x:v>
      </x:c>
      <x:c r="B1154" s="22" t="n">
        <x:f>DATE(C1154,D1154,1)</x:f>
        <x:v>45809</x:v>
      </x:c>
      <x:c r="C1154" t="n">
        <x:v>2025</x:v>
      </x:c>
      <x:c r="D1154" t="n">
        <x:v>6</x:v>
      </x:c>
      <x:c r="E1154" t="str">
        <x:f>TEXT(B1154,"mmm")</x:f>
        <x:v>Jun</x:v>
      </x:c>
      <x:c r="F1154" t="str">
        <x:f>"Q"&amp;ROUNDUP(D1154/3,0)</x:f>
        <x:v>Q2</x:v>
      </x:c>
      <x:c r="G1154" s="23" t="n">
        <x:v>68.07</x:v>
      </x:c>
      <x:c r="H1154" s="23" t="n">
        <x:v>75.17</x:v>
      </x:c>
      <x:c r="I1154" s="23" t="n">
        <x:v>71.6</x:v>
      </x:c>
      <x:c r="J1154" s="23" t="n">
        <x:f>G1154-H1154</x:f>
        <x:v>-7.1000000000000085</x:v>
      </x:c>
      <x:c r="K1154" t="str">
        <x:v>HINDCAST</x:v>
      </x:c>
      <x:c r="L1154" s="24" t="n">
        <x:v>17.4483</x:v>
      </x:c>
      <x:c r="M1154" s="24" t="n">
        <x:v>78.3915</x:v>
      </x:c>
      <x:c r="N1154" t="str">
        <x:f>IF(I1154&gt;70,"70+ dB",IF(I1154&gt;55,"56-70 dB","41-55 dB"))</x:f>
        <x:v>70+ dB</x:v>
      </x:c>
      <x:c r="O1154" t="str">
        <x:f>IF(I1154&gt;70,"High",IF(I1154&gt;55,"Moderate","Low"))</x:f>
        <x:v>High</x:v>
      </x:c>
      <x:c r="P1154" t="str">
        <x:f>IF(I1154&gt;=70,"Yes","No")</x:f>
        <x:v>Yes</x:v>
      </x:c>
      <x:c r="Q1154" t="str">
        <x:f>TEXT(B1154,"yyyy-mm")</x:f>
        <x:v>2025-06</x:v>
      </x:c>
    </x:row>
    <x:row r="1155">
      <x:c r="A1155" t="str">
        <x:v>HYD07</x:v>
      </x:c>
      <x:c r="B1155" s="22" t="n">
        <x:f>DATE(C1155,D1155,1)</x:f>
        <x:v>45839</x:v>
      </x:c>
      <x:c r="C1155" t="n">
        <x:v>2025</x:v>
      </x:c>
      <x:c r="D1155" t="n">
        <x:v>7</x:v>
      </x:c>
      <x:c r="E1155" t="str">
        <x:f>TEXT(B1155,"mmm")</x:f>
        <x:v>Jul</x:v>
      </x:c>
      <x:c r="F1155" t="str">
        <x:f>"Q"&amp;ROUNDUP(D1155/3,0)</x:f>
        <x:v>Q3</x:v>
      </x:c>
      <x:c r="G1155" s="23" t="n">
        <x:v>69.78</x:v>
      </x:c>
      <x:c r="H1155" s="23" t="n">
        <x:v>76.1</x:v>
      </x:c>
      <x:c r="I1155" s="23" t="n">
        <x:v>72.9</x:v>
      </x:c>
      <x:c r="J1155" s="23" t="n">
        <x:f>G1155-H1155</x:f>
        <x:v>-6.319999999999993</x:v>
      </x:c>
      <x:c r="K1155" t="str">
        <x:v>HINDCAST</x:v>
      </x:c>
      <x:c r="L1155" s="24" t="n">
        <x:v>17.4483</x:v>
      </x:c>
      <x:c r="M1155" s="24" t="n">
        <x:v>78.3915</x:v>
      </x:c>
      <x:c r="N1155" t="str">
        <x:f>IF(I1155&gt;70,"70+ dB",IF(I1155&gt;55,"56-70 dB","41-55 dB"))</x:f>
        <x:v>70+ dB</x:v>
      </x:c>
      <x:c r="O1155" t="str">
        <x:f>IF(I1155&gt;70,"High",IF(I1155&gt;55,"Moderate","Low"))</x:f>
        <x:v>High</x:v>
      </x:c>
      <x:c r="P1155" t="str">
        <x:f>IF(I1155&gt;=70,"Yes","No")</x:f>
        <x:v>Yes</x:v>
      </x:c>
      <x:c r="Q1155" t="str">
        <x:f>TEXT(B1155,"yyyy-mm")</x:f>
        <x:v>2025-07</x:v>
      </x:c>
    </x:row>
    <x:row r="1156">
      <x:c r="A1156" t="str">
        <x:v>HYD07</x:v>
      </x:c>
      <x:c r="B1156" s="22" t="n">
        <x:f>DATE(C1156,D1156,1)</x:f>
        <x:v>45870</x:v>
      </x:c>
      <x:c r="C1156" t="n">
        <x:v>2025</x:v>
      </x:c>
      <x:c r="D1156" t="n">
        <x:v>8</x:v>
      </x:c>
      <x:c r="E1156" t="str">
        <x:f>TEXT(B1156,"mmm")</x:f>
        <x:v>Aug</x:v>
      </x:c>
      <x:c r="F1156" t="str">
        <x:f>"Q"&amp;ROUNDUP(D1156/3,0)</x:f>
        <x:v>Q3</x:v>
      </x:c>
      <x:c r="G1156" s="23" t="n">
        <x:v>70.31</x:v>
      </x:c>
      <x:c r="H1156" s="23" t="n">
        <x:v>75.56</x:v>
      </x:c>
      <x:c r="I1156" s="23" t="n">
        <x:v>72.9</x:v>
      </x:c>
      <x:c r="J1156" s="23" t="n">
        <x:f>G1156-H1156</x:f>
        <x:v>-5.25</x:v>
      </x:c>
      <x:c r="K1156" t="str">
        <x:v>HINDCAST</x:v>
      </x:c>
      <x:c r="L1156" s="24" t="n">
        <x:v>17.4483</x:v>
      </x:c>
      <x:c r="M1156" s="24" t="n">
        <x:v>78.3915</x:v>
      </x:c>
      <x:c r="N1156" t="str">
        <x:f>IF(I1156&gt;70,"70+ dB",IF(I1156&gt;55,"56-70 dB","41-55 dB"))</x:f>
        <x:v>70+ dB</x:v>
      </x:c>
      <x:c r="O1156" t="str">
        <x:f>IF(I1156&gt;70,"High",IF(I1156&gt;55,"Moderate","Low"))</x:f>
        <x:v>High</x:v>
      </x:c>
      <x:c r="P1156" t="str">
        <x:f>IF(I1156&gt;=70,"Yes","No")</x:f>
        <x:v>Yes</x:v>
      </x:c>
      <x:c r="Q1156" t="str">
        <x:f>TEXT(B1156,"yyyy-mm")</x:f>
        <x:v>2025-08</x:v>
      </x:c>
    </x:row>
    <x:row r="1157">
      <x:c r="A1157" t="str">
        <x:v>HYD07</x:v>
      </x:c>
      <x:c r="B1157" s="22" t="n">
        <x:f>DATE(C1157,D1157,1)</x:f>
        <x:v>45901</x:v>
      </x:c>
      <x:c r="C1157" t="n">
        <x:v>2025</x:v>
      </x:c>
      <x:c r="D1157" t="n">
        <x:v>9</x:v>
      </x:c>
      <x:c r="E1157" t="str">
        <x:f>TEXT(B1157,"mmm")</x:f>
        <x:v>Sep</x:v>
      </x:c>
      <x:c r="F1157" t="str">
        <x:f>"Q"&amp;ROUNDUP(D1157/3,0)</x:f>
        <x:v>Q3</x:v>
      </x:c>
      <x:c r="G1157" s="23" t="n">
        <x:v>69.83</x:v>
      </x:c>
      <x:c r="H1157" s="23" t="n">
        <x:v>73.08</x:v>
      </x:c>
      <x:c r="I1157" s="23" t="n">
        <x:v>71.5</x:v>
      </x:c>
      <x:c r="J1157" s="23" t="n">
        <x:f>G1157-H1157</x:f>
        <x:v>-3.25</x:v>
      </x:c>
      <x:c r="K1157" t="str">
        <x:v>HINDCAST</x:v>
      </x:c>
      <x:c r="L1157" s="24" t="n">
        <x:v>17.4483</x:v>
      </x:c>
      <x:c r="M1157" s="24" t="n">
        <x:v>78.3915</x:v>
      </x:c>
      <x:c r="N1157" t="str">
        <x:f>IF(I1157&gt;70,"70+ dB",IF(I1157&gt;55,"56-70 dB","41-55 dB"))</x:f>
        <x:v>70+ dB</x:v>
      </x:c>
      <x:c r="O1157" t="str">
        <x:f>IF(I1157&gt;70,"High",IF(I1157&gt;55,"Moderate","Low"))</x:f>
        <x:v>High</x:v>
      </x:c>
      <x:c r="P1157" t="str">
        <x:f>IF(I1157&gt;=70,"Yes","No")</x:f>
        <x:v>Yes</x:v>
      </x:c>
      <x:c r="Q1157" t="str">
        <x:f>TEXT(B1157,"yyyy-mm")</x:f>
        <x:v>2025-09</x:v>
      </x:c>
    </x:row>
    <x:row r="1158">
      <x:c r="A1158" t="str">
        <x:v>HYD07</x:v>
      </x:c>
      <x:c r="B1158" s="22" t="n">
        <x:f>DATE(C1158,D1158,1)</x:f>
        <x:v>45931</x:v>
      </x:c>
      <x:c r="C1158" t="n">
        <x:v>2025</x:v>
      </x:c>
      <x:c r="D1158" t="n">
        <x:v>10</x:v>
      </x:c>
      <x:c r="E1158" t="str">
        <x:f>TEXT(B1158,"mmm")</x:f>
        <x:v>Oct</x:v>
      </x:c>
      <x:c r="F1158" t="str">
        <x:f>"Q"&amp;ROUNDUP(D1158/3,0)</x:f>
        <x:v>Q4</x:v>
      </x:c>
      <x:c r="G1158" s="23" t="n">
        <x:v>68.04</x:v>
      </x:c>
      <x:c r="H1158" s="23" t="n">
        <x:v>75.25</x:v>
      </x:c>
      <x:c r="I1158" s="23" t="n">
        <x:v>71.6</x:v>
      </x:c>
      <x:c r="J1158" s="23" t="n">
        <x:f>G1158-H1158</x:f>
        <x:v>-7.209999999999994</x:v>
      </x:c>
      <x:c r="K1158" t="str">
        <x:v>HINDCAST</x:v>
      </x:c>
      <x:c r="L1158" s="24" t="n">
        <x:v>17.4483</x:v>
      </x:c>
      <x:c r="M1158" s="24" t="n">
        <x:v>78.3915</x:v>
      </x:c>
      <x:c r="N1158" t="str">
        <x:f>IF(I1158&gt;70,"70+ dB",IF(I1158&gt;55,"56-70 dB","41-55 dB"))</x:f>
        <x:v>70+ dB</x:v>
      </x:c>
      <x:c r="O1158" t="str">
        <x:f>IF(I1158&gt;70,"High",IF(I1158&gt;55,"Moderate","Low"))</x:f>
        <x:v>High</x:v>
      </x:c>
      <x:c r="P1158" t="str">
        <x:f>IF(I1158&gt;=70,"Yes","No")</x:f>
        <x:v>Yes</x:v>
      </x:c>
      <x:c r="Q1158" t="str">
        <x:f>TEXT(B1158,"yyyy-mm")</x:f>
        <x:v>2025-10</x:v>
      </x:c>
    </x:row>
    <x:row r="1159">
      <x:c r="A1159" t="str">
        <x:v>HYD07</x:v>
      </x:c>
      <x:c r="B1159" s="22" t="n">
        <x:f>DATE(C1159,D1159,1)</x:f>
        <x:v>45962</x:v>
      </x:c>
      <x:c r="C1159" t="n">
        <x:v>2025</x:v>
      </x:c>
      <x:c r="D1159" t="n">
        <x:v>11</x:v>
      </x:c>
      <x:c r="E1159" t="str">
        <x:f>TEXT(B1159,"mmm")</x:f>
        <x:v>Nov</x:v>
      </x:c>
      <x:c r="F1159" t="str">
        <x:f>"Q"&amp;ROUNDUP(D1159/3,0)</x:f>
        <x:v>Q4</x:v>
      </x:c>
      <x:c r="G1159" s="23" t="n">
        <x:v>68.42</x:v>
      </x:c>
      <x:c r="H1159" s="23" t="n">
        <x:v>73.11</x:v>
      </x:c>
      <x:c r="I1159" s="23" t="n">
        <x:v>70.8</x:v>
      </x:c>
      <x:c r="J1159" s="23" t="n">
        <x:f>G1159-H1159</x:f>
        <x:v>-4.689999999999998</x:v>
      </x:c>
      <x:c r="K1159" t="str">
        <x:v>HINDCAST</x:v>
      </x:c>
      <x:c r="L1159" s="24" t="n">
        <x:v>17.4483</x:v>
      </x:c>
      <x:c r="M1159" s="24" t="n">
        <x:v>78.3915</x:v>
      </x:c>
      <x:c r="N1159" t="str">
        <x:f>IF(I1159&gt;70,"70+ dB",IF(I1159&gt;55,"56-70 dB","41-55 dB"))</x:f>
        <x:v>70+ dB</x:v>
      </x:c>
      <x:c r="O1159" t="str">
        <x:f>IF(I1159&gt;70,"High",IF(I1159&gt;55,"Moderate","Low"))</x:f>
        <x:v>High</x:v>
      </x:c>
      <x:c r="P1159" t="str">
        <x:f>IF(I1159&gt;=70,"Yes","No")</x:f>
        <x:v>Yes</x:v>
      </x:c>
      <x:c r="Q1159" t="str">
        <x:f>TEXT(B1159,"yyyy-mm")</x:f>
        <x:v>2025-11</x:v>
      </x:c>
    </x:row>
    <x:row r="1160">
      <x:c r="A1160" t="str">
        <x:v>HYD07</x:v>
      </x:c>
      <x:c r="B1160" s="22" t="n">
        <x:f>DATE(C1160,D1160,1)</x:f>
        <x:v>45992</x:v>
      </x:c>
      <x:c r="C1160" t="n">
        <x:v>2025</x:v>
      </x:c>
      <x:c r="D1160" t="n">
        <x:v>12</x:v>
      </x:c>
      <x:c r="E1160" t="str">
        <x:f>TEXT(B1160,"mmm")</x:f>
        <x:v>Dec</x:v>
      </x:c>
      <x:c r="F1160" t="str">
        <x:f>"Q"&amp;ROUNDUP(D1160/3,0)</x:f>
        <x:v>Q4</x:v>
      </x:c>
      <x:c r="G1160" s="23" t="n">
        <x:v>61.66</x:v>
      </x:c>
      <x:c r="H1160" s="23" t="n">
        <x:v>69.73</x:v>
      </x:c>
      <x:c r="I1160" s="23" t="n">
        <x:v>65.7</x:v>
      </x:c>
      <x:c r="J1160" s="23" t="n">
        <x:f>G1160-H1160</x:f>
        <x:v>-8.070000000000007</x:v>
      </x:c>
      <x:c r="K1160" t="str">
        <x:v>HINDCAST</x:v>
      </x:c>
      <x:c r="L1160" s="24" t="n">
        <x:v>17.4483</x:v>
      </x:c>
      <x:c r="M1160" s="24" t="n">
        <x:v>78.3915</x:v>
      </x:c>
      <x:c r="N1160" t="str">
        <x:f>IF(I1160&gt;70,"70+ dB",IF(I1160&gt;55,"56-70 dB","41-55 dB"))</x:f>
        <x:v>56-70 dB</x:v>
      </x:c>
      <x:c r="O1160" t="str">
        <x:f>IF(I1160&gt;70,"High",IF(I1160&gt;55,"Moderate","Low"))</x:f>
        <x:v>Moderate</x:v>
      </x:c>
      <x:c r="P1160" t="str">
        <x:f>IF(I1160&gt;=70,"Yes","No")</x:f>
        <x:v>No</x:v>
      </x:c>
      <x:c r="Q1160" t="str">
        <x:f>TEXT(B1160,"yyyy-mm")</x:f>
        <x:v>2025-12</x:v>
      </x:c>
    </x:row>
    <x:row r="1161">
      <x:c r="A1161" t="str">
        <x:v>HYD08</x:v>
      </x:c>
      <x:c r="B1161" s="22" t="n">
        <x:f>DATE(C1161,D1161,1)</x:f>
        <x:v>42005</x:v>
      </x:c>
      <x:c r="C1161" t="n">
        <x:v>2015</x:v>
      </x:c>
      <x:c r="D1161" t="n">
        <x:v>1</x:v>
      </x:c>
      <x:c r="E1161" t="str">
        <x:f>TEXT(B1161,"mmm")</x:f>
        <x:v>Jan</x:v>
      </x:c>
      <x:c r="F1161" t="str">
        <x:f>"Q"&amp;ROUNDUP(D1161/3,0)</x:f>
        <x:v>Q1</x:v>
      </x:c>
      <x:c r="G1161" s="23" t="n">
        <x:v>60</x:v>
      </x:c>
      <x:c r="H1161" s="23" t="n">
        <x:v>54</x:v>
      </x:c>
      <x:c r="I1161" s="23" t="n">
        <x:v>57</x:v>
      </x:c>
      <x:c r="J1161" s="23" t="n">
        <x:f>G1161-H1161</x:f>
        <x:v>6</x:v>
      </x:c>
      <x:c r="K1161" t="str">
        <x:v>OBSERVED</x:v>
      </x:c>
      <x:c r="L1161" s="24" t="n">
        <x:v>17.4931</x:v>
      </x:c>
      <x:c r="M1161" s="24" t="n">
        <x:v>78.411</x:v>
      </x:c>
      <x:c r="N1161" t="str">
        <x:f>IF(I1161&gt;70,"70+ dB",IF(I1161&gt;55,"56-70 dB","41-55 dB"))</x:f>
        <x:v>56-70 dB</x:v>
      </x:c>
      <x:c r="O1161" t="str">
        <x:f>IF(I1161&gt;70,"High",IF(I1161&gt;55,"Moderate","Low"))</x:f>
        <x:v>Moderate</x:v>
      </x:c>
      <x:c r="P1161" t="str">
        <x:f>IF(I1161&gt;=70,"Yes","No")</x:f>
        <x:v>No</x:v>
      </x:c>
      <x:c r="Q1161" t="str">
        <x:f>TEXT(B1161,"yyyy-mm")</x:f>
        <x:v>2015-01</x:v>
      </x:c>
    </x:row>
    <x:row r="1162">
      <x:c r="A1162" t="str">
        <x:v>HYD08</x:v>
      </x:c>
      <x:c r="B1162" s="22" t="n">
        <x:f>DATE(C1162,D1162,1)</x:f>
        <x:v>42036</x:v>
      </x:c>
      <x:c r="C1162" t="n">
        <x:v>2015</x:v>
      </x:c>
      <x:c r="D1162" t="n">
        <x:v>2</x:v>
      </x:c>
      <x:c r="E1162" t="str">
        <x:f>TEXT(B1162,"mmm")</x:f>
        <x:v>Feb</x:v>
      </x:c>
      <x:c r="F1162" t="str">
        <x:f>"Q"&amp;ROUNDUP(D1162/3,0)</x:f>
        <x:v>Q1</x:v>
      </x:c>
      <x:c r="G1162" s="23" t="n">
        <x:v>61</x:v>
      </x:c>
      <x:c r="H1162" s="23" t="n">
        <x:v>55</x:v>
      </x:c>
      <x:c r="I1162" s="23" t="n">
        <x:v>58</x:v>
      </x:c>
      <x:c r="J1162" s="23" t="n">
        <x:f>G1162-H1162</x:f>
        <x:v>6</x:v>
      </x:c>
      <x:c r="K1162" t="str">
        <x:v>OBSERVED</x:v>
      </x:c>
      <x:c r="L1162" s="24" t="n">
        <x:v>17.4931</x:v>
      </x:c>
      <x:c r="M1162" s="24" t="n">
        <x:v>78.411</x:v>
      </x:c>
      <x:c r="N1162" t="str">
        <x:f>IF(I1162&gt;70,"70+ dB",IF(I1162&gt;55,"56-70 dB","41-55 dB"))</x:f>
        <x:v>56-70 dB</x:v>
      </x:c>
      <x:c r="O1162" t="str">
        <x:f>IF(I1162&gt;70,"High",IF(I1162&gt;55,"Moderate","Low"))</x:f>
        <x:v>Moderate</x:v>
      </x:c>
      <x:c r="P1162" t="str">
        <x:f>IF(I1162&gt;=70,"Yes","No")</x:f>
        <x:v>No</x:v>
      </x:c>
      <x:c r="Q1162" t="str">
        <x:f>TEXT(B1162,"yyyy-mm")</x:f>
        <x:v>2015-02</x:v>
      </x:c>
    </x:row>
    <x:row r="1163">
      <x:c r="A1163" t="str">
        <x:v>HYD08</x:v>
      </x:c>
      <x:c r="B1163" s="22" t="n">
        <x:f>DATE(C1163,D1163,1)</x:f>
        <x:v>42064</x:v>
      </x:c>
      <x:c r="C1163" t="n">
        <x:v>2015</x:v>
      </x:c>
      <x:c r="D1163" t="n">
        <x:v>3</x:v>
      </x:c>
      <x:c r="E1163" t="str">
        <x:f>TEXT(B1163,"mmm")</x:f>
        <x:v>Mar</x:v>
      </x:c>
      <x:c r="F1163" t="str">
        <x:f>"Q"&amp;ROUNDUP(D1163/3,0)</x:f>
        <x:v>Q1</x:v>
      </x:c>
      <x:c r="G1163" s="23" t="n">
        <x:v>59</x:v>
      </x:c>
      <x:c r="H1163" s="23" t="n">
        <x:v>54</x:v>
      </x:c>
      <x:c r="I1163" s="23" t="n">
        <x:v>56.5</x:v>
      </x:c>
      <x:c r="J1163" s="23" t="n">
        <x:f>G1163-H1163</x:f>
        <x:v>5</x:v>
      </x:c>
      <x:c r="K1163" t="str">
        <x:v>OBSERVED</x:v>
      </x:c>
      <x:c r="L1163" s="24" t="n">
        <x:v>17.4931</x:v>
      </x:c>
      <x:c r="M1163" s="24" t="n">
        <x:v>78.411</x:v>
      </x:c>
      <x:c r="N1163" t="str">
        <x:f>IF(I1163&gt;70,"70+ dB",IF(I1163&gt;55,"56-70 dB","41-55 dB"))</x:f>
        <x:v>56-70 dB</x:v>
      </x:c>
      <x:c r="O1163" t="str">
        <x:f>IF(I1163&gt;70,"High",IF(I1163&gt;55,"Moderate","Low"))</x:f>
        <x:v>Moderate</x:v>
      </x:c>
      <x:c r="P1163" t="str">
        <x:f>IF(I1163&gt;=70,"Yes","No")</x:f>
        <x:v>No</x:v>
      </x:c>
      <x:c r="Q1163" t="str">
        <x:f>TEXT(B1163,"yyyy-mm")</x:f>
        <x:v>2015-03</x:v>
      </x:c>
    </x:row>
    <x:row r="1164">
      <x:c r="A1164" t="str">
        <x:v>HYD08</x:v>
      </x:c>
      <x:c r="B1164" s="22" t="n">
        <x:f>DATE(C1164,D1164,1)</x:f>
        <x:v>42095</x:v>
      </x:c>
      <x:c r="C1164" t="n">
        <x:v>2015</x:v>
      </x:c>
      <x:c r="D1164" t="n">
        <x:v>4</x:v>
      </x:c>
      <x:c r="E1164" t="str">
        <x:f>TEXT(B1164,"mmm")</x:f>
        <x:v>Apr</x:v>
      </x:c>
      <x:c r="F1164" t="str">
        <x:f>"Q"&amp;ROUNDUP(D1164/3,0)</x:f>
        <x:v>Q2</x:v>
      </x:c>
      <x:c r="G1164" s="23" t="n">
        <x:v>59</x:v>
      </x:c>
      <x:c r="H1164" s="23" t="n">
        <x:v>55</x:v>
      </x:c>
      <x:c r="I1164" s="23" t="n">
        <x:v>57</x:v>
      </x:c>
      <x:c r="J1164" s="23" t="n">
        <x:f>G1164-H1164</x:f>
        <x:v>4</x:v>
      </x:c>
      <x:c r="K1164" t="str">
        <x:v>OBSERVED</x:v>
      </x:c>
      <x:c r="L1164" s="24" t="n">
        <x:v>17.4931</x:v>
      </x:c>
      <x:c r="M1164" s="24" t="n">
        <x:v>78.411</x:v>
      </x:c>
      <x:c r="N1164" t="str">
        <x:f>IF(I1164&gt;70,"70+ dB",IF(I1164&gt;55,"56-70 dB","41-55 dB"))</x:f>
        <x:v>56-70 dB</x:v>
      </x:c>
      <x:c r="O1164" t="str">
        <x:f>IF(I1164&gt;70,"High",IF(I1164&gt;55,"Moderate","Low"))</x:f>
        <x:v>Moderate</x:v>
      </x:c>
      <x:c r="P1164" t="str">
        <x:f>IF(I1164&gt;=70,"Yes","No")</x:f>
        <x:v>No</x:v>
      </x:c>
      <x:c r="Q1164" t="str">
        <x:f>TEXT(B1164,"yyyy-mm")</x:f>
        <x:v>2015-04</x:v>
      </x:c>
    </x:row>
    <x:row r="1165">
      <x:c r="A1165" t="str">
        <x:v>HYD08</x:v>
      </x:c>
      <x:c r="B1165" s="22" t="n">
        <x:f>DATE(C1165,D1165,1)</x:f>
        <x:v>42125</x:v>
      </x:c>
      <x:c r="C1165" t="n">
        <x:v>2015</x:v>
      </x:c>
      <x:c r="D1165" t="n">
        <x:v>5</x:v>
      </x:c>
      <x:c r="E1165" t="str">
        <x:f>TEXT(B1165,"mmm")</x:f>
        <x:v>May</x:v>
      </x:c>
      <x:c r="F1165" t="str">
        <x:f>"Q"&amp;ROUNDUP(D1165/3,0)</x:f>
        <x:v>Q2</x:v>
      </x:c>
      <x:c r="G1165" s="23" t="n">
        <x:v>60</x:v>
      </x:c>
      <x:c r="H1165" s="23" t="n">
        <x:v>56</x:v>
      </x:c>
      <x:c r="I1165" s="23" t="n">
        <x:v>58</x:v>
      </x:c>
      <x:c r="J1165" s="23" t="n">
        <x:f>G1165-H1165</x:f>
        <x:v>4</x:v>
      </x:c>
      <x:c r="K1165" t="str">
        <x:v>OBSERVED</x:v>
      </x:c>
      <x:c r="L1165" s="24" t="n">
        <x:v>17.4931</x:v>
      </x:c>
      <x:c r="M1165" s="24" t="n">
        <x:v>78.411</x:v>
      </x:c>
      <x:c r="N1165" t="str">
        <x:f>IF(I1165&gt;70,"70+ dB",IF(I1165&gt;55,"56-70 dB","41-55 dB"))</x:f>
        <x:v>56-70 dB</x:v>
      </x:c>
      <x:c r="O1165" t="str">
        <x:f>IF(I1165&gt;70,"High",IF(I1165&gt;55,"Moderate","Low"))</x:f>
        <x:v>Moderate</x:v>
      </x:c>
      <x:c r="P1165" t="str">
        <x:f>IF(I1165&gt;=70,"Yes","No")</x:f>
        <x:v>No</x:v>
      </x:c>
      <x:c r="Q1165" t="str">
        <x:f>TEXT(B1165,"yyyy-mm")</x:f>
        <x:v>2015-05</x:v>
      </x:c>
    </x:row>
    <x:row r="1166">
      <x:c r="A1166" t="str">
        <x:v>HYD08</x:v>
      </x:c>
      <x:c r="B1166" s="22" t="n">
        <x:f>DATE(C1166,D1166,1)</x:f>
        <x:v>42156</x:v>
      </x:c>
      <x:c r="C1166" t="n">
        <x:v>2015</x:v>
      </x:c>
      <x:c r="D1166" t="n">
        <x:v>6</x:v>
      </x:c>
      <x:c r="E1166" t="str">
        <x:f>TEXT(B1166,"mmm")</x:f>
        <x:v>Jun</x:v>
      </x:c>
      <x:c r="F1166" t="str">
        <x:f>"Q"&amp;ROUNDUP(D1166/3,0)</x:f>
        <x:v>Q2</x:v>
      </x:c>
      <x:c r="G1166" s="23" t="n">
        <x:v>63</x:v>
      </x:c>
      <x:c r="H1166" s="23" t="n">
        <x:v>60</x:v>
      </x:c>
      <x:c r="I1166" s="23" t="n">
        <x:v>61.5</x:v>
      </x:c>
      <x:c r="J1166" s="23" t="n">
        <x:f>G1166-H1166</x:f>
        <x:v>3</x:v>
      </x:c>
      <x:c r="K1166" t="str">
        <x:v>OBSERVED</x:v>
      </x:c>
      <x:c r="L1166" s="24" t="n">
        <x:v>17.4931</x:v>
      </x:c>
      <x:c r="M1166" s="24" t="n">
        <x:v>78.411</x:v>
      </x:c>
      <x:c r="N1166" t="str">
        <x:f>IF(I1166&gt;70,"70+ dB",IF(I1166&gt;55,"56-70 dB","41-55 dB"))</x:f>
        <x:v>56-70 dB</x:v>
      </x:c>
      <x:c r="O1166" t="str">
        <x:f>IF(I1166&gt;70,"High",IF(I1166&gt;55,"Moderate","Low"))</x:f>
        <x:v>Moderate</x:v>
      </x:c>
      <x:c r="P1166" t="str">
        <x:f>IF(I1166&gt;=70,"Yes","No")</x:f>
        <x:v>No</x:v>
      </x:c>
      <x:c r="Q1166" t="str">
        <x:f>TEXT(B1166,"yyyy-mm")</x:f>
        <x:v>2015-06</x:v>
      </x:c>
    </x:row>
    <x:row r="1167">
      <x:c r="A1167" t="str">
        <x:v>HYD08</x:v>
      </x:c>
      <x:c r="B1167" s="22" t="n">
        <x:f>DATE(C1167,D1167,1)</x:f>
        <x:v>42186</x:v>
      </x:c>
      <x:c r="C1167" t="n">
        <x:v>2015</x:v>
      </x:c>
      <x:c r="D1167" t="n">
        <x:v>7</x:v>
      </x:c>
      <x:c r="E1167" t="str">
        <x:f>TEXT(B1167,"mmm")</x:f>
        <x:v>Jul</x:v>
      </x:c>
      <x:c r="F1167" t="str">
        <x:f>"Q"&amp;ROUNDUP(D1167/3,0)</x:f>
        <x:v>Q3</x:v>
      </x:c>
      <x:c r="G1167" s="23" t="n">
        <x:v>65</x:v>
      </x:c>
      <x:c r="H1167" s="23" t="n">
        <x:v>60</x:v>
      </x:c>
      <x:c r="I1167" s="23" t="n">
        <x:v>62.5</x:v>
      </x:c>
      <x:c r="J1167" s="23" t="n">
        <x:f>G1167-H1167</x:f>
        <x:v>5</x:v>
      </x:c>
      <x:c r="K1167" t="str">
        <x:v>OBSERVED</x:v>
      </x:c>
      <x:c r="L1167" s="24" t="n">
        <x:v>17.4931</x:v>
      </x:c>
      <x:c r="M1167" s="24" t="n">
        <x:v>78.411</x:v>
      </x:c>
      <x:c r="N1167" t="str">
        <x:f>IF(I1167&gt;70,"70+ dB",IF(I1167&gt;55,"56-70 dB","41-55 dB"))</x:f>
        <x:v>56-70 dB</x:v>
      </x:c>
      <x:c r="O1167" t="str">
        <x:f>IF(I1167&gt;70,"High",IF(I1167&gt;55,"Moderate","Low"))</x:f>
        <x:v>Moderate</x:v>
      </x:c>
      <x:c r="P1167" t="str">
        <x:f>IF(I1167&gt;=70,"Yes","No")</x:f>
        <x:v>No</x:v>
      </x:c>
      <x:c r="Q1167" t="str">
        <x:f>TEXT(B1167,"yyyy-mm")</x:f>
        <x:v>2015-07</x:v>
      </x:c>
    </x:row>
    <x:row r="1168">
      <x:c r="A1168" t="str">
        <x:v>HYD08</x:v>
      </x:c>
      <x:c r="B1168" s="22" t="n">
        <x:f>DATE(C1168,D1168,1)</x:f>
        <x:v>42217</x:v>
      </x:c>
      <x:c r="C1168" t="n">
        <x:v>2015</x:v>
      </x:c>
      <x:c r="D1168" t="n">
        <x:v>8</x:v>
      </x:c>
      <x:c r="E1168" t="str">
        <x:f>TEXT(B1168,"mmm")</x:f>
        <x:v>Aug</x:v>
      </x:c>
      <x:c r="F1168" t="str">
        <x:f>"Q"&amp;ROUNDUP(D1168/3,0)</x:f>
        <x:v>Q3</x:v>
      </x:c>
      <x:c r="G1168" s="23" t="n">
        <x:v>61</x:v>
      </x:c>
      <x:c r="H1168" s="23" t="n">
        <x:v>53</x:v>
      </x:c>
      <x:c r="I1168" s="23" t="n">
        <x:v>57</x:v>
      </x:c>
      <x:c r="J1168" s="23" t="n">
        <x:f>G1168-H1168</x:f>
        <x:v>8</x:v>
      </x:c>
      <x:c r="K1168" t="str">
        <x:v>OBSERVED</x:v>
      </x:c>
      <x:c r="L1168" s="24" t="n">
        <x:v>17.4931</x:v>
      </x:c>
      <x:c r="M1168" s="24" t="n">
        <x:v>78.411</x:v>
      </x:c>
      <x:c r="N1168" t="str">
        <x:f>IF(I1168&gt;70,"70+ dB",IF(I1168&gt;55,"56-70 dB","41-55 dB"))</x:f>
        <x:v>56-70 dB</x:v>
      </x:c>
      <x:c r="O1168" t="str">
        <x:f>IF(I1168&gt;70,"High",IF(I1168&gt;55,"Moderate","Low"))</x:f>
        <x:v>Moderate</x:v>
      </x:c>
      <x:c r="P1168" t="str">
        <x:f>IF(I1168&gt;=70,"Yes","No")</x:f>
        <x:v>No</x:v>
      </x:c>
      <x:c r="Q1168" t="str">
        <x:f>TEXT(B1168,"yyyy-mm")</x:f>
        <x:v>2015-08</x:v>
      </x:c>
    </x:row>
    <x:row r="1169">
      <x:c r="A1169" t="str">
        <x:v>HYD08</x:v>
      </x:c>
      <x:c r="B1169" s="22" t="n">
        <x:f>DATE(C1169,D1169,1)</x:f>
        <x:v>42248</x:v>
      </x:c>
      <x:c r="C1169" t="n">
        <x:v>2015</x:v>
      </x:c>
      <x:c r="D1169" t="n">
        <x:v>9</x:v>
      </x:c>
      <x:c r="E1169" t="str">
        <x:f>TEXT(B1169,"mmm")</x:f>
        <x:v>Sep</x:v>
      </x:c>
      <x:c r="F1169" t="str">
        <x:f>"Q"&amp;ROUNDUP(D1169/3,0)</x:f>
        <x:v>Q3</x:v>
      </x:c>
      <x:c r="G1169" s="23" t="n">
        <x:v>57</x:v>
      </x:c>
      <x:c r="H1169" s="23" t="n">
        <x:v>50</x:v>
      </x:c>
      <x:c r="I1169" s="23" t="n">
        <x:v>53.5</x:v>
      </x:c>
      <x:c r="J1169" s="23" t="n">
        <x:f>G1169-H1169</x:f>
        <x:v>7</x:v>
      </x:c>
      <x:c r="K1169" t="str">
        <x:v>OBSERVED</x:v>
      </x:c>
      <x:c r="L1169" s="24" t="n">
        <x:v>17.4931</x:v>
      </x:c>
      <x:c r="M1169" s="24" t="n">
        <x:v>78.411</x:v>
      </x:c>
      <x:c r="N1169" t="str">
        <x:f>IF(I1169&gt;70,"70+ dB",IF(I1169&gt;55,"56-70 dB","41-55 dB"))</x:f>
        <x:v>41-55 dB</x:v>
      </x:c>
      <x:c r="O1169" t="str">
        <x:f>IF(I1169&gt;70,"High",IF(I1169&gt;55,"Moderate","Low"))</x:f>
        <x:v>Low</x:v>
      </x:c>
      <x:c r="P1169" t="str">
        <x:f>IF(I1169&gt;=70,"Yes","No")</x:f>
        <x:v>No</x:v>
      </x:c>
      <x:c r="Q1169" t="str">
        <x:f>TEXT(B1169,"yyyy-mm")</x:f>
        <x:v>2015-09</x:v>
      </x:c>
    </x:row>
    <x:row r="1170">
      <x:c r="A1170" t="str">
        <x:v>HYD08</x:v>
      </x:c>
      <x:c r="B1170" s="22" t="n">
        <x:f>DATE(C1170,D1170,1)</x:f>
        <x:v>42278</x:v>
      </x:c>
      <x:c r="C1170" t="n">
        <x:v>2015</x:v>
      </x:c>
      <x:c r="D1170" t="n">
        <x:v>10</x:v>
      </x:c>
      <x:c r="E1170" t="str">
        <x:f>TEXT(B1170,"mmm")</x:f>
        <x:v>Oct</x:v>
      </x:c>
      <x:c r="F1170" t="str">
        <x:f>"Q"&amp;ROUNDUP(D1170/3,0)</x:f>
        <x:v>Q4</x:v>
      </x:c>
      <x:c r="G1170" s="23" t="n">
        <x:v>61</x:v>
      </x:c>
      <x:c r="H1170" s="23" t="n">
        <x:v>51</x:v>
      </x:c>
      <x:c r="I1170" s="23" t="n">
        <x:v>56</x:v>
      </x:c>
      <x:c r="J1170" s="23" t="n">
        <x:f>G1170-H1170</x:f>
        <x:v>10</x:v>
      </x:c>
      <x:c r="K1170" t="str">
        <x:v>OBSERVED</x:v>
      </x:c>
      <x:c r="L1170" s="24" t="n">
        <x:v>17.4931</x:v>
      </x:c>
      <x:c r="M1170" s="24" t="n">
        <x:v>78.411</x:v>
      </x:c>
      <x:c r="N1170" t="str">
        <x:f>IF(I1170&gt;70,"70+ dB",IF(I1170&gt;55,"56-70 dB","41-55 dB"))</x:f>
        <x:v>56-70 dB</x:v>
      </x:c>
      <x:c r="O1170" t="str">
        <x:f>IF(I1170&gt;70,"High",IF(I1170&gt;55,"Moderate","Low"))</x:f>
        <x:v>Moderate</x:v>
      </x:c>
      <x:c r="P1170" t="str">
        <x:f>IF(I1170&gt;=70,"Yes","No")</x:f>
        <x:v>No</x:v>
      </x:c>
      <x:c r="Q1170" t="str">
        <x:f>TEXT(B1170,"yyyy-mm")</x:f>
        <x:v>2015-10</x:v>
      </x:c>
    </x:row>
    <x:row r="1171">
      <x:c r="A1171" t="str">
        <x:v>HYD08</x:v>
      </x:c>
      <x:c r="B1171" s="22" t="n">
        <x:f>DATE(C1171,D1171,1)</x:f>
        <x:v>42309</x:v>
      </x:c>
      <x:c r="C1171" t="n">
        <x:v>2015</x:v>
      </x:c>
      <x:c r="D1171" t="n">
        <x:v>11</x:v>
      </x:c>
      <x:c r="E1171" t="str">
        <x:f>TEXT(B1171,"mmm")</x:f>
        <x:v>Nov</x:v>
      </x:c>
      <x:c r="F1171" t="str">
        <x:f>"Q"&amp;ROUNDUP(D1171/3,0)</x:f>
        <x:v>Q4</x:v>
      </x:c>
      <x:c r="G1171" s="23" t="n">
        <x:v>61</x:v>
      </x:c>
      <x:c r="H1171" s="23" t="n">
        <x:v>52</x:v>
      </x:c>
      <x:c r="I1171" s="23" t="n">
        <x:v>56.5</x:v>
      </x:c>
      <x:c r="J1171" s="23" t="n">
        <x:f>G1171-H1171</x:f>
        <x:v>9</x:v>
      </x:c>
      <x:c r="K1171" t="str">
        <x:v>OBSERVED</x:v>
      </x:c>
      <x:c r="L1171" s="24" t="n">
        <x:v>17.4931</x:v>
      </x:c>
      <x:c r="M1171" s="24" t="n">
        <x:v>78.411</x:v>
      </x:c>
      <x:c r="N1171" t="str">
        <x:f>IF(I1171&gt;70,"70+ dB",IF(I1171&gt;55,"56-70 dB","41-55 dB"))</x:f>
        <x:v>56-70 dB</x:v>
      </x:c>
      <x:c r="O1171" t="str">
        <x:f>IF(I1171&gt;70,"High",IF(I1171&gt;55,"Moderate","Low"))</x:f>
        <x:v>Moderate</x:v>
      </x:c>
      <x:c r="P1171" t="str">
        <x:f>IF(I1171&gt;=70,"Yes","No")</x:f>
        <x:v>No</x:v>
      </x:c>
      <x:c r="Q1171" t="str">
        <x:f>TEXT(B1171,"yyyy-mm")</x:f>
        <x:v>2015-11</x:v>
      </x:c>
    </x:row>
    <x:row r="1172">
      <x:c r="A1172" t="str">
        <x:v>HYD08</x:v>
      </x:c>
      <x:c r="B1172" s="22" t="n">
        <x:f>DATE(C1172,D1172,1)</x:f>
        <x:v>42339</x:v>
      </x:c>
      <x:c r="C1172" t="n">
        <x:v>2015</x:v>
      </x:c>
      <x:c r="D1172" t="n">
        <x:v>12</x:v>
      </x:c>
      <x:c r="E1172" t="str">
        <x:f>TEXT(B1172,"mmm")</x:f>
        <x:v>Dec</x:v>
      </x:c>
      <x:c r="F1172" t="str">
        <x:f>"Q"&amp;ROUNDUP(D1172/3,0)</x:f>
        <x:v>Q4</x:v>
      </x:c>
      <x:c r="G1172" s="23" t="n">
        <x:v>58</x:v>
      </x:c>
      <x:c r="H1172" s="23" t="n">
        <x:v>50</x:v>
      </x:c>
      <x:c r="I1172" s="23" t="n">
        <x:v>54</x:v>
      </x:c>
      <x:c r="J1172" s="23" t="n">
        <x:f>G1172-H1172</x:f>
        <x:v>8</x:v>
      </x:c>
      <x:c r="K1172" t="str">
        <x:v>OBSERVED</x:v>
      </x:c>
      <x:c r="L1172" s="24" t="n">
        <x:v>17.4931</x:v>
      </x:c>
      <x:c r="M1172" s="24" t="n">
        <x:v>78.411</x:v>
      </x:c>
      <x:c r="N1172" t="str">
        <x:f>IF(I1172&gt;70,"70+ dB",IF(I1172&gt;55,"56-70 dB","41-55 dB"))</x:f>
        <x:v>41-55 dB</x:v>
      </x:c>
      <x:c r="O1172" t="str">
        <x:f>IF(I1172&gt;70,"High",IF(I1172&gt;55,"Moderate","Low"))</x:f>
        <x:v>Low</x:v>
      </x:c>
      <x:c r="P1172" t="str">
        <x:f>IF(I1172&gt;=70,"Yes","No")</x:f>
        <x:v>No</x:v>
      </x:c>
      <x:c r="Q1172" t="str">
        <x:f>TEXT(B1172,"yyyy-mm")</x:f>
        <x:v>2015-12</x:v>
      </x:c>
    </x:row>
    <x:row r="1173">
      <x:c r="A1173" t="str">
        <x:v>HYD08</x:v>
      </x:c>
      <x:c r="B1173" s="22" t="n">
        <x:f>DATE(C1173,D1173,1)</x:f>
        <x:v>42370</x:v>
      </x:c>
      <x:c r="C1173" t="n">
        <x:v>2016</x:v>
      </x:c>
      <x:c r="D1173" t="n">
        <x:v>1</x:v>
      </x:c>
      <x:c r="E1173" t="str">
        <x:f>TEXT(B1173,"mmm")</x:f>
        <x:v>Jan</x:v>
      </x:c>
      <x:c r="F1173" t="str">
        <x:f>"Q"&amp;ROUNDUP(D1173/3,0)</x:f>
        <x:v>Q1</x:v>
      </x:c>
      <x:c r="G1173" s="23" t="n">
        <x:v>58</x:v>
      </x:c>
      <x:c r="H1173" s="23" t="n">
        <x:v>54</x:v>
      </x:c>
      <x:c r="I1173" s="23" t="n">
        <x:v>56</x:v>
      </x:c>
      <x:c r="J1173" s="23" t="n">
        <x:f>G1173-H1173</x:f>
        <x:v>4</x:v>
      </x:c>
      <x:c r="K1173" t="str">
        <x:v>OBSERVED</x:v>
      </x:c>
      <x:c r="L1173" s="24" t="n">
        <x:v>17.4931</x:v>
      </x:c>
      <x:c r="M1173" s="24" t="n">
        <x:v>78.411</x:v>
      </x:c>
      <x:c r="N1173" t="str">
        <x:f>IF(I1173&gt;70,"70+ dB",IF(I1173&gt;55,"56-70 dB","41-55 dB"))</x:f>
        <x:v>56-70 dB</x:v>
      </x:c>
      <x:c r="O1173" t="str">
        <x:f>IF(I1173&gt;70,"High",IF(I1173&gt;55,"Moderate","Low"))</x:f>
        <x:v>Moderate</x:v>
      </x:c>
      <x:c r="P1173" t="str">
        <x:f>IF(I1173&gt;=70,"Yes","No")</x:f>
        <x:v>No</x:v>
      </x:c>
      <x:c r="Q1173" t="str">
        <x:f>TEXT(B1173,"yyyy-mm")</x:f>
        <x:v>2016-01</x:v>
      </x:c>
    </x:row>
    <x:row r="1174">
      <x:c r="A1174" t="str">
        <x:v>HYD08</x:v>
      </x:c>
      <x:c r="B1174" s="22" t="n">
        <x:f>DATE(C1174,D1174,1)</x:f>
        <x:v>42401</x:v>
      </x:c>
      <x:c r="C1174" t="n">
        <x:v>2016</x:v>
      </x:c>
      <x:c r="D1174" t="n">
        <x:v>2</x:v>
      </x:c>
      <x:c r="E1174" t="str">
        <x:f>TEXT(B1174,"mmm")</x:f>
        <x:v>Feb</x:v>
      </x:c>
      <x:c r="F1174" t="str">
        <x:f>"Q"&amp;ROUNDUP(D1174/3,0)</x:f>
        <x:v>Q1</x:v>
      </x:c>
      <x:c r="G1174" s="23" t="n">
        <x:v>65</x:v>
      </x:c>
      <x:c r="H1174" s="23" t="n">
        <x:v>60</x:v>
      </x:c>
      <x:c r="I1174" s="23" t="n">
        <x:v>62.5</x:v>
      </x:c>
      <x:c r="J1174" s="23" t="n">
        <x:f>G1174-H1174</x:f>
        <x:v>5</x:v>
      </x:c>
      <x:c r="K1174" t="str">
        <x:v>OBSERVED</x:v>
      </x:c>
      <x:c r="L1174" s="24" t="n">
        <x:v>17.4931</x:v>
      </x:c>
      <x:c r="M1174" s="24" t="n">
        <x:v>78.411</x:v>
      </x:c>
      <x:c r="N1174" t="str">
        <x:f>IF(I1174&gt;70,"70+ dB",IF(I1174&gt;55,"56-70 dB","41-55 dB"))</x:f>
        <x:v>56-70 dB</x:v>
      </x:c>
      <x:c r="O1174" t="str">
        <x:f>IF(I1174&gt;70,"High",IF(I1174&gt;55,"Moderate","Low"))</x:f>
        <x:v>Moderate</x:v>
      </x:c>
      <x:c r="P1174" t="str">
        <x:f>IF(I1174&gt;=70,"Yes","No")</x:f>
        <x:v>No</x:v>
      </x:c>
      <x:c r="Q1174" t="str">
        <x:f>TEXT(B1174,"yyyy-mm")</x:f>
        <x:v>2016-02</x:v>
      </x:c>
    </x:row>
    <x:row r="1175">
      <x:c r="A1175" t="str">
        <x:v>HYD08</x:v>
      </x:c>
      <x:c r="B1175" s="22" t="n">
        <x:f>DATE(C1175,D1175,1)</x:f>
        <x:v>42430</x:v>
      </x:c>
      <x:c r="C1175" t="n">
        <x:v>2016</x:v>
      </x:c>
      <x:c r="D1175" t="n">
        <x:v>3</x:v>
      </x:c>
      <x:c r="E1175" t="str">
        <x:f>TEXT(B1175,"mmm")</x:f>
        <x:v>Mar</x:v>
      </x:c>
      <x:c r="F1175" t="str">
        <x:f>"Q"&amp;ROUNDUP(D1175/3,0)</x:f>
        <x:v>Q1</x:v>
      </x:c>
      <x:c r="G1175" s="23" t="n">
        <x:v>60</x:v>
      </x:c>
      <x:c r="H1175" s="23" t="n">
        <x:v>55</x:v>
      </x:c>
      <x:c r="I1175" s="23" t="n">
        <x:v>57.5</x:v>
      </x:c>
      <x:c r="J1175" s="23" t="n">
        <x:f>G1175-H1175</x:f>
        <x:v>5</x:v>
      </x:c>
      <x:c r="K1175" t="str">
        <x:v>OBSERVED</x:v>
      </x:c>
      <x:c r="L1175" s="24" t="n">
        <x:v>17.4931</x:v>
      </x:c>
      <x:c r="M1175" s="24" t="n">
        <x:v>78.411</x:v>
      </x:c>
      <x:c r="N1175" t="str">
        <x:f>IF(I1175&gt;70,"70+ dB",IF(I1175&gt;55,"56-70 dB","41-55 dB"))</x:f>
        <x:v>56-70 dB</x:v>
      </x:c>
      <x:c r="O1175" t="str">
        <x:f>IF(I1175&gt;70,"High",IF(I1175&gt;55,"Moderate","Low"))</x:f>
        <x:v>Moderate</x:v>
      </x:c>
      <x:c r="P1175" t="str">
        <x:f>IF(I1175&gt;=70,"Yes","No")</x:f>
        <x:v>No</x:v>
      </x:c>
      <x:c r="Q1175" t="str">
        <x:f>TEXT(B1175,"yyyy-mm")</x:f>
        <x:v>2016-03</x:v>
      </x:c>
    </x:row>
    <x:row r="1176">
      <x:c r="A1176" t="str">
        <x:v>HYD08</x:v>
      </x:c>
      <x:c r="B1176" s="22" t="n">
        <x:f>DATE(C1176,D1176,1)</x:f>
        <x:v>42461</x:v>
      </x:c>
      <x:c r="C1176" t="n">
        <x:v>2016</x:v>
      </x:c>
      <x:c r="D1176" t="n">
        <x:v>4</x:v>
      </x:c>
      <x:c r="E1176" t="str">
        <x:f>TEXT(B1176,"mmm")</x:f>
        <x:v>Apr</x:v>
      </x:c>
      <x:c r="F1176" t="str">
        <x:f>"Q"&amp;ROUNDUP(D1176/3,0)</x:f>
        <x:v>Q2</x:v>
      </x:c>
      <x:c r="G1176" s="23" t="n">
        <x:v>59</x:v>
      </x:c>
      <x:c r="H1176" s="23" t="n">
        <x:v>56</x:v>
      </x:c>
      <x:c r="I1176" s="23" t="n">
        <x:v>57.5</x:v>
      </x:c>
      <x:c r="J1176" s="23" t="n">
        <x:f>G1176-H1176</x:f>
        <x:v>3</x:v>
      </x:c>
      <x:c r="K1176" t="str">
        <x:v>OBSERVED</x:v>
      </x:c>
      <x:c r="L1176" s="24" t="n">
        <x:v>17.4931</x:v>
      </x:c>
      <x:c r="M1176" s="24" t="n">
        <x:v>78.411</x:v>
      </x:c>
      <x:c r="N1176" t="str">
        <x:f>IF(I1176&gt;70,"70+ dB",IF(I1176&gt;55,"56-70 dB","41-55 dB"))</x:f>
        <x:v>56-70 dB</x:v>
      </x:c>
      <x:c r="O1176" t="str">
        <x:f>IF(I1176&gt;70,"High",IF(I1176&gt;55,"Moderate","Low"))</x:f>
        <x:v>Moderate</x:v>
      </x:c>
      <x:c r="P1176" t="str">
        <x:f>IF(I1176&gt;=70,"Yes","No")</x:f>
        <x:v>No</x:v>
      </x:c>
      <x:c r="Q1176" t="str">
        <x:f>TEXT(B1176,"yyyy-mm")</x:f>
        <x:v>2016-04</x:v>
      </x:c>
    </x:row>
    <x:row r="1177">
      <x:c r="A1177" t="str">
        <x:v>HYD08</x:v>
      </x:c>
      <x:c r="B1177" s="22" t="n">
        <x:f>DATE(C1177,D1177,1)</x:f>
        <x:v>42491</x:v>
      </x:c>
      <x:c r="C1177" t="n">
        <x:v>2016</x:v>
      </x:c>
      <x:c r="D1177" t="n">
        <x:v>5</x:v>
      </x:c>
      <x:c r="E1177" t="str">
        <x:f>TEXT(B1177,"mmm")</x:f>
        <x:v>May</x:v>
      </x:c>
      <x:c r="F1177" t="str">
        <x:f>"Q"&amp;ROUNDUP(D1177/3,0)</x:f>
        <x:v>Q2</x:v>
      </x:c>
      <x:c r="G1177" s="23" t="n">
        <x:v>62</x:v>
      </x:c>
      <x:c r="H1177" s="23" t="n">
        <x:v>62</x:v>
      </x:c>
      <x:c r="I1177" s="23" t="n">
        <x:v>62</x:v>
      </x:c>
      <x:c r="J1177" s="23" t="n">
        <x:f>G1177-H1177</x:f>
        <x:v>0</x:v>
      </x:c>
      <x:c r="K1177" t="str">
        <x:v>OBSERVED</x:v>
      </x:c>
      <x:c r="L1177" s="24" t="n">
        <x:v>17.4931</x:v>
      </x:c>
      <x:c r="M1177" s="24" t="n">
        <x:v>78.411</x:v>
      </x:c>
      <x:c r="N1177" t="str">
        <x:f>IF(I1177&gt;70,"70+ dB",IF(I1177&gt;55,"56-70 dB","41-55 dB"))</x:f>
        <x:v>56-70 dB</x:v>
      </x:c>
      <x:c r="O1177" t="str">
        <x:f>IF(I1177&gt;70,"High",IF(I1177&gt;55,"Moderate","Low"))</x:f>
        <x:v>Moderate</x:v>
      </x:c>
      <x:c r="P1177" t="str">
        <x:f>IF(I1177&gt;=70,"Yes","No")</x:f>
        <x:v>No</x:v>
      </x:c>
      <x:c r="Q1177" t="str">
        <x:f>TEXT(B1177,"yyyy-mm")</x:f>
        <x:v>2016-05</x:v>
      </x:c>
    </x:row>
    <x:row r="1178">
      <x:c r="A1178" t="str">
        <x:v>HYD08</x:v>
      </x:c>
      <x:c r="B1178" s="22" t="n">
        <x:f>DATE(C1178,D1178,1)</x:f>
        <x:v>42522</x:v>
      </x:c>
      <x:c r="C1178" t="n">
        <x:v>2016</x:v>
      </x:c>
      <x:c r="D1178" t="n">
        <x:v>6</x:v>
      </x:c>
      <x:c r="E1178" t="str">
        <x:f>TEXT(B1178,"mmm")</x:f>
        <x:v>Jun</x:v>
      </x:c>
      <x:c r="F1178" t="str">
        <x:f>"Q"&amp;ROUNDUP(D1178/3,0)</x:f>
        <x:v>Q2</x:v>
      </x:c>
      <x:c r="G1178" s="23" t="n">
        <x:v>65</x:v>
      </x:c>
      <x:c r="H1178" s="23" t="n">
        <x:v>61</x:v>
      </x:c>
      <x:c r="I1178" s="23" t="n">
        <x:v>63</x:v>
      </x:c>
      <x:c r="J1178" s="23" t="n">
        <x:f>G1178-H1178</x:f>
        <x:v>4</x:v>
      </x:c>
      <x:c r="K1178" t="str">
        <x:v>OBSERVED</x:v>
      </x:c>
      <x:c r="L1178" s="24" t="n">
        <x:v>17.4931</x:v>
      </x:c>
      <x:c r="M1178" s="24" t="n">
        <x:v>78.411</x:v>
      </x:c>
      <x:c r="N1178" t="str">
        <x:f>IF(I1178&gt;70,"70+ dB",IF(I1178&gt;55,"56-70 dB","41-55 dB"))</x:f>
        <x:v>56-70 dB</x:v>
      </x:c>
      <x:c r="O1178" t="str">
        <x:f>IF(I1178&gt;70,"High",IF(I1178&gt;55,"Moderate","Low"))</x:f>
        <x:v>Moderate</x:v>
      </x:c>
      <x:c r="P1178" t="str">
        <x:f>IF(I1178&gt;=70,"Yes","No")</x:f>
        <x:v>No</x:v>
      </x:c>
      <x:c r="Q1178" t="str">
        <x:f>TEXT(B1178,"yyyy-mm")</x:f>
        <x:v>2016-06</x:v>
      </x:c>
    </x:row>
    <x:row r="1179">
      <x:c r="A1179" t="str">
        <x:v>HYD08</x:v>
      </x:c>
      <x:c r="B1179" s="22" t="n">
        <x:f>DATE(C1179,D1179,1)</x:f>
        <x:v>42552</x:v>
      </x:c>
      <x:c r="C1179" t="n">
        <x:v>2016</x:v>
      </x:c>
      <x:c r="D1179" t="n">
        <x:v>7</x:v>
      </x:c>
      <x:c r="E1179" t="str">
        <x:f>TEXT(B1179,"mmm")</x:f>
        <x:v>Jul</x:v>
      </x:c>
      <x:c r="F1179" t="str">
        <x:f>"Q"&amp;ROUNDUP(D1179/3,0)</x:f>
        <x:v>Q3</x:v>
      </x:c>
      <x:c r="G1179" s="23" t="n">
        <x:v>65</x:v>
      </x:c>
      <x:c r="H1179" s="23" t="n">
        <x:v>62</x:v>
      </x:c>
      <x:c r="I1179" s="23" t="n">
        <x:v>63.5</x:v>
      </x:c>
      <x:c r="J1179" s="23" t="n">
        <x:f>G1179-H1179</x:f>
        <x:v>3</x:v>
      </x:c>
      <x:c r="K1179" t="str">
        <x:v>OBSERVED</x:v>
      </x:c>
      <x:c r="L1179" s="24" t="n">
        <x:v>17.4931</x:v>
      </x:c>
      <x:c r="M1179" s="24" t="n">
        <x:v>78.411</x:v>
      </x:c>
      <x:c r="N1179" t="str">
        <x:f>IF(I1179&gt;70,"70+ dB",IF(I1179&gt;55,"56-70 dB","41-55 dB"))</x:f>
        <x:v>56-70 dB</x:v>
      </x:c>
      <x:c r="O1179" t="str">
        <x:f>IF(I1179&gt;70,"High",IF(I1179&gt;55,"Moderate","Low"))</x:f>
        <x:v>Moderate</x:v>
      </x:c>
      <x:c r="P1179" t="str">
        <x:f>IF(I1179&gt;=70,"Yes","No")</x:f>
        <x:v>No</x:v>
      </x:c>
      <x:c r="Q1179" t="str">
        <x:f>TEXT(B1179,"yyyy-mm")</x:f>
        <x:v>2016-07</x:v>
      </x:c>
    </x:row>
    <x:row r="1180">
      <x:c r="A1180" t="str">
        <x:v>HYD08</x:v>
      </x:c>
      <x:c r="B1180" s="22" t="n">
        <x:f>DATE(C1180,D1180,1)</x:f>
        <x:v>42583</x:v>
      </x:c>
      <x:c r="C1180" t="n">
        <x:v>2016</x:v>
      </x:c>
      <x:c r="D1180" t="n">
        <x:v>8</x:v>
      </x:c>
      <x:c r="E1180" t="str">
        <x:f>TEXT(B1180,"mmm")</x:f>
        <x:v>Aug</x:v>
      </x:c>
      <x:c r="F1180" t="str">
        <x:f>"Q"&amp;ROUNDUP(D1180/3,0)</x:f>
        <x:v>Q3</x:v>
      </x:c>
      <x:c r="G1180" s="23" t="n">
        <x:v>66</x:v>
      </x:c>
      <x:c r="H1180" s="23" t="n">
        <x:v>60</x:v>
      </x:c>
      <x:c r="I1180" s="23" t="n">
        <x:v>63</x:v>
      </x:c>
      <x:c r="J1180" s="23" t="n">
        <x:f>G1180-H1180</x:f>
        <x:v>6</x:v>
      </x:c>
      <x:c r="K1180" t="str">
        <x:v>OBSERVED</x:v>
      </x:c>
      <x:c r="L1180" s="24" t="n">
        <x:v>17.4931</x:v>
      </x:c>
      <x:c r="M1180" s="24" t="n">
        <x:v>78.411</x:v>
      </x:c>
      <x:c r="N1180" t="str">
        <x:f>IF(I1180&gt;70,"70+ dB",IF(I1180&gt;55,"56-70 dB","41-55 dB"))</x:f>
        <x:v>56-70 dB</x:v>
      </x:c>
      <x:c r="O1180" t="str">
        <x:f>IF(I1180&gt;70,"High",IF(I1180&gt;55,"Moderate","Low"))</x:f>
        <x:v>Moderate</x:v>
      </x:c>
      <x:c r="P1180" t="str">
        <x:f>IF(I1180&gt;=70,"Yes","No")</x:f>
        <x:v>No</x:v>
      </x:c>
      <x:c r="Q1180" t="str">
        <x:f>TEXT(B1180,"yyyy-mm")</x:f>
        <x:v>2016-08</x:v>
      </x:c>
    </x:row>
    <x:row r="1181">
      <x:c r="A1181" t="str">
        <x:v>HYD08</x:v>
      </x:c>
      <x:c r="B1181" s="22" t="n">
        <x:f>DATE(C1181,D1181,1)</x:f>
        <x:v>42614</x:v>
      </x:c>
      <x:c r="C1181" t="n">
        <x:v>2016</x:v>
      </x:c>
      <x:c r="D1181" t="n">
        <x:v>9</x:v>
      </x:c>
      <x:c r="E1181" t="str">
        <x:f>TEXT(B1181,"mmm")</x:f>
        <x:v>Sep</x:v>
      </x:c>
      <x:c r="F1181" t="str">
        <x:f>"Q"&amp;ROUNDUP(D1181/3,0)</x:f>
        <x:v>Q3</x:v>
      </x:c>
      <x:c r="G1181" s="23" t="n">
        <x:v>75</x:v>
      </x:c>
      <x:c r="H1181" s="23" t="n">
        <x:v>65</x:v>
      </x:c>
      <x:c r="I1181" s="23" t="n">
        <x:v>70</x:v>
      </x:c>
      <x:c r="J1181" s="23" t="n">
        <x:f>G1181-H1181</x:f>
        <x:v>10</x:v>
      </x:c>
      <x:c r="K1181" t="str">
        <x:v>OBSERVED</x:v>
      </x:c>
      <x:c r="L1181" s="24" t="n">
        <x:v>17.4931</x:v>
      </x:c>
      <x:c r="M1181" s="24" t="n">
        <x:v>78.411</x:v>
      </x:c>
      <x:c r="N1181" t="str">
        <x:f>IF(I1181&gt;70,"70+ dB",IF(I1181&gt;55,"56-70 dB","41-55 dB"))</x:f>
        <x:v>56-70 dB</x:v>
      </x:c>
      <x:c r="O1181" t="str">
        <x:f>IF(I1181&gt;70,"High",IF(I1181&gt;55,"Moderate","Low"))</x:f>
        <x:v>Moderate</x:v>
      </x:c>
      <x:c r="P1181" t="str">
        <x:f>IF(I1181&gt;=70,"Yes","No")</x:f>
        <x:v>Yes</x:v>
      </x:c>
      <x:c r="Q1181" t="str">
        <x:f>TEXT(B1181,"yyyy-mm")</x:f>
        <x:v>2016-09</x:v>
      </x:c>
    </x:row>
    <x:row r="1182">
      <x:c r="A1182" t="str">
        <x:v>HYD08</x:v>
      </x:c>
      <x:c r="B1182" s="22" t="n">
        <x:f>DATE(C1182,D1182,1)</x:f>
        <x:v>42644</x:v>
      </x:c>
      <x:c r="C1182" t="n">
        <x:v>2016</x:v>
      </x:c>
      <x:c r="D1182" t="n">
        <x:v>10</x:v>
      </x:c>
      <x:c r="E1182" t="str">
        <x:f>TEXT(B1182,"mmm")</x:f>
        <x:v>Oct</x:v>
      </x:c>
      <x:c r="F1182" t="str">
        <x:f>"Q"&amp;ROUNDUP(D1182/3,0)</x:f>
        <x:v>Q4</x:v>
      </x:c>
      <x:c r="G1182" s="23" t="n">
        <x:v>60</x:v>
      </x:c>
      <x:c r="H1182" s="23" t="n">
        <x:v>50</x:v>
      </x:c>
      <x:c r="I1182" s="23" t="n">
        <x:v>55</x:v>
      </x:c>
      <x:c r="J1182" s="23" t="n">
        <x:f>G1182-H1182</x:f>
        <x:v>10</x:v>
      </x:c>
      <x:c r="K1182" t="str">
        <x:v>OBSERVED</x:v>
      </x:c>
      <x:c r="L1182" s="24" t="n">
        <x:v>17.4931</x:v>
      </x:c>
      <x:c r="M1182" s="24" t="n">
        <x:v>78.411</x:v>
      </x:c>
      <x:c r="N1182" t="str">
        <x:f>IF(I1182&gt;70,"70+ dB",IF(I1182&gt;55,"56-70 dB","41-55 dB"))</x:f>
        <x:v>41-55 dB</x:v>
      </x:c>
      <x:c r="O1182" t="str">
        <x:f>IF(I1182&gt;70,"High",IF(I1182&gt;55,"Moderate","Low"))</x:f>
        <x:v>Low</x:v>
      </x:c>
      <x:c r="P1182" t="str">
        <x:f>IF(I1182&gt;=70,"Yes","No")</x:f>
        <x:v>No</x:v>
      </x:c>
      <x:c r="Q1182" t="str">
        <x:f>TEXT(B1182,"yyyy-mm")</x:f>
        <x:v>2016-10</x:v>
      </x:c>
    </x:row>
    <x:row r="1183">
      <x:c r="A1183" t="str">
        <x:v>HYD08</x:v>
      </x:c>
      <x:c r="B1183" s="22" t="n">
        <x:f>DATE(C1183,D1183,1)</x:f>
        <x:v>42675</x:v>
      </x:c>
      <x:c r="C1183" t="n">
        <x:v>2016</x:v>
      </x:c>
      <x:c r="D1183" t="n">
        <x:v>11</x:v>
      </x:c>
      <x:c r="E1183" t="str">
        <x:f>TEXT(B1183,"mmm")</x:f>
        <x:v>Nov</x:v>
      </x:c>
      <x:c r="F1183" t="str">
        <x:f>"Q"&amp;ROUNDUP(D1183/3,0)</x:f>
        <x:v>Q4</x:v>
      </x:c>
      <x:c r="G1183" s="23" t="n">
        <x:v>58</x:v>
      </x:c>
      <x:c r="H1183" s="23" t="n">
        <x:v>50</x:v>
      </x:c>
      <x:c r="I1183" s="23" t="n">
        <x:v>54</x:v>
      </x:c>
      <x:c r="J1183" s="23" t="n">
        <x:f>G1183-H1183</x:f>
        <x:v>8</x:v>
      </x:c>
      <x:c r="K1183" t="str">
        <x:v>OBSERVED</x:v>
      </x:c>
      <x:c r="L1183" s="24" t="n">
        <x:v>17.4931</x:v>
      </x:c>
      <x:c r="M1183" s="24" t="n">
        <x:v>78.411</x:v>
      </x:c>
      <x:c r="N1183" t="str">
        <x:f>IF(I1183&gt;70,"70+ dB",IF(I1183&gt;55,"56-70 dB","41-55 dB"))</x:f>
        <x:v>41-55 dB</x:v>
      </x:c>
      <x:c r="O1183" t="str">
        <x:f>IF(I1183&gt;70,"High",IF(I1183&gt;55,"Moderate","Low"))</x:f>
        <x:v>Low</x:v>
      </x:c>
      <x:c r="P1183" t="str">
        <x:f>IF(I1183&gt;=70,"Yes","No")</x:f>
        <x:v>No</x:v>
      </x:c>
      <x:c r="Q1183" t="str">
        <x:f>TEXT(B1183,"yyyy-mm")</x:f>
        <x:v>2016-11</x:v>
      </x:c>
    </x:row>
    <x:row r="1184">
      <x:c r="A1184" t="str">
        <x:v>HYD08</x:v>
      </x:c>
      <x:c r="B1184" s="22" t="n">
        <x:f>DATE(C1184,D1184,1)</x:f>
        <x:v>42705</x:v>
      </x:c>
      <x:c r="C1184" t="n">
        <x:v>2016</x:v>
      </x:c>
      <x:c r="D1184" t="n">
        <x:v>12</x:v>
      </x:c>
      <x:c r="E1184" t="str">
        <x:f>TEXT(B1184,"mmm")</x:f>
        <x:v>Dec</x:v>
      </x:c>
      <x:c r="F1184" t="str">
        <x:f>"Q"&amp;ROUNDUP(D1184/3,0)</x:f>
        <x:v>Q4</x:v>
      </x:c>
      <x:c r="G1184" s="23" t="n">
        <x:v>59</x:v>
      </x:c>
      <x:c r="H1184" s="23" t="n">
        <x:v>57</x:v>
      </x:c>
      <x:c r="I1184" s="23" t="n">
        <x:v>58</x:v>
      </x:c>
      <x:c r="J1184" s="23" t="n">
        <x:f>G1184-H1184</x:f>
        <x:v>2</x:v>
      </x:c>
      <x:c r="K1184" t="str">
        <x:v>OBSERVED</x:v>
      </x:c>
      <x:c r="L1184" s="24" t="n">
        <x:v>17.4931</x:v>
      </x:c>
      <x:c r="M1184" s="24" t="n">
        <x:v>78.411</x:v>
      </x:c>
      <x:c r="N1184" t="str">
        <x:f>IF(I1184&gt;70,"70+ dB",IF(I1184&gt;55,"56-70 dB","41-55 dB"))</x:f>
        <x:v>56-70 dB</x:v>
      </x:c>
      <x:c r="O1184" t="str">
        <x:f>IF(I1184&gt;70,"High",IF(I1184&gt;55,"Moderate","Low"))</x:f>
        <x:v>Moderate</x:v>
      </x:c>
      <x:c r="P1184" t="str">
        <x:f>IF(I1184&gt;=70,"Yes","No")</x:f>
        <x:v>No</x:v>
      </x:c>
      <x:c r="Q1184" t="str">
        <x:f>TEXT(B1184,"yyyy-mm")</x:f>
        <x:v>2016-12</x:v>
      </x:c>
    </x:row>
    <x:row r="1185">
      <x:c r="A1185" t="str">
        <x:v>HYD08</x:v>
      </x:c>
      <x:c r="B1185" s="22" t="n">
        <x:f>DATE(C1185,D1185,1)</x:f>
        <x:v>42736</x:v>
      </x:c>
      <x:c r="C1185" t="n">
        <x:v>2017</x:v>
      </x:c>
      <x:c r="D1185" t="n">
        <x:v>1</x:v>
      </x:c>
      <x:c r="E1185" t="str">
        <x:f>TEXT(B1185,"mmm")</x:f>
        <x:v>Jan</x:v>
      </x:c>
      <x:c r="F1185" t="str">
        <x:f>"Q"&amp;ROUNDUP(D1185/3,0)</x:f>
        <x:v>Q1</x:v>
      </x:c>
      <x:c r="G1185" s="23" t="n">
        <x:v>58</x:v>
      </x:c>
      <x:c r="H1185" s="23" t="n">
        <x:v>51</x:v>
      </x:c>
      <x:c r="I1185" s="23" t="n">
        <x:v>54.5</x:v>
      </x:c>
      <x:c r="J1185" s="23" t="n">
        <x:f>G1185-H1185</x:f>
        <x:v>7</x:v>
      </x:c>
      <x:c r="K1185" t="str">
        <x:v>OBSERVED</x:v>
      </x:c>
      <x:c r="L1185" s="24" t="n">
        <x:v>17.4931</x:v>
      </x:c>
      <x:c r="M1185" s="24" t="n">
        <x:v>78.411</x:v>
      </x:c>
      <x:c r="N1185" t="str">
        <x:f>IF(I1185&gt;70,"70+ dB",IF(I1185&gt;55,"56-70 dB","41-55 dB"))</x:f>
        <x:v>41-55 dB</x:v>
      </x:c>
      <x:c r="O1185" t="str">
        <x:f>IF(I1185&gt;70,"High",IF(I1185&gt;55,"Moderate","Low"))</x:f>
        <x:v>Low</x:v>
      </x:c>
      <x:c r="P1185" t="str">
        <x:f>IF(I1185&gt;=70,"Yes","No")</x:f>
        <x:v>No</x:v>
      </x:c>
      <x:c r="Q1185" t="str">
        <x:f>TEXT(B1185,"yyyy-mm")</x:f>
        <x:v>2017-01</x:v>
      </x:c>
    </x:row>
    <x:row r="1186">
      <x:c r="A1186" t="str">
        <x:v>HYD08</x:v>
      </x:c>
      <x:c r="B1186" s="22" t="n">
        <x:f>DATE(C1186,D1186,1)</x:f>
        <x:v>42767</x:v>
      </x:c>
      <x:c r="C1186" t="n">
        <x:v>2017</x:v>
      </x:c>
      <x:c r="D1186" t="n">
        <x:v>2</x:v>
      </x:c>
      <x:c r="E1186" t="str">
        <x:f>TEXT(B1186,"mmm")</x:f>
        <x:v>Feb</x:v>
      </x:c>
      <x:c r="F1186" t="str">
        <x:f>"Q"&amp;ROUNDUP(D1186/3,0)</x:f>
        <x:v>Q1</x:v>
      </x:c>
      <x:c r="G1186" s="23" t="n">
        <x:v>61</x:v>
      </x:c>
      <x:c r="H1186" s="23" t="n">
        <x:v>52</x:v>
      </x:c>
      <x:c r="I1186" s="23" t="n">
        <x:v>56.5</x:v>
      </x:c>
      <x:c r="J1186" s="23" t="n">
        <x:f>G1186-H1186</x:f>
        <x:v>9</x:v>
      </x:c>
      <x:c r="K1186" t="str">
        <x:v>OBSERVED</x:v>
      </x:c>
      <x:c r="L1186" s="24" t="n">
        <x:v>17.4931</x:v>
      </x:c>
      <x:c r="M1186" s="24" t="n">
        <x:v>78.411</x:v>
      </x:c>
      <x:c r="N1186" t="str">
        <x:f>IF(I1186&gt;70,"70+ dB",IF(I1186&gt;55,"56-70 dB","41-55 dB"))</x:f>
        <x:v>56-70 dB</x:v>
      </x:c>
      <x:c r="O1186" t="str">
        <x:f>IF(I1186&gt;70,"High",IF(I1186&gt;55,"Moderate","Low"))</x:f>
        <x:v>Moderate</x:v>
      </x:c>
      <x:c r="P1186" t="str">
        <x:f>IF(I1186&gt;=70,"Yes","No")</x:f>
        <x:v>No</x:v>
      </x:c>
      <x:c r="Q1186" t="str">
        <x:f>TEXT(B1186,"yyyy-mm")</x:f>
        <x:v>2017-02</x:v>
      </x:c>
    </x:row>
    <x:row r="1187">
      <x:c r="A1187" t="str">
        <x:v>HYD08</x:v>
      </x:c>
      <x:c r="B1187" s="22" t="n">
        <x:f>DATE(C1187,D1187,1)</x:f>
        <x:v>42795</x:v>
      </x:c>
      <x:c r="C1187" t="n">
        <x:v>2017</x:v>
      </x:c>
      <x:c r="D1187" t="n">
        <x:v>3</x:v>
      </x:c>
      <x:c r="E1187" t="str">
        <x:f>TEXT(B1187,"mmm")</x:f>
        <x:v>Mar</x:v>
      </x:c>
      <x:c r="F1187" t="str">
        <x:f>"Q"&amp;ROUNDUP(D1187/3,0)</x:f>
        <x:v>Q1</x:v>
      </x:c>
      <x:c r="G1187" s="23" t="n">
        <x:v>59</x:v>
      </x:c>
      <x:c r="H1187" s="23" t="n">
        <x:v>53</x:v>
      </x:c>
      <x:c r="I1187" s="23" t="n">
        <x:v>56</x:v>
      </x:c>
      <x:c r="J1187" s="23" t="n">
        <x:f>G1187-H1187</x:f>
        <x:v>6</x:v>
      </x:c>
      <x:c r="K1187" t="str">
        <x:v>OBSERVED</x:v>
      </x:c>
      <x:c r="L1187" s="24" t="n">
        <x:v>17.4931</x:v>
      </x:c>
      <x:c r="M1187" s="24" t="n">
        <x:v>78.411</x:v>
      </x:c>
      <x:c r="N1187" t="str">
        <x:f>IF(I1187&gt;70,"70+ dB",IF(I1187&gt;55,"56-70 dB","41-55 dB"))</x:f>
        <x:v>56-70 dB</x:v>
      </x:c>
      <x:c r="O1187" t="str">
        <x:f>IF(I1187&gt;70,"High",IF(I1187&gt;55,"Moderate","Low"))</x:f>
        <x:v>Moderate</x:v>
      </x:c>
      <x:c r="P1187" t="str">
        <x:f>IF(I1187&gt;=70,"Yes","No")</x:f>
        <x:v>No</x:v>
      </x:c>
      <x:c r="Q1187" t="str">
        <x:f>TEXT(B1187,"yyyy-mm")</x:f>
        <x:v>2017-03</x:v>
      </x:c>
    </x:row>
    <x:row r="1188">
      <x:c r="A1188" t="str">
        <x:v>HYD08</x:v>
      </x:c>
      <x:c r="B1188" s="22" t="n">
        <x:f>DATE(C1188,D1188,1)</x:f>
        <x:v>42826</x:v>
      </x:c>
      <x:c r="C1188" t="n">
        <x:v>2017</x:v>
      </x:c>
      <x:c r="D1188" t="n">
        <x:v>4</x:v>
      </x:c>
      <x:c r="E1188" t="str">
        <x:f>TEXT(B1188,"mmm")</x:f>
        <x:v>Apr</x:v>
      </x:c>
      <x:c r="F1188" t="str">
        <x:f>"Q"&amp;ROUNDUP(D1188/3,0)</x:f>
        <x:v>Q2</x:v>
      </x:c>
      <x:c r="G1188" s="23" t="n">
        <x:v>67</x:v>
      </x:c>
      <x:c r="H1188" s="23" t="n">
        <x:v>61</x:v>
      </x:c>
      <x:c r="I1188" s="23" t="n">
        <x:v>64</x:v>
      </x:c>
      <x:c r="J1188" s="23" t="n">
        <x:f>G1188-H1188</x:f>
        <x:v>6</x:v>
      </x:c>
      <x:c r="K1188" t="str">
        <x:v>OBSERVED</x:v>
      </x:c>
      <x:c r="L1188" s="24" t="n">
        <x:v>17.4931</x:v>
      </x:c>
      <x:c r="M1188" s="24" t="n">
        <x:v>78.411</x:v>
      </x:c>
      <x:c r="N1188" t="str">
        <x:f>IF(I1188&gt;70,"70+ dB",IF(I1188&gt;55,"56-70 dB","41-55 dB"))</x:f>
        <x:v>56-70 dB</x:v>
      </x:c>
      <x:c r="O1188" t="str">
        <x:f>IF(I1188&gt;70,"High",IF(I1188&gt;55,"Moderate","Low"))</x:f>
        <x:v>Moderate</x:v>
      </x:c>
      <x:c r="P1188" t="str">
        <x:f>IF(I1188&gt;=70,"Yes","No")</x:f>
        <x:v>No</x:v>
      </x:c>
      <x:c r="Q1188" t="str">
        <x:f>TEXT(B1188,"yyyy-mm")</x:f>
        <x:v>2017-04</x:v>
      </x:c>
    </x:row>
    <x:row r="1189">
      <x:c r="A1189" t="str">
        <x:v>HYD08</x:v>
      </x:c>
      <x:c r="B1189" s="22" t="n">
        <x:f>DATE(C1189,D1189,1)</x:f>
        <x:v>42856</x:v>
      </x:c>
      <x:c r="C1189" t="n">
        <x:v>2017</x:v>
      </x:c>
      <x:c r="D1189" t="n">
        <x:v>5</x:v>
      </x:c>
      <x:c r="E1189" t="str">
        <x:f>TEXT(B1189,"mmm")</x:f>
        <x:v>May</x:v>
      </x:c>
      <x:c r="F1189" t="str">
        <x:f>"Q"&amp;ROUNDUP(D1189/3,0)</x:f>
        <x:v>Q2</x:v>
      </x:c>
      <x:c r="G1189" s="23" t="n">
        <x:v>74</x:v>
      </x:c>
      <x:c r="H1189" s="23" t="n">
        <x:v>77</x:v>
      </x:c>
      <x:c r="I1189" s="23" t="n">
        <x:v>75.5</x:v>
      </x:c>
      <x:c r="J1189" s="23" t="n">
        <x:f>G1189-H1189</x:f>
        <x:v>-3</x:v>
      </x:c>
      <x:c r="K1189" t="str">
        <x:v>OBSERVED</x:v>
      </x:c>
      <x:c r="L1189" s="24" t="n">
        <x:v>17.4931</x:v>
      </x:c>
      <x:c r="M1189" s="24" t="n">
        <x:v>78.411</x:v>
      </x:c>
      <x:c r="N1189" t="str">
        <x:f>IF(I1189&gt;70,"70+ dB",IF(I1189&gt;55,"56-70 dB","41-55 dB"))</x:f>
        <x:v>70+ dB</x:v>
      </x:c>
      <x:c r="O1189" t="str">
        <x:f>IF(I1189&gt;70,"High",IF(I1189&gt;55,"Moderate","Low"))</x:f>
        <x:v>High</x:v>
      </x:c>
      <x:c r="P1189" t="str">
        <x:f>IF(I1189&gt;=70,"Yes","No")</x:f>
        <x:v>Yes</x:v>
      </x:c>
      <x:c r="Q1189" t="str">
        <x:f>TEXT(B1189,"yyyy-mm")</x:f>
        <x:v>2017-05</x:v>
      </x:c>
    </x:row>
    <x:row r="1190">
      <x:c r="A1190" t="str">
        <x:v>HYD08</x:v>
      </x:c>
      <x:c r="B1190" s="22" t="n">
        <x:f>DATE(C1190,D1190,1)</x:f>
        <x:v>42887</x:v>
      </x:c>
      <x:c r="C1190" t="n">
        <x:v>2017</x:v>
      </x:c>
      <x:c r="D1190" t="n">
        <x:v>6</x:v>
      </x:c>
      <x:c r="E1190" t="str">
        <x:f>TEXT(B1190,"mmm")</x:f>
        <x:v>Jun</x:v>
      </x:c>
      <x:c r="F1190" t="str">
        <x:f>"Q"&amp;ROUNDUP(D1190/3,0)</x:f>
        <x:v>Q2</x:v>
      </x:c>
      <x:c r="G1190" s="23" t="n">
        <x:v>62</x:v>
      </x:c>
      <x:c r="H1190" s="23" t="n">
        <x:v>62</x:v>
      </x:c>
      <x:c r="I1190" s="23" t="n">
        <x:v>62</x:v>
      </x:c>
      <x:c r="J1190" s="23" t="n">
        <x:f>G1190-H1190</x:f>
        <x:v>0</x:v>
      </x:c>
      <x:c r="K1190" t="str">
        <x:v>OBSERVED</x:v>
      </x:c>
      <x:c r="L1190" s="24" t="n">
        <x:v>17.4931</x:v>
      </x:c>
      <x:c r="M1190" s="24" t="n">
        <x:v>78.411</x:v>
      </x:c>
      <x:c r="N1190" t="str">
        <x:f>IF(I1190&gt;70,"70+ dB",IF(I1190&gt;55,"56-70 dB","41-55 dB"))</x:f>
        <x:v>56-70 dB</x:v>
      </x:c>
      <x:c r="O1190" t="str">
        <x:f>IF(I1190&gt;70,"High",IF(I1190&gt;55,"Moderate","Low"))</x:f>
        <x:v>Moderate</x:v>
      </x:c>
      <x:c r="P1190" t="str">
        <x:f>IF(I1190&gt;=70,"Yes","No")</x:f>
        <x:v>No</x:v>
      </x:c>
      <x:c r="Q1190" t="str">
        <x:f>TEXT(B1190,"yyyy-mm")</x:f>
        <x:v>2017-06</x:v>
      </x:c>
    </x:row>
    <x:row r="1191">
      <x:c r="A1191" t="str">
        <x:v>HYD08</x:v>
      </x:c>
      <x:c r="B1191" s="22" t="n">
        <x:f>DATE(C1191,D1191,1)</x:f>
        <x:v>42917</x:v>
      </x:c>
      <x:c r="C1191" t="n">
        <x:v>2017</x:v>
      </x:c>
      <x:c r="D1191" t="n">
        <x:v>7</x:v>
      </x:c>
      <x:c r="E1191" t="str">
        <x:f>TEXT(B1191,"mmm")</x:f>
        <x:v>Jul</x:v>
      </x:c>
      <x:c r="F1191" t="str">
        <x:f>"Q"&amp;ROUNDUP(D1191/3,0)</x:f>
        <x:v>Q3</x:v>
      </x:c>
      <x:c r="G1191" s="23" t="n">
        <x:v>62</x:v>
      </x:c>
      <x:c r="H1191" s="23" t="n">
        <x:v>59</x:v>
      </x:c>
      <x:c r="I1191" s="23" t="n">
        <x:v>60.5</x:v>
      </x:c>
      <x:c r="J1191" s="23" t="n">
        <x:f>G1191-H1191</x:f>
        <x:v>3</x:v>
      </x:c>
      <x:c r="K1191" t="str">
        <x:v>OBSERVED</x:v>
      </x:c>
      <x:c r="L1191" s="24" t="n">
        <x:v>17.4931</x:v>
      </x:c>
      <x:c r="M1191" s="24" t="n">
        <x:v>78.411</x:v>
      </x:c>
      <x:c r="N1191" t="str">
        <x:f>IF(I1191&gt;70,"70+ dB",IF(I1191&gt;55,"56-70 dB","41-55 dB"))</x:f>
        <x:v>56-70 dB</x:v>
      </x:c>
      <x:c r="O1191" t="str">
        <x:f>IF(I1191&gt;70,"High",IF(I1191&gt;55,"Moderate","Low"))</x:f>
        <x:v>Moderate</x:v>
      </x:c>
      <x:c r="P1191" t="str">
        <x:f>IF(I1191&gt;=70,"Yes","No")</x:f>
        <x:v>No</x:v>
      </x:c>
      <x:c r="Q1191" t="str">
        <x:f>TEXT(B1191,"yyyy-mm")</x:f>
        <x:v>2017-07</x:v>
      </x:c>
    </x:row>
    <x:row r="1192">
      <x:c r="A1192" t="str">
        <x:v>HYD08</x:v>
      </x:c>
      <x:c r="B1192" s="22" t="n">
        <x:f>DATE(C1192,D1192,1)</x:f>
        <x:v>42948</x:v>
      </x:c>
      <x:c r="C1192" t="n">
        <x:v>2017</x:v>
      </x:c>
      <x:c r="D1192" t="n">
        <x:v>8</x:v>
      </x:c>
      <x:c r="E1192" t="str">
        <x:f>TEXT(B1192,"mmm")</x:f>
        <x:v>Aug</x:v>
      </x:c>
      <x:c r="F1192" t="str">
        <x:f>"Q"&amp;ROUNDUP(D1192/3,0)</x:f>
        <x:v>Q3</x:v>
      </x:c>
      <x:c r="G1192" s="23" t="n">
        <x:v>58</x:v>
      </x:c>
      <x:c r="H1192" s="23" t="n">
        <x:v>54</x:v>
      </x:c>
      <x:c r="I1192" s="23" t="n">
        <x:v>56</x:v>
      </x:c>
      <x:c r="J1192" s="23" t="n">
        <x:f>G1192-H1192</x:f>
        <x:v>4</x:v>
      </x:c>
      <x:c r="K1192" t="str">
        <x:v>OBSERVED</x:v>
      </x:c>
      <x:c r="L1192" s="24" t="n">
        <x:v>17.4931</x:v>
      </x:c>
      <x:c r="M1192" s="24" t="n">
        <x:v>78.411</x:v>
      </x:c>
      <x:c r="N1192" t="str">
        <x:f>IF(I1192&gt;70,"70+ dB",IF(I1192&gt;55,"56-70 dB","41-55 dB"))</x:f>
        <x:v>56-70 dB</x:v>
      </x:c>
      <x:c r="O1192" t="str">
        <x:f>IF(I1192&gt;70,"High",IF(I1192&gt;55,"Moderate","Low"))</x:f>
        <x:v>Moderate</x:v>
      </x:c>
      <x:c r="P1192" t="str">
        <x:f>IF(I1192&gt;=70,"Yes","No")</x:f>
        <x:v>No</x:v>
      </x:c>
      <x:c r="Q1192" t="str">
        <x:f>TEXT(B1192,"yyyy-mm")</x:f>
        <x:v>2017-08</x:v>
      </x:c>
    </x:row>
    <x:row r="1193">
      <x:c r="A1193" t="str">
        <x:v>HYD08</x:v>
      </x:c>
      <x:c r="B1193" s="22" t="n">
        <x:f>DATE(C1193,D1193,1)</x:f>
        <x:v>42979</x:v>
      </x:c>
      <x:c r="C1193" t="n">
        <x:v>2017</x:v>
      </x:c>
      <x:c r="D1193" t="n">
        <x:v>9</x:v>
      </x:c>
      <x:c r="E1193" t="str">
        <x:f>TEXT(B1193,"mmm")</x:f>
        <x:v>Sep</x:v>
      </x:c>
      <x:c r="F1193" t="str">
        <x:f>"Q"&amp;ROUNDUP(D1193/3,0)</x:f>
        <x:v>Q3</x:v>
      </x:c>
      <x:c r="G1193" s="23" t="n">
        <x:v>58</x:v>
      </x:c>
      <x:c r="H1193" s="23" t="n">
        <x:v>51</x:v>
      </x:c>
      <x:c r="I1193" s="23" t="n">
        <x:v>54.5</x:v>
      </x:c>
      <x:c r="J1193" s="23" t="n">
        <x:f>G1193-H1193</x:f>
        <x:v>7</x:v>
      </x:c>
      <x:c r="K1193" t="str">
        <x:v>OBSERVED</x:v>
      </x:c>
      <x:c r="L1193" s="24" t="n">
        <x:v>17.4931</x:v>
      </x:c>
      <x:c r="M1193" s="24" t="n">
        <x:v>78.411</x:v>
      </x:c>
      <x:c r="N1193" t="str">
        <x:f>IF(I1193&gt;70,"70+ dB",IF(I1193&gt;55,"56-70 dB","41-55 dB"))</x:f>
        <x:v>41-55 dB</x:v>
      </x:c>
      <x:c r="O1193" t="str">
        <x:f>IF(I1193&gt;70,"High",IF(I1193&gt;55,"Moderate","Low"))</x:f>
        <x:v>Low</x:v>
      </x:c>
      <x:c r="P1193" t="str">
        <x:f>IF(I1193&gt;=70,"Yes","No")</x:f>
        <x:v>No</x:v>
      </x:c>
      <x:c r="Q1193" t="str">
        <x:f>TEXT(B1193,"yyyy-mm")</x:f>
        <x:v>2017-09</x:v>
      </x:c>
    </x:row>
    <x:row r="1194">
      <x:c r="A1194" t="str">
        <x:v>HYD08</x:v>
      </x:c>
      <x:c r="B1194" s="22" t="n">
        <x:f>DATE(C1194,D1194,1)</x:f>
        <x:v>43009</x:v>
      </x:c>
      <x:c r="C1194" t="n">
        <x:v>2017</x:v>
      </x:c>
      <x:c r="D1194" t="n">
        <x:v>10</x:v>
      </x:c>
      <x:c r="E1194" t="str">
        <x:f>TEXT(B1194,"mmm")</x:f>
        <x:v>Oct</x:v>
      </x:c>
      <x:c r="F1194" t="str">
        <x:f>"Q"&amp;ROUNDUP(D1194/3,0)</x:f>
        <x:v>Q4</x:v>
      </x:c>
      <x:c r="G1194" s="23" t="n">
        <x:v>56</x:v>
      </x:c>
      <x:c r="H1194" s="23" t="n">
        <x:v>50</x:v>
      </x:c>
      <x:c r="I1194" s="23" t="n">
        <x:v>53</x:v>
      </x:c>
      <x:c r="J1194" s="23" t="n">
        <x:f>G1194-H1194</x:f>
        <x:v>6</x:v>
      </x:c>
      <x:c r="K1194" t="str">
        <x:v>OBSERVED</x:v>
      </x:c>
      <x:c r="L1194" s="24" t="n">
        <x:v>17.4931</x:v>
      </x:c>
      <x:c r="M1194" s="24" t="n">
        <x:v>78.411</x:v>
      </x:c>
      <x:c r="N1194" t="str">
        <x:f>IF(I1194&gt;70,"70+ dB",IF(I1194&gt;55,"56-70 dB","41-55 dB"))</x:f>
        <x:v>41-55 dB</x:v>
      </x:c>
      <x:c r="O1194" t="str">
        <x:f>IF(I1194&gt;70,"High",IF(I1194&gt;55,"Moderate","Low"))</x:f>
        <x:v>Low</x:v>
      </x:c>
      <x:c r="P1194" t="str">
        <x:f>IF(I1194&gt;=70,"Yes","No")</x:f>
        <x:v>No</x:v>
      </x:c>
      <x:c r="Q1194" t="str">
        <x:f>TEXT(B1194,"yyyy-mm")</x:f>
        <x:v>2017-10</x:v>
      </x:c>
    </x:row>
    <x:row r="1195">
      <x:c r="A1195" t="str">
        <x:v>HYD08</x:v>
      </x:c>
      <x:c r="B1195" s="22" t="n">
        <x:f>DATE(C1195,D1195,1)</x:f>
        <x:v>43040</x:v>
      </x:c>
      <x:c r="C1195" t="n">
        <x:v>2017</x:v>
      </x:c>
      <x:c r="D1195" t="n">
        <x:v>11</x:v>
      </x:c>
      <x:c r="E1195" t="str">
        <x:f>TEXT(B1195,"mmm")</x:f>
        <x:v>Nov</x:v>
      </x:c>
      <x:c r="F1195" t="str">
        <x:f>"Q"&amp;ROUNDUP(D1195/3,0)</x:f>
        <x:v>Q4</x:v>
      </x:c>
      <x:c r="G1195" s="23" t="n">
        <x:v>58</x:v>
      </x:c>
      <x:c r="H1195" s="23" t="n">
        <x:v>51</x:v>
      </x:c>
      <x:c r="I1195" s="23" t="n">
        <x:v>54.5</x:v>
      </x:c>
      <x:c r="J1195" s="23" t="n">
        <x:f>G1195-H1195</x:f>
        <x:v>7</x:v>
      </x:c>
      <x:c r="K1195" t="str">
        <x:v>OBSERVED</x:v>
      </x:c>
      <x:c r="L1195" s="24" t="n">
        <x:v>17.4931</x:v>
      </x:c>
      <x:c r="M1195" s="24" t="n">
        <x:v>78.411</x:v>
      </x:c>
      <x:c r="N1195" t="str">
        <x:f>IF(I1195&gt;70,"70+ dB",IF(I1195&gt;55,"56-70 dB","41-55 dB"))</x:f>
        <x:v>41-55 dB</x:v>
      </x:c>
      <x:c r="O1195" t="str">
        <x:f>IF(I1195&gt;70,"High",IF(I1195&gt;55,"Moderate","Low"))</x:f>
        <x:v>Low</x:v>
      </x:c>
      <x:c r="P1195" t="str">
        <x:f>IF(I1195&gt;=70,"Yes","No")</x:f>
        <x:v>No</x:v>
      </x:c>
      <x:c r="Q1195" t="str">
        <x:f>TEXT(B1195,"yyyy-mm")</x:f>
        <x:v>2017-11</x:v>
      </x:c>
    </x:row>
    <x:row r="1196">
      <x:c r="A1196" t="str">
        <x:v>HYD08</x:v>
      </x:c>
      <x:c r="B1196" s="22" t="n">
        <x:f>DATE(C1196,D1196,1)</x:f>
        <x:v>43070</x:v>
      </x:c>
      <x:c r="C1196" t="n">
        <x:v>2017</x:v>
      </x:c>
      <x:c r="D1196" t="n">
        <x:v>12</x:v>
      </x:c>
      <x:c r="E1196" t="str">
        <x:f>TEXT(B1196,"mmm")</x:f>
        <x:v>Dec</x:v>
      </x:c>
      <x:c r="F1196" t="str">
        <x:f>"Q"&amp;ROUNDUP(D1196/3,0)</x:f>
        <x:v>Q4</x:v>
      </x:c>
      <x:c r="G1196" s="23" t="n">
        <x:v>58</x:v>
      </x:c>
      <x:c r="H1196" s="23" t="n">
        <x:v>53</x:v>
      </x:c>
      <x:c r="I1196" s="23" t="n">
        <x:v>55.5</x:v>
      </x:c>
      <x:c r="J1196" s="23" t="n">
        <x:f>G1196-H1196</x:f>
        <x:v>5</x:v>
      </x:c>
      <x:c r="K1196" t="str">
        <x:v>OBSERVED</x:v>
      </x:c>
      <x:c r="L1196" s="24" t="n">
        <x:v>17.4931</x:v>
      </x:c>
      <x:c r="M1196" s="24" t="n">
        <x:v>78.411</x:v>
      </x:c>
      <x:c r="N1196" t="str">
        <x:f>IF(I1196&gt;70,"70+ dB",IF(I1196&gt;55,"56-70 dB","41-55 dB"))</x:f>
        <x:v>56-70 dB</x:v>
      </x:c>
      <x:c r="O1196" t="str">
        <x:f>IF(I1196&gt;70,"High",IF(I1196&gt;55,"Moderate","Low"))</x:f>
        <x:v>Moderate</x:v>
      </x:c>
      <x:c r="P1196" t="str">
        <x:f>IF(I1196&gt;=70,"Yes","No")</x:f>
        <x:v>No</x:v>
      </x:c>
      <x:c r="Q1196" t="str">
        <x:f>TEXT(B1196,"yyyy-mm")</x:f>
        <x:v>2017-12</x:v>
      </x:c>
    </x:row>
    <x:row r="1197">
      <x:c r="A1197" t="str">
        <x:v>HYD08</x:v>
      </x:c>
      <x:c r="B1197" s="22" t="n">
        <x:f>DATE(C1197,D1197,1)</x:f>
        <x:v>43101</x:v>
      </x:c>
      <x:c r="C1197" t="n">
        <x:v>2018</x:v>
      </x:c>
      <x:c r="D1197" t="n">
        <x:v>1</x:v>
      </x:c>
      <x:c r="E1197" t="str">
        <x:f>TEXT(B1197,"mmm")</x:f>
        <x:v>Jan</x:v>
      </x:c>
      <x:c r="F1197" t="str">
        <x:f>"Q"&amp;ROUNDUP(D1197/3,0)</x:f>
        <x:v>Q1</x:v>
      </x:c>
      <x:c r="G1197" s="23" t="n">
        <x:v>57</x:v>
      </x:c>
      <x:c r="H1197" s="23" t="n">
        <x:v>52</x:v>
      </x:c>
      <x:c r="I1197" s="23" t="n">
        <x:v>54.5</x:v>
      </x:c>
      <x:c r="J1197" s="23" t="n">
        <x:f>G1197-H1197</x:f>
        <x:v>5</x:v>
      </x:c>
      <x:c r="K1197" t="str">
        <x:v>OBSERVED</x:v>
      </x:c>
      <x:c r="L1197" s="24" t="n">
        <x:v>17.4931</x:v>
      </x:c>
      <x:c r="M1197" s="24" t="n">
        <x:v>78.411</x:v>
      </x:c>
      <x:c r="N1197" t="str">
        <x:f>IF(I1197&gt;70,"70+ dB",IF(I1197&gt;55,"56-70 dB","41-55 dB"))</x:f>
        <x:v>41-55 dB</x:v>
      </x:c>
      <x:c r="O1197" t="str">
        <x:f>IF(I1197&gt;70,"High",IF(I1197&gt;55,"Moderate","Low"))</x:f>
        <x:v>Low</x:v>
      </x:c>
      <x:c r="P1197" t="str">
        <x:f>IF(I1197&gt;=70,"Yes","No")</x:f>
        <x:v>No</x:v>
      </x:c>
      <x:c r="Q1197" t="str">
        <x:f>TEXT(B1197,"yyyy-mm")</x:f>
        <x:v>2018-01</x:v>
      </x:c>
    </x:row>
    <x:row r="1198">
      <x:c r="A1198" t="str">
        <x:v>HYD08</x:v>
      </x:c>
      <x:c r="B1198" s="22" t="n">
        <x:f>DATE(C1198,D1198,1)</x:f>
        <x:v>43132</x:v>
      </x:c>
      <x:c r="C1198" t="n">
        <x:v>2018</x:v>
      </x:c>
      <x:c r="D1198" t="n">
        <x:v>2</x:v>
      </x:c>
      <x:c r="E1198" t="str">
        <x:f>TEXT(B1198,"mmm")</x:f>
        <x:v>Feb</x:v>
      </x:c>
      <x:c r="F1198" t="str">
        <x:f>"Q"&amp;ROUNDUP(D1198/3,0)</x:f>
        <x:v>Q1</x:v>
      </x:c>
      <x:c r="G1198" s="23" t="n">
        <x:v>60</x:v>
      </x:c>
      <x:c r="H1198" s="23" t="n">
        <x:v>53</x:v>
      </x:c>
      <x:c r="I1198" s="23" t="n">
        <x:v>56.5</x:v>
      </x:c>
      <x:c r="J1198" s="23" t="n">
        <x:f>G1198-H1198</x:f>
        <x:v>7</x:v>
      </x:c>
      <x:c r="K1198" t="str">
        <x:v>OBSERVED</x:v>
      </x:c>
      <x:c r="L1198" s="24" t="n">
        <x:v>17.4931</x:v>
      </x:c>
      <x:c r="M1198" s="24" t="n">
        <x:v>78.411</x:v>
      </x:c>
      <x:c r="N1198" t="str">
        <x:f>IF(I1198&gt;70,"70+ dB",IF(I1198&gt;55,"56-70 dB","41-55 dB"))</x:f>
        <x:v>56-70 dB</x:v>
      </x:c>
      <x:c r="O1198" t="str">
        <x:f>IF(I1198&gt;70,"High",IF(I1198&gt;55,"Moderate","Low"))</x:f>
        <x:v>Moderate</x:v>
      </x:c>
      <x:c r="P1198" t="str">
        <x:f>IF(I1198&gt;=70,"Yes","No")</x:f>
        <x:v>No</x:v>
      </x:c>
      <x:c r="Q1198" t="str">
        <x:f>TEXT(B1198,"yyyy-mm")</x:f>
        <x:v>2018-02</x:v>
      </x:c>
    </x:row>
    <x:row r="1199">
      <x:c r="A1199" t="str">
        <x:v>HYD08</x:v>
      </x:c>
      <x:c r="B1199" s="22" t="n">
        <x:f>DATE(C1199,D1199,1)</x:f>
        <x:v>43160</x:v>
      </x:c>
      <x:c r="C1199" t="n">
        <x:v>2018</x:v>
      </x:c>
      <x:c r="D1199" t="n">
        <x:v>3</x:v>
      </x:c>
      <x:c r="E1199" t="str">
        <x:f>TEXT(B1199,"mmm")</x:f>
        <x:v>Mar</x:v>
      </x:c>
      <x:c r="F1199" t="str">
        <x:f>"Q"&amp;ROUNDUP(D1199/3,0)</x:f>
        <x:v>Q1</x:v>
      </x:c>
      <x:c r="G1199" s="23" t="n">
        <x:v>59</x:v>
      </x:c>
      <x:c r="H1199" s="23" t="n">
        <x:v>53</x:v>
      </x:c>
      <x:c r="I1199" s="23" t="n">
        <x:v>56</x:v>
      </x:c>
      <x:c r="J1199" s="23" t="n">
        <x:f>G1199-H1199</x:f>
        <x:v>6</x:v>
      </x:c>
      <x:c r="K1199" t="str">
        <x:v>OBSERVED</x:v>
      </x:c>
      <x:c r="L1199" s="24" t="n">
        <x:v>17.4931</x:v>
      </x:c>
      <x:c r="M1199" s="24" t="n">
        <x:v>78.411</x:v>
      </x:c>
      <x:c r="N1199" t="str">
        <x:f>IF(I1199&gt;70,"70+ dB",IF(I1199&gt;55,"56-70 dB","41-55 dB"))</x:f>
        <x:v>56-70 dB</x:v>
      </x:c>
      <x:c r="O1199" t="str">
        <x:f>IF(I1199&gt;70,"High",IF(I1199&gt;55,"Moderate","Low"))</x:f>
        <x:v>Moderate</x:v>
      </x:c>
      <x:c r="P1199" t="str">
        <x:f>IF(I1199&gt;=70,"Yes","No")</x:f>
        <x:v>No</x:v>
      </x:c>
      <x:c r="Q1199" t="str">
        <x:f>TEXT(B1199,"yyyy-mm")</x:f>
        <x:v>2018-03</x:v>
      </x:c>
    </x:row>
    <x:row r="1200">
      <x:c r="A1200" t="str">
        <x:v>HYD08</x:v>
      </x:c>
      <x:c r="B1200" s="22" t="n">
        <x:f>DATE(C1200,D1200,1)</x:f>
        <x:v>43191</x:v>
      </x:c>
      <x:c r="C1200" t="n">
        <x:v>2018</x:v>
      </x:c>
      <x:c r="D1200" t="n">
        <x:v>4</x:v>
      </x:c>
      <x:c r="E1200" t="str">
        <x:f>TEXT(B1200,"mmm")</x:f>
        <x:v>Apr</x:v>
      </x:c>
      <x:c r="F1200" t="str">
        <x:f>"Q"&amp;ROUNDUP(D1200/3,0)</x:f>
        <x:v>Q2</x:v>
      </x:c>
      <x:c r="G1200" s="23" t="n">
        <x:v>59</x:v>
      </x:c>
      <x:c r="H1200" s="23" t="n">
        <x:v>55</x:v>
      </x:c>
      <x:c r="I1200" s="23" t="n">
        <x:v>57</x:v>
      </x:c>
      <x:c r="J1200" s="23" t="n">
        <x:f>G1200-H1200</x:f>
        <x:v>4</x:v>
      </x:c>
      <x:c r="K1200" t="str">
        <x:v>OBSERVED</x:v>
      </x:c>
      <x:c r="L1200" s="24" t="n">
        <x:v>17.4931</x:v>
      </x:c>
      <x:c r="M1200" s="24" t="n">
        <x:v>78.411</x:v>
      </x:c>
      <x:c r="N1200" t="str">
        <x:f>IF(I1200&gt;70,"70+ dB",IF(I1200&gt;55,"56-70 dB","41-55 dB"))</x:f>
        <x:v>56-70 dB</x:v>
      </x:c>
      <x:c r="O1200" t="str">
        <x:f>IF(I1200&gt;70,"High",IF(I1200&gt;55,"Moderate","Low"))</x:f>
        <x:v>Moderate</x:v>
      </x:c>
      <x:c r="P1200" t="str">
        <x:f>IF(I1200&gt;=70,"Yes","No")</x:f>
        <x:v>No</x:v>
      </x:c>
      <x:c r="Q1200" t="str">
        <x:f>TEXT(B1200,"yyyy-mm")</x:f>
        <x:v>2018-04</x:v>
      </x:c>
    </x:row>
    <x:row r="1201">
      <x:c r="A1201" t="str">
        <x:v>HYD08</x:v>
      </x:c>
      <x:c r="B1201" s="22" t="n">
        <x:f>DATE(C1201,D1201,1)</x:f>
        <x:v>43221</x:v>
      </x:c>
      <x:c r="C1201" t="n">
        <x:v>2018</x:v>
      </x:c>
      <x:c r="D1201" t="n">
        <x:v>5</x:v>
      </x:c>
      <x:c r="E1201" t="str">
        <x:f>TEXT(B1201,"mmm")</x:f>
        <x:v>May</x:v>
      </x:c>
      <x:c r="F1201" t="str">
        <x:f>"Q"&amp;ROUNDUP(D1201/3,0)</x:f>
        <x:v>Q2</x:v>
      </x:c>
      <x:c r="G1201" s="23" t="n">
        <x:v>59</x:v>
      </x:c>
      <x:c r="H1201" s="23" t="n">
        <x:v>55</x:v>
      </x:c>
      <x:c r="I1201" s="23" t="n">
        <x:v>57</x:v>
      </x:c>
      <x:c r="J1201" s="23" t="n">
        <x:f>G1201-H1201</x:f>
        <x:v>4</x:v>
      </x:c>
      <x:c r="K1201" t="str">
        <x:v>OBSERVED</x:v>
      </x:c>
      <x:c r="L1201" s="24" t="n">
        <x:v>17.4931</x:v>
      </x:c>
      <x:c r="M1201" s="24" t="n">
        <x:v>78.411</x:v>
      </x:c>
      <x:c r="N1201" t="str">
        <x:f>IF(I1201&gt;70,"70+ dB",IF(I1201&gt;55,"56-70 dB","41-55 dB"))</x:f>
        <x:v>56-70 dB</x:v>
      </x:c>
      <x:c r="O1201" t="str">
        <x:f>IF(I1201&gt;70,"High",IF(I1201&gt;55,"Moderate","Low"))</x:f>
        <x:v>Moderate</x:v>
      </x:c>
      <x:c r="P1201" t="str">
        <x:f>IF(I1201&gt;=70,"Yes","No")</x:f>
        <x:v>No</x:v>
      </x:c>
      <x:c r="Q1201" t="str">
        <x:f>TEXT(B1201,"yyyy-mm")</x:f>
        <x:v>2018-05</x:v>
      </x:c>
    </x:row>
    <x:row r="1202">
      <x:c r="A1202" t="str">
        <x:v>HYD08</x:v>
      </x:c>
      <x:c r="B1202" s="22" t="n">
        <x:f>DATE(C1202,D1202,1)</x:f>
        <x:v>43252</x:v>
      </x:c>
      <x:c r="C1202" t="n">
        <x:v>2018</x:v>
      </x:c>
      <x:c r="D1202" t="n">
        <x:v>6</x:v>
      </x:c>
      <x:c r="E1202" t="str">
        <x:f>TEXT(B1202,"mmm")</x:f>
        <x:v>Jun</x:v>
      </x:c>
      <x:c r="F1202" t="str">
        <x:f>"Q"&amp;ROUNDUP(D1202/3,0)</x:f>
        <x:v>Q2</x:v>
      </x:c>
      <x:c r="G1202" s="23" t="n">
        <x:v>61</x:v>
      </x:c>
      <x:c r="H1202" s="23" t="n">
        <x:v>56</x:v>
      </x:c>
      <x:c r="I1202" s="23" t="n">
        <x:v>58.5</x:v>
      </x:c>
      <x:c r="J1202" s="23" t="n">
        <x:f>G1202-H1202</x:f>
        <x:v>5</x:v>
      </x:c>
      <x:c r="K1202" t="str">
        <x:v>OBSERVED</x:v>
      </x:c>
      <x:c r="L1202" s="24" t="n">
        <x:v>17.4931</x:v>
      </x:c>
      <x:c r="M1202" s="24" t="n">
        <x:v>78.411</x:v>
      </x:c>
      <x:c r="N1202" t="str">
        <x:f>IF(I1202&gt;70,"70+ dB",IF(I1202&gt;55,"56-70 dB","41-55 dB"))</x:f>
        <x:v>56-70 dB</x:v>
      </x:c>
      <x:c r="O1202" t="str">
        <x:f>IF(I1202&gt;70,"High",IF(I1202&gt;55,"Moderate","Low"))</x:f>
        <x:v>Moderate</x:v>
      </x:c>
      <x:c r="P1202" t="str">
        <x:f>IF(I1202&gt;=70,"Yes","No")</x:f>
        <x:v>No</x:v>
      </x:c>
      <x:c r="Q1202" t="str">
        <x:f>TEXT(B1202,"yyyy-mm")</x:f>
        <x:v>2018-06</x:v>
      </x:c>
    </x:row>
    <x:row r="1203">
      <x:c r="A1203" t="str">
        <x:v>HYD08</x:v>
      </x:c>
      <x:c r="B1203" s="22" t="n">
        <x:f>DATE(C1203,D1203,1)</x:f>
        <x:v>43282</x:v>
      </x:c>
      <x:c r="C1203" t="n">
        <x:v>2018</x:v>
      </x:c>
      <x:c r="D1203" t="n">
        <x:v>7</x:v>
      </x:c>
      <x:c r="E1203" t="str">
        <x:f>TEXT(B1203,"mmm")</x:f>
        <x:v>Jul</x:v>
      </x:c>
      <x:c r="F1203" t="str">
        <x:f>"Q"&amp;ROUNDUP(D1203/3,0)</x:f>
        <x:v>Q3</x:v>
      </x:c>
      <x:c r="G1203" s="23" t="n">
        <x:v>64</x:v>
      </x:c>
      <x:c r="H1203" s="23" t="n">
        <x:v>59</x:v>
      </x:c>
      <x:c r="I1203" s="23" t="n">
        <x:v>61.5</x:v>
      </x:c>
      <x:c r="J1203" s="23" t="n">
        <x:f>G1203-H1203</x:f>
        <x:v>5</x:v>
      </x:c>
      <x:c r="K1203" t="str">
        <x:v>OBSERVED</x:v>
      </x:c>
      <x:c r="L1203" s="24" t="n">
        <x:v>17.4931</x:v>
      </x:c>
      <x:c r="M1203" s="24" t="n">
        <x:v>78.411</x:v>
      </x:c>
      <x:c r="N1203" t="str">
        <x:f>IF(I1203&gt;70,"70+ dB",IF(I1203&gt;55,"56-70 dB","41-55 dB"))</x:f>
        <x:v>56-70 dB</x:v>
      </x:c>
      <x:c r="O1203" t="str">
        <x:f>IF(I1203&gt;70,"High",IF(I1203&gt;55,"Moderate","Low"))</x:f>
        <x:v>Moderate</x:v>
      </x:c>
      <x:c r="P1203" t="str">
        <x:f>IF(I1203&gt;=70,"Yes","No")</x:f>
        <x:v>No</x:v>
      </x:c>
      <x:c r="Q1203" t="str">
        <x:f>TEXT(B1203,"yyyy-mm")</x:f>
        <x:v>2018-07</x:v>
      </x:c>
    </x:row>
    <x:row r="1204">
      <x:c r="A1204" t="str">
        <x:v>HYD08</x:v>
      </x:c>
      <x:c r="B1204" s="22" t="n">
        <x:f>DATE(C1204,D1204,1)</x:f>
        <x:v>43313</x:v>
      </x:c>
      <x:c r="C1204" t="n">
        <x:v>2018</x:v>
      </x:c>
      <x:c r="D1204" t="n">
        <x:v>8</x:v>
      </x:c>
      <x:c r="E1204" t="str">
        <x:f>TEXT(B1204,"mmm")</x:f>
        <x:v>Aug</x:v>
      </x:c>
      <x:c r="F1204" t="str">
        <x:f>"Q"&amp;ROUNDUP(D1204/3,0)</x:f>
        <x:v>Q3</x:v>
      </x:c>
      <x:c r="G1204" s="23" t="n">
        <x:v>63</x:v>
      </x:c>
      <x:c r="H1204" s="23" t="n">
        <x:v>58</x:v>
      </x:c>
      <x:c r="I1204" s="23" t="n">
        <x:v>60.5</x:v>
      </x:c>
      <x:c r="J1204" s="23" t="n">
        <x:f>G1204-H1204</x:f>
        <x:v>5</x:v>
      </x:c>
      <x:c r="K1204" t="str">
        <x:v>OBSERVED</x:v>
      </x:c>
      <x:c r="L1204" s="24" t="n">
        <x:v>17.4931</x:v>
      </x:c>
      <x:c r="M1204" s="24" t="n">
        <x:v>78.411</x:v>
      </x:c>
      <x:c r="N1204" t="str">
        <x:f>IF(I1204&gt;70,"70+ dB",IF(I1204&gt;55,"56-70 dB","41-55 dB"))</x:f>
        <x:v>56-70 dB</x:v>
      </x:c>
      <x:c r="O1204" t="str">
        <x:f>IF(I1204&gt;70,"High",IF(I1204&gt;55,"Moderate","Low"))</x:f>
        <x:v>Moderate</x:v>
      </x:c>
      <x:c r="P1204" t="str">
        <x:f>IF(I1204&gt;=70,"Yes","No")</x:f>
        <x:v>No</x:v>
      </x:c>
      <x:c r="Q1204" t="str">
        <x:f>TEXT(B1204,"yyyy-mm")</x:f>
        <x:v>2018-08</x:v>
      </x:c>
    </x:row>
    <x:row r="1205">
      <x:c r="A1205" t="str">
        <x:v>HYD08</x:v>
      </x:c>
      <x:c r="B1205" s="22" t="n">
        <x:f>DATE(C1205,D1205,1)</x:f>
        <x:v>43344</x:v>
      </x:c>
      <x:c r="C1205" t="n">
        <x:v>2018</x:v>
      </x:c>
      <x:c r="D1205" t="n">
        <x:v>9</x:v>
      </x:c>
      <x:c r="E1205" t="str">
        <x:f>TEXT(B1205,"mmm")</x:f>
        <x:v>Sep</x:v>
      </x:c>
      <x:c r="F1205" t="str">
        <x:f>"Q"&amp;ROUNDUP(D1205/3,0)</x:f>
        <x:v>Q3</x:v>
      </x:c>
      <x:c r="G1205" s="23" t="n">
        <x:v>58</x:v>
      </x:c>
      <x:c r="H1205" s="23" t="n">
        <x:v>51</x:v>
      </x:c>
      <x:c r="I1205" s="23" t="n">
        <x:v>54.5</x:v>
      </x:c>
      <x:c r="J1205" s="23" t="n">
        <x:f>G1205-H1205</x:f>
        <x:v>7</x:v>
      </x:c>
      <x:c r="K1205" t="str">
        <x:v>OBSERVED</x:v>
      </x:c>
      <x:c r="L1205" s="24" t="n">
        <x:v>17.4931</x:v>
      </x:c>
      <x:c r="M1205" s="24" t="n">
        <x:v>78.411</x:v>
      </x:c>
      <x:c r="N1205" t="str">
        <x:f>IF(I1205&gt;70,"70+ dB",IF(I1205&gt;55,"56-70 dB","41-55 dB"))</x:f>
        <x:v>41-55 dB</x:v>
      </x:c>
      <x:c r="O1205" t="str">
        <x:f>IF(I1205&gt;70,"High",IF(I1205&gt;55,"Moderate","Low"))</x:f>
        <x:v>Low</x:v>
      </x:c>
      <x:c r="P1205" t="str">
        <x:f>IF(I1205&gt;=70,"Yes","No")</x:f>
        <x:v>No</x:v>
      </x:c>
      <x:c r="Q1205" t="str">
        <x:f>TEXT(B1205,"yyyy-mm")</x:f>
        <x:v>2018-09</x:v>
      </x:c>
    </x:row>
    <x:row r="1206">
      <x:c r="A1206" t="str">
        <x:v>HYD08</x:v>
      </x:c>
      <x:c r="B1206" s="22" t="n">
        <x:f>DATE(C1206,D1206,1)</x:f>
        <x:v>43374</x:v>
      </x:c>
      <x:c r="C1206" t="n">
        <x:v>2018</x:v>
      </x:c>
      <x:c r="D1206" t="n">
        <x:v>10</x:v>
      </x:c>
      <x:c r="E1206" t="str">
        <x:f>TEXT(B1206,"mmm")</x:f>
        <x:v>Oct</x:v>
      </x:c>
      <x:c r="F1206" t="str">
        <x:f>"Q"&amp;ROUNDUP(D1206/3,0)</x:f>
        <x:v>Q4</x:v>
      </x:c>
      <x:c r="G1206" s="23" t="n">
        <x:v>59</x:v>
      </x:c>
      <x:c r="H1206" s="23" t="n">
        <x:v>51</x:v>
      </x:c>
      <x:c r="I1206" s="23" t="n">
        <x:v>55</x:v>
      </x:c>
      <x:c r="J1206" s="23" t="n">
        <x:f>G1206-H1206</x:f>
        <x:v>8</x:v>
      </x:c>
      <x:c r="K1206" t="str">
        <x:v>OBSERVED</x:v>
      </x:c>
      <x:c r="L1206" s="24" t="n">
        <x:v>17.4931</x:v>
      </x:c>
      <x:c r="M1206" s="24" t="n">
        <x:v>78.411</x:v>
      </x:c>
      <x:c r="N1206" t="str">
        <x:f>IF(I1206&gt;70,"70+ dB",IF(I1206&gt;55,"56-70 dB","41-55 dB"))</x:f>
        <x:v>41-55 dB</x:v>
      </x:c>
      <x:c r="O1206" t="str">
        <x:f>IF(I1206&gt;70,"High",IF(I1206&gt;55,"Moderate","Low"))</x:f>
        <x:v>Low</x:v>
      </x:c>
      <x:c r="P1206" t="str">
        <x:f>IF(I1206&gt;=70,"Yes","No")</x:f>
        <x:v>No</x:v>
      </x:c>
      <x:c r="Q1206" t="str">
        <x:f>TEXT(B1206,"yyyy-mm")</x:f>
        <x:v>2018-10</x:v>
      </x:c>
    </x:row>
    <x:row r="1207">
      <x:c r="A1207" t="str">
        <x:v>HYD08</x:v>
      </x:c>
      <x:c r="B1207" s="22" t="n">
        <x:f>DATE(C1207,D1207,1)</x:f>
        <x:v>43405</x:v>
      </x:c>
      <x:c r="C1207" t="n">
        <x:v>2018</x:v>
      </x:c>
      <x:c r="D1207" t="n">
        <x:v>11</x:v>
      </x:c>
      <x:c r="E1207" t="str">
        <x:f>TEXT(B1207,"mmm")</x:f>
        <x:v>Nov</x:v>
      </x:c>
      <x:c r="F1207" t="str">
        <x:f>"Q"&amp;ROUNDUP(D1207/3,0)</x:f>
        <x:v>Q4</x:v>
      </x:c>
      <x:c r="G1207" s="23" t="n">
        <x:v>58</x:v>
      </x:c>
      <x:c r="H1207" s="23" t="n">
        <x:v>52</x:v>
      </x:c>
      <x:c r="I1207" s="23" t="n">
        <x:v>55</x:v>
      </x:c>
      <x:c r="J1207" s="23" t="n">
        <x:f>G1207-H1207</x:f>
        <x:v>6</x:v>
      </x:c>
      <x:c r="K1207" t="str">
        <x:v>OBSERVED</x:v>
      </x:c>
      <x:c r="L1207" s="24" t="n">
        <x:v>17.4931</x:v>
      </x:c>
      <x:c r="M1207" s="24" t="n">
        <x:v>78.411</x:v>
      </x:c>
      <x:c r="N1207" t="str">
        <x:f>IF(I1207&gt;70,"70+ dB",IF(I1207&gt;55,"56-70 dB","41-55 dB"))</x:f>
        <x:v>41-55 dB</x:v>
      </x:c>
      <x:c r="O1207" t="str">
        <x:f>IF(I1207&gt;70,"High",IF(I1207&gt;55,"Moderate","Low"))</x:f>
        <x:v>Low</x:v>
      </x:c>
      <x:c r="P1207" t="str">
        <x:f>IF(I1207&gt;=70,"Yes","No")</x:f>
        <x:v>No</x:v>
      </x:c>
      <x:c r="Q1207" t="str">
        <x:f>TEXT(B1207,"yyyy-mm")</x:f>
        <x:v>2018-11</x:v>
      </x:c>
    </x:row>
    <x:row r="1208">
      <x:c r="A1208" t="str">
        <x:v>HYD08</x:v>
      </x:c>
      <x:c r="B1208" s="22" t="n">
        <x:f>DATE(C1208,D1208,1)</x:f>
        <x:v>43435</x:v>
      </x:c>
      <x:c r="C1208" t="n">
        <x:v>2018</x:v>
      </x:c>
      <x:c r="D1208" t="n">
        <x:v>12</x:v>
      </x:c>
      <x:c r="E1208" t="str">
        <x:f>TEXT(B1208,"mmm")</x:f>
        <x:v>Dec</x:v>
      </x:c>
      <x:c r="F1208" t="str">
        <x:f>"Q"&amp;ROUNDUP(D1208/3,0)</x:f>
        <x:v>Q4</x:v>
      </x:c>
      <x:c r="G1208" s="23" t="n">
        <x:v>56</x:v>
      </x:c>
      <x:c r="H1208" s="23" t="n">
        <x:v>53</x:v>
      </x:c>
      <x:c r="I1208" s="23" t="n">
        <x:v>54.5</x:v>
      </x:c>
      <x:c r="J1208" s="23" t="n">
        <x:f>G1208-H1208</x:f>
        <x:v>3</x:v>
      </x:c>
      <x:c r="K1208" t="str">
        <x:v>OBSERVED</x:v>
      </x:c>
      <x:c r="L1208" s="24" t="n">
        <x:v>17.4931</x:v>
      </x:c>
      <x:c r="M1208" s="24" t="n">
        <x:v>78.411</x:v>
      </x:c>
      <x:c r="N1208" t="str">
        <x:f>IF(I1208&gt;70,"70+ dB",IF(I1208&gt;55,"56-70 dB","41-55 dB"))</x:f>
        <x:v>41-55 dB</x:v>
      </x:c>
      <x:c r="O1208" t="str">
        <x:f>IF(I1208&gt;70,"High",IF(I1208&gt;55,"Moderate","Low"))</x:f>
        <x:v>Low</x:v>
      </x:c>
      <x:c r="P1208" t="str">
        <x:f>IF(I1208&gt;=70,"Yes","No")</x:f>
        <x:v>No</x:v>
      </x:c>
      <x:c r="Q1208" t="str">
        <x:f>TEXT(B1208,"yyyy-mm")</x:f>
        <x:v>2018-12</x:v>
      </x:c>
    </x:row>
    <x:row r="1209">
      <x:c r="A1209" t="str">
        <x:v>HYD08</x:v>
      </x:c>
      <x:c r="B1209" s="22" t="n">
        <x:f>DATE(C1209,D1209,1)</x:f>
        <x:v>43466</x:v>
      </x:c>
      <x:c r="C1209" t="n">
        <x:v>2019</x:v>
      </x:c>
      <x:c r="D1209" t="n">
        <x:v>1</x:v>
      </x:c>
      <x:c r="E1209" t="str">
        <x:f>TEXT(B1209,"mmm")</x:f>
        <x:v>Jan</x:v>
      </x:c>
      <x:c r="F1209" t="str">
        <x:f>"Q"&amp;ROUNDUP(D1209/3,0)</x:f>
        <x:v>Q1</x:v>
      </x:c>
      <x:c r="G1209" s="23" t="n">
        <x:v>55.57</x:v>
      </x:c>
      <x:c r="H1209" s="23" t="n">
        <x:v>49.9</x:v>
      </x:c>
      <x:c r="I1209" s="23" t="n">
        <x:v>52.7</x:v>
      </x:c>
      <x:c r="J1209" s="23" t="n">
        <x:f>G1209-H1209</x:f>
        <x:v>5.670000000000002</x:v>
      </x:c>
      <x:c r="K1209" t="str">
        <x:v>HINDCAST</x:v>
      </x:c>
      <x:c r="L1209" s="24" t="n">
        <x:v>17.4931</x:v>
      </x:c>
      <x:c r="M1209" s="24" t="n">
        <x:v>78.411</x:v>
      </x:c>
      <x:c r="N1209" t="str">
        <x:f>IF(I1209&gt;70,"70+ dB",IF(I1209&gt;55,"56-70 dB","41-55 dB"))</x:f>
        <x:v>41-55 dB</x:v>
      </x:c>
      <x:c r="O1209" t="str">
        <x:f>IF(I1209&gt;70,"High",IF(I1209&gt;55,"Moderate","Low"))</x:f>
        <x:v>Low</x:v>
      </x:c>
      <x:c r="P1209" t="str">
        <x:f>IF(I1209&gt;=70,"Yes","No")</x:f>
        <x:v>No</x:v>
      </x:c>
      <x:c r="Q1209" t="str">
        <x:f>TEXT(B1209,"yyyy-mm")</x:f>
        <x:v>2019-01</x:v>
      </x:c>
    </x:row>
    <x:row r="1210">
      <x:c r="A1210" t="str">
        <x:v>HYD08</x:v>
      </x:c>
      <x:c r="B1210" s="22" t="n">
        <x:f>DATE(C1210,D1210,1)</x:f>
        <x:v>43497</x:v>
      </x:c>
      <x:c r="C1210" t="n">
        <x:v>2019</x:v>
      </x:c>
      <x:c r="D1210" t="n">
        <x:v>2</x:v>
      </x:c>
      <x:c r="E1210" t="str">
        <x:f>TEXT(B1210,"mmm")</x:f>
        <x:v>Feb</x:v>
      </x:c>
      <x:c r="F1210" t="str">
        <x:f>"Q"&amp;ROUNDUP(D1210/3,0)</x:f>
        <x:v>Q1</x:v>
      </x:c>
      <x:c r="G1210" s="23" t="n">
        <x:v>59.59</x:v>
      </x:c>
      <x:c r="H1210" s="23" t="n">
        <x:v>53.34</x:v>
      </x:c>
      <x:c r="I1210" s="23" t="n">
        <x:v>56.5</x:v>
      </x:c>
      <x:c r="J1210" s="23" t="n">
        <x:f>G1210-H1210</x:f>
        <x:v>6.25</x:v>
      </x:c>
      <x:c r="K1210" t="str">
        <x:v>HINDCAST</x:v>
      </x:c>
      <x:c r="L1210" s="24" t="n">
        <x:v>17.4931</x:v>
      </x:c>
      <x:c r="M1210" s="24" t="n">
        <x:v>78.411</x:v>
      </x:c>
      <x:c r="N1210" t="str">
        <x:f>IF(I1210&gt;70,"70+ dB",IF(I1210&gt;55,"56-70 dB","41-55 dB"))</x:f>
        <x:v>56-70 dB</x:v>
      </x:c>
      <x:c r="O1210" t="str">
        <x:f>IF(I1210&gt;70,"High",IF(I1210&gt;55,"Moderate","Low"))</x:f>
        <x:v>Moderate</x:v>
      </x:c>
      <x:c r="P1210" t="str">
        <x:f>IF(I1210&gt;=70,"Yes","No")</x:f>
        <x:v>No</x:v>
      </x:c>
      <x:c r="Q1210" t="str">
        <x:f>TEXT(B1210,"yyyy-mm")</x:f>
        <x:v>2019-02</x:v>
      </x:c>
    </x:row>
    <x:row r="1211">
      <x:c r="A1211" t="str">
        <x:v>HYD08</x:v>
      </x:c>
      <x:c r="B1211" s="22" t="n">
        <x:f>DATE(C1211,D1211,1)</x:f>
        <x:v>43525</x:v>
      </x:c>
      <x:c r="C1211" t="n">
        <x:v>2019</x:v>
      </x:c>
      <x:c r="D1211" t="n">
        <x:v>3</x:v>
      </x:c>
      <x:c r="E1211" t="str">
        <x:f>TEXT(B1211,"mmm")</x:f>
        <x:v>Mar</x:v>
      </x:c>
      <x:c r="F1211" t="str">
        <x:f>"Q"&amp;ROUNDUP(D1211/3,0)</x:f>
        <x:v>Q1</x:v>
      </x:c>
      <x:c r="G1211" s="23" t="n">
        <x:v>57</x:v>
      </x:c>
      <x:c r="H1211" s="23" t="n">
        <x:v>51.28</x:v>
      </x:c>
      <x:c r="I1211" s="23" t="n">
        <x:v>54.1</x:v>
      </x:c>
      <x:c r="J1211" s="23" t="n">
        <x:f>G1211-H1211</x:f>
        <x:v>5.719999999999999</x:v>
      </x:c>
      <x:c r="K1211" t="str">
        <x:v>HINDCAST</x:v>
      </x:c>
      <x:c r="L1211" s="24" t="n">
        <x:v>17.4931</x:v>
      </x:c>
      <x:c r="M1211" s="24" t="n">
        <x:v>78.411</x:v>
      </x:c>
      <x:c r="N1211" t="str">
        <x:f>IF(I1211&gt;70,"70+ dB",IF(I1211&gt;55,"56-70 dB","41-55 dB"))</x:f>
        <x:v>41-55 dB</x:v>
      </x:c>
      <x:c r="O1211" t="str">
        <x:f>IF(I1211&gt;70,"High",IF(I1211&gt;55,"Moderate","Low"))</x:f>
        <x:v>Low</x:v>
      </x:c>
      <x:c r="P1211" t="str">
        <x:f>IF(I1211&gt;=70,"Yes","No")</x:f>
        <x:v>No</x:v>
      </x:c>
      <x:c r="Q1211" t="str">
        <x:f>TEXT(B1211,"yyyy-mm")</x:f>
        <x:v>2019-03</x:v>
      </x:c>
    </x:row>
    <x:row r="1212">
      <x:c r="A1212" t="str">
        <x:v>HYD08</x:v>
      </x:c>
      <x:c r="B1212" s="22" t="n">
        <x:f>DATE(C1212,D1212,1)</x:f>
        <x:v>43556</x:v>
      </x:c>
      <x:c r="C1212" t="n">
        <x:v>2019</x:v>
      </x:c>
      <x:c r="D1212" t="n">
        <x:v>4</x:v>
      </x:c>
      <x:c r="E1212" t="str">
        <x:f>TEXT(B1212,"mmm")</x:f>
        <x:v>Apr</x:v>
      </x:c>
      <x:c r="F1212" t="str">
        <x:f>"Q"&amp;ROUNDUP(D1212/3,0)</x:f>
        <x:v>Q2</x:v>
      </x:c>
      <x:c r="G1212" s="23" t="n">
        <x:v>61.43</x:v>
      </x:c>
      <x:c r="H1212" s="23" t="n">
        <x:v>55.54</x:v>
      </x:c>
      <x:c r="I1212" s="23" t="n">
        <x:v>58.5</x:v>
      </x:c>
      <x:c r="J1212" s="23" t="n">
        <x:f>G1212-H1212</x:f>
        <x:v>5.890000000000001</x:v>
      </x:c>
      <x:c r="K1212" t="str">
        <x:v>HINDCAST</x:v>
      </x:c>
      <x:c r="L1212" s="24" t="n">
        <x:v>17.4931</x:v>
      </x:c>
      <x:c r="M1212" s="24" t="n">
        <x:v>78.411</x:v>
      </x:c>
      <x:c r="N1212" t="str">
        <x:f>IF(I1212&gt;70,"70+ dB",IF(I1212&gt;55,"56-70 dB","41-55 dB"))</x:f>
        <x:v>56-70 dB</x:v>
      </x:c>
      <x:c r="O1212" t="str">
        <x:f>IF(I1212&gt;70,"High",IF(I1212&gt;55,"Moderate","Low"))</x:f>
        <x:v>Moderate</x:v>
      </x:c>
      <x:c r="P1212" t="str">
        <x:f>IF(I1212&gt;=70,"Yes","No")</x:f>
        <x:v>No</x:v>
      </x:c>
      <x:c r="Q1212" t="str">
        <x:f>TEXT(B1212,"yyyy-mm")</x:f>
        <x:v>2019-04</x:v>
      </x:c>
    </x:row>
    <x:row r="1213">
      <x:c r="A1213" t="str">
        <x:v>HYD08</x:v>
      </x:c>
      <x:c r="B1213" s="22" t="n">
        <x:f>DATE(C1213,D1213,1)</x:f>
        <x:v>43586</x:v>
      </x:c>
      <x:c r="C1213" t="n">
        <x:v>2019</x:v>
      </x:c>
      <x:c r="D1213" t="n">
        <x:v>5</x:v>
      </x:c>
      <x:c r="E1213" t="str">
        <x:f>TEXT(B1213,"mmm")</x:f>
        <x:v>May</x:v>
      </x:c>
      <x:c r="F1213" t="str">
        <x:f>"Q"&amp;ROUNDUP(D1213/3,0)</x:f>
        <x:v>Q2</x:v>
      </x:c>
      <x:c r="G1213" s="23" t="n">
        <x:v>66.33</x:v>
      </x:c>
      <x:c r="H1213" s="23" t="n">
        <x:v>66.28</x:v>
      </x:c>
      <x:c r="I1213" s="23" t="n">
        <x:v>66.3</x:v>
      </x:c>
      <x:c r="J1213" s="23" t="n">
        <x:f>G1213-H1213</x:f>
        <x:v>0.04999999999999716</x:v>
      </x:c>
      <x:c r="K1213" t="str">
        <x:v>HINDCAST</x:v>
      </x:c>
      <x:c r="L1213" s="24" t="n">
        <x:v>17.4931</x:v>
      </x:c>
      <x:c r="M1213" s="24" t="n">
        <x:v>78.411</x:v>
      </x:c>
      <x:c r="N1213" t="str">
        <x:f>IF(I1213&gt;70,"70+ dB",IF(I1213&gt;55,"56-70 dB","41-55 dB"))</x:f>
        <x:v>56-70 dB</x:v>
      </x:c>
      <x:c r="O1213" t="str">
        <x:f>IF(I1213&gt;70,"High",IF(I1213&gt;55,"Moderate","Low"))</x:f>
        <x:v>Moderate</x:v>
      </x:c>
      <x:c r="P1213" t="str">
        <x:f>IF(I1213&gt;=70,"Yes","No")</x:f>
        <x:v>No</x:v>
      </x:c>
      <x:c r="Q1213" t="str">
        <x:f>TEXT(B1213,"yyyy-mm")</x:f>
        <x:v>2019-05</x:v>
      </x:c>
    </x:row>
    <x:row r="1214">
      <x:c r="A1214" t="str">
        <x:v>HYD08</x:v>
      </x:c>
      <x:c r="B1214" s="22" t="n">
        <x:f>DATE(C1214,D1214,1)</x:f>
        <x:v>43617</x:v>
      </x:c>
      <x:c r="C1214" t="n">
        <x:v>2019</x:v>
      </x:c>
      <x:c r="D1214" t="n">
        <x:v>6</x:v>
      </x:c>
      <x:c r="E1214" t="str">
        <x:f>TEXT(B1214,"mmm")</x:f>
        <x:v>Jun</x:v>
      </x:c>
      <x:c r="F1214" t="str">
        <x:f>"Q"&amp;ROUNDUP(D1214/3,0)</x:f>
        <x:v>Q2</x:v>
      </x:c>
      <x:c r="G1214" s="23" t="n">
        <x:v>60.49</x:v>
      </x:c>
      <x:c r="H1214" s="23" t="n">
        <x:v>59.06</x:v>
      </x:c>
      <x:c r="I1214" s="23" t="n">
        <x:v>59.8</x:v>
      </x:c>
      <x:c r="J1214" s="23" t="n">
        <x:f>G1214-H1214</x:f>
        <x:v>1.4299999999999997</x:v>
      </x:c>
      <x:c r="K1214" t="str">
        <x:v>HINDCAST</x:v>
      </x:c>
      <x:c r="L1214" s="24" t="n">
        <x:v>17.4931</x:v>
      </x:c>
      <x:c r="M1214" s="24" t="n">
        <x:v>78.411</x:v>
      </x:c>
      <x:c r="N1214" t="str">
        <x:f>IF(I1214&gt;70,"70+ dB",IF(I1214&gt;55,"56-70 dB","41-55 dB"))</x:f>
        <x:v>56-70 dB</x:v>
      </x:c>
      <x:c r="O1214" t="str">
        <x:f>IF(I1214&gt;70,"High",IF(I1214&gt;55,"Moderate","Low"))</x:f>
        <x:v>Moderate</x:v>
      </x:c>
      <x:c r="P1214" t="str">
        <x:f>IF(I1214&gt;=70,"Yes","No")</x:f>
        <x:v>No</x:v>
      </x:c>
      <x:c r="Q1214" t="str">
        <x:f>TEXT(B1214,"yyyy-mm")</x:f>
        <x:v>2019-06</x:v>
      </x:c>
    </x:row>
    <x:row r="1215">
      <x:c r="A1215" t="str">
        <x:v>HYD08</x:v>
      </x:c>
      <x:c r="B1215" s="22" t="n">
        <x:f>DATE(C1215,D1215,1)</x:f>
        <x:v>43647</x:v>
      </x:c>
      <x:c r="C1215" t="n">
        <x:v>2019</x:v>
      </x:c>
      <x:c r="D1215" t="n">
        <x:v>7</x:v>
      </x:c>
      <x:c r="E1215" t="str">
        <x:f>TEXT(B1215,"mmm")</x:f>
        <x:v>Jul</x:v>
      </x:c>
      <x:c r="F1215" t="str">
        <x:f>"Q"&amp;ROUNDUP(D1215/3,0)</x:f>
        <x:v>Q3</x:v>
      </x:c>
      <x:c r="G1215" s="23" t="n">
        <x:v>60.93</x:v>
      </x:c>
      <x:c r="H1215" s="23" t="n">
        <x:v>57.76</x:v>
      </x:c>
      <x:c r="I1215" s="23" t="n">
        <x:v>59.3</x:v>
      </x:c>
      <x:c r="J1215" s="23" t="n">
        <x:f>G1215-H1215</x:f>
        <x:v>3.1700000000000017</x:v>
      </x:c>
      <x:c r="K1215" t="str">
        <x:v>HINDCAST</x:v>
      </x:c>
      <x:c r="L1215" s="24" t="n">
        <x:v>17.4931</x:v>
      </x:c>
      <x:c r="M1215" s="24" t="n">
        <x:v>78.411</x:v>
      </x:c>
      <x:c r="N1215" t="str">
        <x:f>IF(I1215&gt;70,"70+ dB",IF(I1215&gt;55,"56-70 dB","41-55 dB"))</x:f>
        <x:v>56-70 dB</x:v>
      </x:c>
      <x:c r="O1215" t="str">
        <x:f>IF(I1215&gt;70,"High",IF(I1215&gt;55,"Moderate","Low"))</x:f>
        <x:v>Moderate</x:v>
      </x:c>
      <x:c r="P1215" t="str">
        <x:f>IF(I1215&gt;=70,"Yes","No")</x:f>
        <x:v>No</x:v>
      </x:c>
      <x:c r="Q1215" t="str">
        <x:f>TEXT(B1215,"yyyy-mm")</x:f>
        <x:v>2019-07</x:v>
      </x:c>
    </x:row>
    <x:row r="1216">
      <x:c r="A1216" t="str">
        <x:v>HYD08</x:v>
      </x:c>
      <x:c r="B1216" s="22" t="n">
        <x:f>DATE(C1216,D1216,1)</x:f>
        <x:v>43678</x:v>
      </x:c>
      <x:c r="C1216" t="n">
        <x:v>2019</x:v>
      </x:c>
      <x:c r="D1216" t="n">
        <x:v>8</x:v>
      </x:c>
      <x:c r="E1216" t="str">
        <x:f>TEXT(B1216,"mmm")</x:f>
        <x:v>Aug</x:v>
      </x:c>
      <x:c r="F1216" t="str">
        <x:f>"Q"&amp;ROUNDUP(D1216/3,0)</x:f>
        <x:v>Q3</x:v>
      </x:c>
      <x:c r="G1216" s="23" t="n">
        <x:v>58.49</x:v>
      </x:c>
      <x:c r="H1216" s="23" t="n">
        <x:v>53.46</x:v>
      </x:c>
      <x:c r="I1216" s="23" t="n">
        <x:v>56</x:v>
      </x:c>
      <x:c r="J1216" s="23" t="n">
        <x:f>G1216-H1216</x:f>
        <x:v>5.030000000000001</x:v>
      </x:c>
      <x:c r="K1216" t="str">
        <x:v>HINDCAST</x:v>
      </x:c>
      <x:c r="L1216" s="24" t="n">
        <x:v>17.4931</x:v>
      </x:c>
      <x:c r="M1216" s="24" t="n">
        <x:v>78.411</x:v>
      </x:c>
      <x:c r="N1216" t="str">
        <x:f>IF(I1216&gt;70,"70+ dB",IF(I1216&gt;55,"56-70 dB","41-55 dB"))</x:f>
        <x:v>56-70 dB</x:v>
      </x:c>
      <x:c r="O1216" t="str">
        <x:f>IF(I1216&gt;70,"High",IF(I1216&gt;55,"Moderate","Low"))</x:f>
        <x:v>Moderate</x:v>
      </x:c>
      <x:c r="P1216" t="str">
        <x:f>IF(I1216&gt;=70,"Yes","No")</x:f>
        <x:v>No</x:v>
      </x:c>
      <x:c r="Q1216" t="str">
        <x:f>TEXT(B1216,"yyyy-mm")</x:f>
        <x:v>2019-08</x:v>
      </x:c>
    </x:row>
    <x:row r="1217">
      <x:c r="A1217" t="str">
        <x:v>HYD08</x:v>
      </x:c>
      <x:c r="B1217" s="22" t="n">
        <x:f>DATE(C1217,D1217,1)</x:f>
        <x:v>43709</x:v>
      </x:c>
      <x:c r="C1217" t="n">
        <x:v>2019</x:v>
      </x:c>
      <x:c r="D1217" t="n">
        <x:v>9</x:v>
      </x:c>
      <x:c r="E1217" t="str">
        <x:f>TEXT(B1217,"mmm")</x:f>
        <x:v>Sep</x:v>
      </x:c>
      <x:c r="F1217" t="str">
        <x:f>"Q"&amp;ROUNDUP(D1217/3,0)</x:f>
        <x:v>Q3</x:v>
      </x:c>
      <x:c r="G1217" s="23" t="n">
        <x:v>59.96</x:v>
      </x:c>
      <x:c r="H1217" s="23" t="n">
        <x:v>54.76</x:v>
      </x:c>
      <x:c r="I1217" s="23" t="n">
        <x:v>57.4</x:v>
      </x:c>
      <x:c r="J1217" s="23" t="n">
        <x:f>G1217-H1217</x:f>
        <x:v>5.200000000000003</x:v>
      </x:c>
      <x:c r="K1217" t="str">
        <x:v>HINDCAST</x:v>
      </x:c>
      <x:c r="L1217" s="24" t="n">
        <x:v>17.4931</x:v>
      </x:c>
      <x:c r="M1217" s="24" t="n">
        <x:v>78.411</x:v>
      </x:c>
      <x:c r="N1217" t="str">
        <x:f>IF(I1217&gt;70,"70+ dB",IF(I1217&gt;55,"56-70 dB","41-55 dB"))</x:f>
        <x:v>56-70 dB</x:v>
      </x:c>
      <x:c r="O1217" t="str">
        <x:f>IF(I1217&gt;70,"High",IF(I1217&gt;55,"Moderate","Low"))</x:f>
        <x:v>Moderate</x:v>
      </x:c>
      <x:c r="P1217" t="str">
        <x:f>IF(I1217&gt;=70,"Yes","No")</x:f>
        <x:v>No</x:v>
      </x:c>
      <x:c r="Q1217" t="str">
        <x:f>TEXT(B1217,"yyyy-mm")</x:f>
        <x:v>2019-09</x:v>
      </x:c>
    </x:row>
    <x:row r="1218">
      <x:c r="A1218" t="str">
        <x:v>HYD08</x:v>
      </x:c>
      <x:c r="B1218" s="22" t="n">
        <x:f>DATE(C1218,D1218,1)</x:f>
        <x:v>43739</x:v>
      </x:c>
      <x:c r="C1218" t="n">
        <x:v>2019</x:v>
      </x:c>
      <x:c r="D1218" t="n">
        <x:v>10</x:v>
      </x:c>
      <x:c r="E1218" t="str">
        <x:f>TEXT(B1218,"mmm")</x:f>
        <x:v>Oct</x:v>
      </x:c>
      <x:c r="F1218" t="str">
        <x:f>"Q"&amp;ROUNDUP(D1218/3,0)</x:f>
        <x:v>Q4</x:v>
      </x:c>
      <x:c r="G1218" s="23" t="n">
        <x:v>55.41</x:v>
      </x:c>
      <x:c r="H1218" s="23" t="n">
        <x:v>47.21</x:v>
      </x:c>
      <x:c r="I1218" s="23" t="n">
        <x:v>51.3</x:v>
      </x:c>
      <x:c r="J1218" s="23" t="n">
        <x:f>G1218-H1218</x:f>
        <x:v>8.199999999999996</x:v>
      </x:c>
      <x:c r="K1218" t="str">
        <x:v>HINDCAST</x:v>
      </x:c>
      <x:c r="L1218" s="24" t="n">
        <x:v>17.4931</x:v>
      </x:c>
      <x:c r="M1218" s="24" t="n">
        <x:v>78.411</x:v>
      </x:c>
      <x:c r="N1218" t="str">
        <x:f>IF(I1218&gt;70,"70+ dB",IF(I1218&gt;55,"56-70 dB","41-55 dB"))</x:f>
        <x:v>41-55 dB</x:v>
      </x:c>
      <x:c r="O1218" t="str">
        <x:f>IF(I1218&gt;70,"High",IF(I1218&gt;55,"Moderate","Low"))</x:f>
        <x:v>Low</x:v>
      </x:c>
      <x:c r="P1218" t="str">
        <x:f>IF(I1218&gt;=70,"Yes","No")</x:f>
        <x:v>No</x:v>
      </x:c>
      <x:c r="Q1218" t="str">
        <x:f>TEXT(B1218,"yyyy-mm")</x:f>
        <x:v>2019-10</x:v>
      </x:c>
    </x:row>
    <x:row r="1219">
      <x:c r="A1219" t="str">
        <x:v>HYD08</x:v>
      </x:c>
      <x:c r="B1219" s="22" t="n">
        <x:f>DATE(C1219,D1219,1)</x:f>
        <x:v>43770</x:v>
      </x:c>
      <x:c r="C1219" t="n">
        <x:v>2019</x:v>
      </x:c>
      <x:c r="D1219" t="n">
        <x:v>11</x:v>
      </x:c>
      <x:c r="E1219" t="str">
        <x:f>TEXT(B1219,"mmm")</x:f>
        <x:v>Nov</x:v>
      </x:c>
      <x:c r="F1219" t="str">
        <x:f>"Q"&amp;ROUNDUP(D1219/3,0)</x:f>
        <x:v>Q4</x:v>
      </x:c>
      <x:c r="G1219" s="23" t="n">
        <x:v>55.97</x:v>
      </x:c>
      <x:c r="H1219" s="23" t="n">
        <x:v>47.74</x:v>
      </x:c>
      <x:c r="I1219" s="23" t="n">
        <x:v>51.9</x:v>
      </x:c>
      <x:c r="J1219" s="23" t="n">
        <x:f>G1219-H1219</x:f>
        <x:v>8.229999999999997</x:v>
      </x:c>
      <x:c r="K1219" t="str">
        <x:v>HINDCAST</x:v>
      </x:c>
      <x:c r="L1219" s="24" t="n">
        <x:v>17.4931</x:v>
      </x:c>
      <x:c r="M1219" s="24" t="n">
        <x:v>78.411</x:v>
      </x:c>
      <x:c r="N1219" t="str">
        <x:f>IF(I1219&gt;70,"70+ dB",IF(I1219&gt;55,"56-70 dB","41-55 dB"))</x:f>
        <x:v>41-55 dB</x:v>
      </x:c>
      <x:c r="O1219" t="str">
        <x:f>IF(I1219&gt;70,"High",IF(I1219&gt;55,"Moderate","Low"))</x:f>
        <x:v>Low</x:v>
      </x:c>
      <x:c r="P1219" t="str">
        <x:f>IF(I1219&gt;=70,"Yes","No")</x:f>
        <x:v>No</x:v>
      </x:c>
      <x:c r="Q1219" t="str">
        <x:f>TEXT(B1219,"yyyy-mm")</x:f>
        <x:v>2019-11</x:v>
      </x:c>
    </x:row>
    <x:row r="1220">
      <x:c r="A1220" t="str">
        <x:v>HYD08</x:v>
      </x:c>
      <x:c r="B1220" s="22" t="n">
        <x:f>DATE(C1220,D1220,1)</x:f>
        <x:v>43800</x:v>
      </x:c>
      <x:c r="C1220" t="n">
        <x:v>2019</x:v>
      </x:c>
      <x:c r="D1220" t="n">
        <x:v>12</x:v>
      </x:c>
      <x:c r="E1220" t="str">
        <x:f>TEXT(B1220,"mmm")</x:f>
        <x:v>Dec</x:v>
      </x:c>
      <x:c r="F1220" t="str">
        <x:f>"Q"&amp;ROUNDUP(D1220/3,0)</x:f>
        <x:v>Q4</x:v>
      </x:c>
      <x:c r="G1220" s="23" t="n">
        <x:v>55.81</x:v>
      </x:c>
      <x:c r="H1220" s="23" t="n">
        <x:v>51.72</x:v>
      </x:c>
      <x:c r="I1220" s="23" t="n">
        <x:v>53.8</x:v>
      </x:c>
      <x:c r="J1220" s="23" t="n">
        <x:f>G1220-H1220</x:f>
        <x:v>4.090000000000003</x:v>
      </x:c>
      <x:c r="K1220" t="str">
        <x:v>HINDCAST</x:v>
      </x:c>
      <x:c r="L1220" s="24" t="n">
        <x:v>17.4931</x:v>
      </x:c>
      <x:c r="M1220" s="24" t="n">
        <x:v>78.411</x:v>
      </x:c>
      <x:c r="N1220" t="str">
        <x:f>IF(I1220&gt;70,"70+ dB",IF(I1220&gt;55,"56-70 dB","41-55 dB"))</x:f>
        <x:v>41-55 dB</x:v>
      </x:c>
      <x:c r="O1220" t="str">
        <x:f>IF(I1220&gt;70,"High",IF(I1220&gt;55,"Moderate","Low"))</x:f>
        <x:v>Low</x:v>
      </x:c>
      <x:c r="P1220" t="str">
        <x:f>IF(I1220&gt;=70,"Yes","No")</x:f>
        <x:v>No</x:v>
      </x:c>
      <x:c r="Q1220" t="str">
        <x:f>TEXT(B1220,"yyyy-mm")</x:f>
        <x:v>2019-12</x:v>
      </x:c>
    </x:row>
    <x:row r="1221">
      <x:c r="A1221" t="str">
        <x:v>HYD08</x:v>
      </x:c>
      <x:c r="B1221" s="22" t="n">
        <x:f>DATE(C1221,D1221,1)</x:f>
        <x:v>43831</x:v>
      </x:c>
      <x:c r="C1221" t="n">
        <x:v>2020</x:v>
      </x:c>
      <x:c r="D1221" t="n">
        <x:v>1</x:v>
      </x:c>
      <x:c r="E1221" t="str">
        <x:f>TEXT(B1221,"mmm")</x:f>
        <x:v>Jan</x:v>
      </x:c>
      <x:c r="F1221" t="str">
        <x:f>"Q"&amp;ROUNDUP(D1221/3,0)</x:f>
        <x:v>Q1</x:v>
      </x:c>
      <x:c r="G1221" s="23" t="n">
        <x:v>54.92</x:v>
      </x:c>
      <x:c r="H1221" s="23" t="n">
        <x:v>49.45</x:v>
      </x:c>
      <x:c r="I1221" s="23" t="n">
        <x:v>52.2</x:v>
      </x:c>
      <x:c r="J1221" s="23" t="n">
        <x:f>G1221-H1221</x:f>
        <x:v>5.469999999999999</x:v>
      </x:c>
      <x:c r="K1221" t="str">
        <x:v>HINDCAST</x:v>
      </x:c>
      <x:c r="L1221" s="24" t="n">
        <x:v>17.4931</x:v>
      </x:c>
      <x:c r="M1221" s="24" t="n">
        <x:v>78.411</x:v>
      </x:c>
      <x:c r="N1221" t="str">
        <x:f>IF(I1221&gt;70,"70+ dB",IF(I1221&gt;55,"56-70 dB","41-55 dB"))</x:f>
        <x:v>41-55 dB</x:v>
      </x:c>
      <x:c r="O1221" t="str">
        <x:f>IF(I1221&gt;70,"High",IF(I1221&gt;55,"Moderate","Low"))</x:f>
        <x:v>Low</x:v>
      </x:c>
      <x:c r="P1221" t="str">
        <x:f>IF(I1221&gt;=70,"Yes","No")</x:f>
        <x:v>No</x:v>
      </x:c>
      <x:c r="Q1221" t="str">
        <x:f>TEXT(B1221,"yyyy-mm")</x:f>
        <x:v>2020-01</x:v>
      </x:c>
    </x:row>
    <x:row r="1222">
      <x:c r="A1222" t="str">
        <x:v>HYD08</x:v>
      </x:c>
      <x:c r="B1222" s="22" t="n">
        <x:f>DATE(C1222,D1222,1)</x:f>
        <x:v>43862</x:v>
      </x:c>
      <x:c r="C1222" t="n">
        <x:v>2020</x:v>
      </x:c>
      <x:c r="D1222" t="n">
        <x:v>2</x:v>
      </x:c>
      <x:c r="E1222" t="str">
        <x:f>TEXT(B1222,"mmm")</x:f>
        <x:v>Feb</x:v>
      </x:c>
      <x:c r="F1222" t="str">
        <x:f>"Q"&amp;ROUNDUP(D1222/3,0)</x:f>
        <x:v>Q1</x:v>
      </x:c>
      <x:c r="G1222" s="23" t="n">
        <x:v>58.34</x:v>
      </x:c>
      <x:c r="H1222" s="23" t="n">
        <x:v>51.78</x:v>
      </x:c>
      <x:c r="I1222" s="23" t="n">
        <x:v>55.1</x:v>
      </x:c>
      <x:c r="J1222" s="23" t="n">
        <x:f>G1222-H1222</x:f>
        <x:v>6.560000000000002</x:v>
      </x:c>
      <x:c r="K1222" t="str">
        <x:v>HINDCAST</x:v>
      </x:c>
      <x:c r="L1222" s="24" t="n">
        <x:v>17.4931</x:v>
      </x:c>
      <x:c r="M1222" s="24" t="n">
        <x:v>78.411</x:v>
      </x:c>
      <x:c r="N1222" t="str">
        <x:f>IF(I1222&gt;70,"70+ dB",IF(I1222&gt;55,"56-70 dB","41-55 dB"))</x:f>
        <x:v>56-70 dB</x:v>
      </x:c>
      <x:c r="O1222" t="str">
        <x:f>IF(I1222&gt;70,"High",IF(I1222&gt;55,"Moderate","Low"))</x:f>
        <x:v>Moderate</x:v>
      </x:c>
      <x:c r="P1222" t="str">
        <x:f>IF(I1222&gt;=70,"Yes","No")</x:f>
        <x:v>No</x:v>
      </x:c>
      <x:c r="Q1222" t="str">
        <x:f>TEXT(B1222,"yyyy-mm")</x:f>
        <x:v>2020-02</x:v>
      </x:c>
    </x:row>
    <x:row r="1223">
      <x:c r="A1223" t="str">
        <x:v>HYD08</x:v>
      </x:c>
      <x:c r="B1223" s="22" t="n">
        <x:f>DATE(C1223,D1223,1)</x:f>
        <x:v>43891</x:v>
      </x:c>
      <x:c r="C1223" t="n">
        <x:v>2020</x:v>
      </x:c>
      <x:c r="D1223" t="n">
        <x:v>3</x:v>
      </x:c>
      <x:c r="E1223" t="str">
        <x:f>TEXT(B1223,"mmm")</x:f>
        <x:v>Mar</x:v>
      </x:c>
      <x:c r="F1223" t="str">
        <x:f>"Q"&amp;ROUNDUP(D1223/3,0)</x:f>
        <x:v>Q1</x:v>
      </x:c>
      <x:c r="G1223" s="23" t="n">
        <x:v>56.58</x:v>
      </x:c>
      <x:c r="H1223" s="23" t="n">
        <x:v>50.63</x:v>
      </x:c>
      <x:c r="I1223" s="23" t="n">
        <x:v>53.6</x:v>
      </x:c>
      <x:c r="J1223" s="23" t="n">
        <x:f>G1223-H1223</x:f>
        <x:v>5.949999999999996</x:v>
      </x:c>
      <x:c r="K1223" t="str">
        <x:v>HINDCAST</x:v>
      </x:c>
      <x:c r="L1223" s="24" t="n">
        <x:v>17.4931</x:v>
      </x:c>
      <x:c r="M1223" s="24" t="n">
        <x:v>78.411</x:v>
      </x:c>
      <x:c r="N1223" t="str">
        <x:f>IF(I1223&gt;70,"70+ dB",IF(I1223&gt;55,"56-70 dB","41-55 dB"))</x:f>
        <x:v>41-55 dB</x:v>
      </x:c>
      <x:c r="O1223" t="str">
        <x:f>IF(I1223&gt;70,"High",IF(I1223&gt;55,"Moderate","Low"))</x:f>
        <x:v>Low</x:v>
      </x:c>
      <x:c r="P1223" t="str">
        <x:f>IF(I1223&gt;=70,"Yes","No")</x:f>
        <x:v>No</x:v>
      </x:c>
      <x:c r="Q1223" t="str">
        <x:f>TEXT(B1223,"yyyy-mm")</x:f>
        <x:v>2020-03</x:v>
      </x:c>
    </x:row>
    <x:row r="1224">
      <x:c r="A1224" t="str">
        <x:v>HYD08</x:v>
      </x:c>
      <x:c r="B1224" s="22" t="n">
        <x:f>DATE(C1224,D1224,1)</x:f>
        <x:v>43922</x:v>
      </x:c>
      <x:c r="C1224" t="n">
        <x:v>2020</x:v>
      </x:c>
      <x:c r="D1224" t="n">
        <x:v>4</x:v>
      </x:c>
      <x:c r="E1224" t="str">
        <x:f>TEXT(B1224,"mmm")</x:f>
        <x:v>Apr</x:v>
      </x:c>
      <x:c r="F1224" t="str">
        <x:f>"Q"&amp;ROUNDUP(D1224/3,0)</x:f>
        <x:v>Q2</x:v>
      </x:c>
      <x:c r="G1224" s="23" t="n">
        <x:v>58.65</x:v>
      </x:c>
      <x:c r="H1224" s="23" t="n">
        <x:v>53.88</x:v>
      </x:c>
      <x:c r="I1224" s="23" t="n">
        <x:v>56.3</x:v>
      </x:c>
      <x:c r="J1224" s="23" t="n">
        <x:f>G1224-H1224</x:f>
        <x:v>4.769999999999996</x:v>
      </x:c>
      <x:c r="K1224" t="str">
        <x:v>HINDCAST</x:v>
      </x:c>
      <x:c r="L1224" s="24" t="n">
        <x:v>17.4931</x:v>
      </x:c>
      <x:c r="M1224" s="24" t="n">
        <x:v>78.411</x:v>
      </x:c>
      <x:c r="N1224" t="str">
        <x:f>IF(I1224&gt;70,"70+ dB",IF(I1224&gt;55,"56-70 dB","41-55 dB"))</x:f>
        <x:v>56-70 dB</x:v>
      </x:c>
      <x:c r="O1224" t="str">
        <x:f>IF(I1224&gt;70,"High",IF(I1224&gt;55,"Moderate","Low"))</x:f>
        <x:v>Moderate</x:v>
      </x:c>
      <x:c r="P1224" t="str">
        <x:f>IF(I1224&gt;=70,"Yes","No")</x:f>
        <x:v>No</x:v>
      </x:c>
      <x:c r="Q1224" t="str">
        <x:f>TEXT(B1224,"yyyy-mm")</x:f>
        <x:v>2020-04</x:v>
      </x:c>
    </x:row>
    <x:row r="1225">
      <x:c r="A1225" t="str">
        <x:v>HYD08</x:v>
      </x:c>
      <x:c r="B1225" s="22" t="n">
        <x:f>DATE(C1225,D1225,1)</x:f>
        <x:v>43952</x:v>
      </x:c>
      <x:c r="C1225" t="n">
        <x:v>2020</x:v>
      </x:c>
      <x:c r="D1225" t="n">
        <x:v>5</x:v>
      </x:c>
      <x:c r="E1225" t="str">
        <x:f>TEXT(B1225,"mmm")</x:f>
        <x:v>May</x:v>
      </x:c>
      <x:c r="F1225" t="str">
        <x:f>"Q"&amp;ROUNDUP(D1225/3,0)</x:f>
        <x:v>Q2</x:v>
      </x:c>
      <x:c r="G1225" s="23" t="n">
        <x:v>60.95</x:v>
      </x:c>
      <x:c r="H1225" s="23" t="n">
        <x:v>59.85</x:v>
      </x:c>
      <x:c r="I1225" s="23" t="n">
        <x:v>60.4</x:v>
      </x:c>
      <x:c r="J1225" s="23" t="n">
        <x:f>G1225-H1225</x:f>
        <x:v>1.1000000000000014</x:v>
      </x:c>
      <x:c r="K1225" t="str">
        <x:v>HINDCAST</x:v>
      </x:c>
      <x:c r="L1225" s="24" t="n">
        <x:v>17.4931</x:v>
      </x:c>
      <x:c r="M1225" s="24" t="n">
        <x:v>78.411</x:v>
      </x:c>
      <x:c r="N1225" t="str">
        <x:f>IF(I1225&gt;70,"70+ dB",IF(I1225&gt;55,"56-70 dB","41-55 dB"))</x:f>
        <x:v>56-70 dB</x:v>
      </x:c>
      <x:c r="O1225" t="str">
        <x:f>IF(I1225&gt;70,"High",IF(I1225&gt;55,"Moderate","Low"))</x:f>
        <x:v>Moderate</x:v>
      </x:c>
      <x:c r="P1225" t="str">
        <x:f>IF(I1225&gt;=70,"Yes","No")</x:f>
        <x:v>No</x:v>
      </x:c>
      <x:c r="Q1225" t="str">
        <x:f>TEXT(B1225,"yyyy-mm")</x:f>
        <x:v>2020-05</x:v>
      </x:c>
    </x:row>
    <x:row r="1226">
      <x:c r="A1226" t="str">
        <x:v>HYD08</x:v>
      </x:c>
      <x:c r="B1226" s="22" t="n">
        <x:f>DATE(C1226,D1226,1)</x:f>
        <x:v>43983</x:v>
      </x:c>
      <x:c r="C1226" t="n">
        <x:v>2020</x:v>
      </x:c>
      <x:c r="D1226" t="n">
        <x:v>6</x:v>
      </x:c>
      <x:c r="E1226" t="str">
        <x:f>TEXT(B1226,"mmm")</x:f>
        <x:v>Jun</x:v>
      </x:c>
      <x:c r="F1226" t="str">
        <x:f>"Q"&amp;ROUNDUP(D1226/3,0)</x:f>
        <x:v>Q2</x:v>
      </x:c>
      <x:c r="G1226" s="23" t="n">
        <x:v>59.26</x:v>
      </x:c>
      <x:c r="H1226" s="23" t="n">
        <x:v>56.28</x:v>
      </x:c>
      <x:c r="I1226" s="23" t="n">
        <x:v>57.8</x:v>
      </x:c>
      <x:c r="J1226" s="23" t="n">
        <x:f>G1226-H1226</x:f>
        <x:v>2.979999999999997</x:v>
      </x:c>
      <x:c r="K1226" t="str">
        <x:v>HINDCAST</x:v>
      </x:c>
      <x:c r="L1226" s="24" t="n">
        <x:v>17.4931</x:v>
      </x:c>
      <x:c r="M1226" s="24" t="n">
        <x:v>78.411</x:v>
      </x:c>
      <x:c r="N1226" t="str">
        <x:f>IF(I1226&gt;70,"70+ dB",IF(I1226&gt;55,"56-70 dB","41-55 dB"))</x:f>
        <x:v>56-70 dB</x:v>
      </x:c>
      <x:c r="O1226" t="str">
        <x:f>IF(I1226&gt;70,"High",IF(I1226&gt;55,"Moderate","Low"))</x:f>
        <x:v>Moderate</x:v>
      </x:c>
      <x:c r="P1226" t="str">
        <x:f>IF(I1226&gt;=70,"Yes","No")</x:f>
        <x:v>No</x:v>
      </x:c>
      <x:c r="Q1226" t="str">
        <x:f>TEXT(B1226,"yyyy-mm")</x:f>
        <x:v>2020-06</x:v>
      </x:c>
    </x:row>
    <x:row r="1227">
      <x:c r="A1227" t="str">
        <x:v>HYD08</x:v>
      </x:c>
      <x:c r="B1227" s="22" t="n">
        <x:f>DATE(C1227,D1227,1)</x:f>
        <x:v>44013</x:v>
      </x:c>
      <x:c r="C1227" t="n">
        <x:v>2020</x:v>
      </x:c>
      <x:c r="D1227" t="n">
        <x:v>7</x:v>
      </x:c>
      <x:c r="E1227" t="str">
        <x:f>TEXT(B1227,"mmm")</x:f>
        <x:v>Jul</x:v>
      </x:c>
      <x:c r="F1227" t="str">
        <x:f>"Q"&amp;ROUNDUP(D1227/3,0)</x:f>
        <x:v>Q3</x:v>
      </x:c>
      <x:c r="G1227" s="23" t="n">
        <x:v>61.06</x:v>
      </x:c>
      <x:c r="H1227" s="23" t="n">
        <x:v>56.9</x:v>
      </x:c>
      <x:c r="I1227" s="23" t="n">
        <x:v>59</x:v>
      </x:c>
      <x:c r="J1227" s="23" t="n">
        <x:f>G1227-H1227</x:f>
        <x:v>4.160000000000004</x:v>
      </x:c>
      <x:c r="K1227" t="str">
        <x:v>HINDCAST</x:v>
      </x:c>
      <x:c r="L1227" s="24" t="n">
        <x:v>17.4931</x:v>
      </x:c>
      <x:c r="M1227" s="24" t="n">
        <x:v>78.411</x:v>
      </x:c>
      <x:c r="N1227" t="str">
        <x:f>IF(I1227&gt;70,"70+ dB",IF(I1227&gt;55,"56-70 dB","41-55 dB"))</x:f>
        <x:v>56-70 dB</x:v>
      </x:c>
      <x:c r="O1227" t="str">
        <x:f>IF(I1227&gt;70,"High",IF(I1227&gt;55,"Moderate","Low"))</x:f>
        <x:v>Moderate</x:v>
      </x:c>
      <x:c r="P1227" t="str">
        <x:f>IF(I1227&gt;=70,"Yes","No")</x:f>
        <x:v>No</x:v>
      </x:c>
      <x:c r="Q1227" t="str">
        <x:f>TEXT(B1227,"yyyy-mm")</x:f>
        <x:v>2020-07</x:v>
      </x:c>
    </x:row>
    <x:row r="1228">
      <x:c r="A1228" t="str">
        <x:v>HYD08</x:v>
      </x:c>
      <x:c r="B1228" s="22" t="n">
        <x:f>DATE(C1228,D1228,1)</x:f>
        <x:v>44044</x:v>
      </x:c>
      <x:c r="C1228" t="n">
        <x:v>2020</x:v>
      </x:c>
      <x:c r="D1228" t="n">
        <x:v>8</x:v>
      </x:c>
      <x:c r="E1228" t="str">
        <x:f>TEXT(B1228,"mmm")</x:f>
        <x:v>Aug</x:v>
      </x:c>
      <x:c r="F1228" t="str">
        <x:f>"Q"&amp;ROUNDUP(D1228/3,0)</x:f>
        <x:v>Q3</x:v>
      </x:c>
      <x:c r="G1228" s="23" t="n">
        <x:v>59.39</x:v>
      </x:c>
      <x:c r="H1228" s="23" t="n">
        <x:v>54.07</x:v>
      </x:c>
      <x:c r="I1228" s="23" t="n">
        <x:v>56.7</x:v>
      </x:c>
      <x:c r="J1228" s="23" t="n">
        <x:f>G1228-H1228</x:f>
        <x:v>5.32</x:v>
      </x:c>
      <x:c r="K1228" t="str">
        <x:v>HINDCAST</x:v>
      </x:c>
      <x:c r="L1228" s="24" t="n">
        <x:v>17.4931</x:v>
      </x:c>
      <x:c r="M1228" s="24" t="n">
        <x:v>78.411</x:v>
      </x:c>
      <x:c r="N1228" t="str">
        <x:f>IF(I1228&gt;70,"70+ dB",IF(I1228&gt;55,"56-70 dB","41-55 dB"))</x:f>
        <x:v>56-70 dB</x:v>
      </x:c>
      <x:c r="O1228" t="str">
        <x:f>IF(I1228&gt;70,"High",IF(I1228&gt;55,"Moderate","Low"))</x:f>
        <x:v>Moderate</x:v>
      </x:c>
      <x:c r="P1228" t="str">
        <x:f>IF(I1228&gt;=70,"Yes","No")</x:f>
        <x:v>No</x:v>
      </x:c>
      <x:c r="Q1228" t="str">
        <x:f>TEXT(B1228,"yyyy-mm")</x:f>
        <x:v>2020-08</x:v>
      </x:c>
    </x:row>
    <x:row r="1229">
      <x:c r="A1229" t="str">
        <x:v>HYD08</x:v>
      </x:c>
      <x:c r="B1229" s="22" t="n">
        <x:f>DATE(C1229,D1229,1)</x:f>
        <x:v>44075</x:v>
      </x:c>
      <x:c r="C1229" t="n">
        <x:v>2020</x:v>
      </x:c>
      <x:c r="D1229" t="n">
        <x:v>9</x:v>
      </x:c>
      <x:c r="E1229" t="str">
        <x:f>TEXT(B1229,"mmm")</x:f>
        <x:v>Sep</x:v>
      </x:c>
      <x:c r="F1229" t="str">
        <x:f>"Q"&amp;ROUNDUP(D1229/3,0)</x:f>
        <x:v>Q3</x:v>
      </x:c>
      <x:c r="G1229" s="23" t="n">
        <x:v>57.43</x:v>
      </x:c>
      <x:c r="H1229" s="23" t="n">
        <x:v>51.67</x:v>
      </x:c>
      <x:c r="I1229" s="23" t="n">
        <x:v>54.6</x:v>
      </x:c>
      <x:c r="J1229" s="23" t="n">
        <x:f>G1229-H1229</x:f>
        <x:v>5.759999999999998</x:v>
      </x:c>
      <x:c r="K1229" t="str">
        <x:v>HINDCAST</x:v>
      </x:c>
      <x:c r="L1229" s="24" t="n">
        <x:v>17.4931</x:v>
      </x:c>
      <x:c r="M1229" s="24" t="n">
        <x:v>78.411</x:v>
      </x:c>
      <x:c r="N1229" t="str">
        <x:f>IF(I1229&gt;70,"70+ dB",IF(I1229&gt;55,"56-70 dB","41-55 dB"))</x:f>
        <x:v>41-55 dB</x:v>
      </x:c>
      <x:c r="O1229" t="str">
        <x:f>IF(I1229&gt;70,"High",IF(I1229&gt;55,"Moderate","Low"))</x:f>
        <x:v>Low</x:v>
      </x:c>
      <x:c r="P1229" t="str">
        <x:f>IF(I1229&gt;=70,"Yes","No")</x:f>
        <x:v>No</x:v>
      </x:c>
      <x:c r="Q1229" t="str">
        <x:f>TEXT(B1229,"yyyy-mm")</x:f>
        <x:v>2020-09</x:v>
      </x:c>
    </x:row>
    <x:row r="1230">
      <x:c r="A1230" t="str">
        <x:v>HYD08</x:v>
      </x:c>
      <x:c r="B1230" s="22" t="n">
        <x:f>DATE(C1230,D1230,1)</x:f>
        <x:v>44105</x:v>
      </x:c>
      <x:c r="C1230" t="n">
        <x:v>2020</x:v>
      </x:c>
      <x:c r="D1230" t="n">
        <x:v>10</x:v>
      </x:c>
      <x:c r="E1230" t="str">
        <x:f>TEXT(B1230,"mmm")</x:f>
        <x:v>Oct</x:v>
      </x:c>
      <x:c r="F1230" t="str">
        <x:f>"Q"&amp;ROUNDUP(D1230/3,0)</x:f>
        <x:v>Q4</x:v>
      </x:c>
      <x:c r="G1230" s="23" t="n">
        <x:v>55.82</x:v>
      </x:c>
      <x:c r="H1230" s="23" t="n">
        <x:v>47.48</x:v>
      </x:c>
      <x:c r="I1230" s="23" t="n">
        <x:v>51.6</x:v>
      </x:c>
      <x:c r="J1230" s="23" t="n">
        <x:f>G1230-H1230</x:f>
        <x:v>8.340000000000003</x:v>
      </x:c>
      <x:c r="K1230" t="str">
        <x:v>HINDCAST</x:v>
      </x:c>
      <x:c r="L1230" s="24" t="n">
        <x:v>17.4931</x:v>
      </x:c>
      <x:c r="M1230" s="24" t="n">
        <x:v>78.411</x:v>
      </x:c>
      <x:c r="N1230" t="str">
        <x:f>IF(I1230&gt;70,"70+ dB",IF(I1230&gt;55,"56-70 dB","41-55 dB"))</x:f>
        <x:v>41-55 dB</x:v>
      </x:c>
      <x:c r="O1230" t="str">
        <x:f>IF(I1230&gt;70,"High",IF(I1230&gt;55,"Moderate","Low"))</x:f>
        <x:v>Low</x:v>
      </x:c>
      <x:c r="P1230" t="str">
        <x:f>IF(I1230&gt;=70,"Yes","No")</x:f>
        <x:v>No</x:v>
      </x:c>
      <x:c r="Q1230" t="str">
        <x:f>TEXT(B1230,"yyyy-mm")</x:f>
        <x:v>2020-10</x:v>
      </x:c>
    </x:row>
    <x:row r="1231">
      <x:c r="A1231" t="str">
        <x:v>HYD08</x:v>
      </x:c>
      <x:c r="B1231" s="22" t="n">
        <x:f>DATE(C1231,D1231,1)</x:f>
        <x:v>44136</x:v>
      </x:c>
      <x:c r="C1231" t="n">
        <x:v>2020</x:v>
      </x:c>
      <x:c r="D1231" t="n">
        <x:v>11</x:v>
      </x:c>
      <x:c r="E1231" t="str">
        <x:f>TEXT(B1231,"mmm")</x:f>
        <x:v>Nov</x:v>
      </x:c>
      <x:c r="F1231" t="str">
        <x:f>"Q"&amp;ROUNDUP(D1231/3,0)</x:f>
        <x:v>Q4</x:v>
      </x:c>
      <x:c r="G1231" s="23" t="n">
        <x:v>55.55</x:v>
      </x:c>
      <x:c r="H1231" s="23" t="n">
        <x:v>48.22</x:v>
      </x:c>
      <x:c r="I1231" s="23" t="n">
        <x:v>51.9</x:v>
      </x:c>
      <x:c r="J1231" s="23" t="n">
        <x:f>G1231-H1231</x:f>
        <x:v>7.329999999999998</x:v>
      </x:c>
      <x:c r="K1231" t="str">
        <x:v>HINDCAST</x:v>
      </x:c>
      <x:c r="L1231" s="24" t="n">
        <x:v>17.4931</x:v>
      </x:c>
      <x:c r="M1231" s="24" t="n">
        <x:v>78.411</x:v>
      </x:c>
      <x:c r="N1231" t="str">
        <x:f>IF(I1231&gt;70,"70+ dB",IF(I1231&gt;55,"56-70 dB","41-55 dB"))</x:f>
        <x:v>41-55 dB</x:v>
      </x:c>
      <x:c r="O1231" t="str">
        <x:f>IF(I1231&gt;70,"High",IF(I1231&gt;55,"Moderate","Low"))</x:f>
        <x:v>Low</x:v>
      </x:c>
      <x:c r="P1231" t="str">
        <x:f>IF(I1231&gt;=70,"Yes","No")</x:f>
        <x:v>No</x:v>
      </x:c>
      <x:c r="Q1231" t="str">
        <x:f>TEXT(B1231,"yyyy-mm")</x:f>
        <x:v>2020-11</x:v>
      </x:c>
    </x:row>
    <x:row r="1232">
      <x:c r="A1232" t="str">
        <x:v>HYD08</x:v>
      </x:c>
      <x:c r="B1232" s="22" t="n">
        <x:f>DATE(C1232,D1232,1)</x:f>
        <x:v>44166</x:v>
      </x:c>
      <x:c r="C1232" t="n">
        <x:v>2020</x:v>
      </x:c>
      <x:c r="D1232" t="n">
        <x:v>12</x:v>
      </x:c>
      <x:c r="E1232" t="str">
        <x:f>TEXT(B1232,"mmm")</x:f>
        <x:v>Dec</x:v>
      </x:c>
      <x:c r="F1232" t="str">
        <x:f>"Q"&amp;ROUNDUP(D1232/3,0)</x:f>
        <x:v>Q4</x:v>
      </x:c>
      <x:c r="G1232" s="23" t="n">
        <x:v>54.42</x:v>
      </x:c>
      <x:c r="H1232" s="23" t="n">
        <x:v>50.87</x:v>
      </x:c>
      <x:c r="I1232" s="23" t="n">
        <x:v>52.6</x:v>
      </x:c>
      <x:c r="J1232" s="23" t="n">
        <x:f>G1232-H1232</x:f>
        <x:v>3.5500000000000043</x:v>
      </x:c>
      <x:c r="K1232" t="str">
        <x:v>HINDCAST</x:v>
      </x:c>
      <x:c r="L1232" s="24" t="n">
        <x:v>17.4931</x:v>
      </x:c>
      <x:c r="M1232" s="24" t="n">
        <x:v>78.411</x:v>
      </x:c>
      <x:c r="N1232" t="str">
        <x:f>IF(I1232&gt;70,"70+ dB",IF(I1232&gt;55,"56-70 dB","41-55 dB"))</x:f>
        <x:v>41-55 dB</x:v>
      </x:c>
      <x:c r="O1232" t="str">
        <x:f>IF(I1232&gt;70,"High",IF(I1232&gt;55,"Moderate","Low"))</x:f>
        <x:v>Low</x:v>
      </x:c>
      <x:c r="P1232" t="str">
        <x:f>IF(I1232&gt;=70,"Yes","No")</x:f>
        <x:v>No</x:v>
      </x:c>
      <x:c r="Q1232" t="str">
        <x:f>TEXT(B1232,"yyyy-mm")</x:f>
        <x:v>2020-12</x:v>
      </x:c>
    </x:row>
    <x:row r="1233">
      <x:c r="A1233" t="str">
        <x:v>HYD08</x:v>
      </x:c>
      <x:c r="B1233" s="22" t="n">
        <x:f>DATE(C1233,D1233,1)</x:f>
        <x:v>44197</x:v>
      </x:c>
      <x:c r="C1233" t="n">
        <x:v>2021</x:v>
      </x:c>
      <x:c r="D1233" t="n">
        <x:v>1</x:v>
      </x:c>
      <x:c r="E1233" t="str">
        <x:f>TEXT(B1233,"mmm")</x:f>
        <x:v>Jan</x:v>
      </x:c>
      <x:c r="F1233" t="str">
        <x:f>"Q"&amp;ROUNDUP(D1233/3,0)</x:f>
        <x:v>Q1</x:v>
      </x:c>
      <x:c r="G1233" s="23" t="n">
        <x:v>53.77</x:v>
      </x:c>
      <x:c r="H1233" s="23" t="n">
        <x:v>48.23</x:v>
      </x:c>
      <x:c r="I1233" s="23" t="n">
        <x:v>51</x:v>
      </x:c>
      <x:c r="J1233" s="23" t="n">
        <x:f>G1233-H1233</x:f>
        <x:v>5.540000000000006</x:v>
      </x:c>
      <x:c r="K1233" t="str">
        <x:v>HINDCAST</x:v>
      </x:c>
      <x:c r="L1233" s="24" t="n">
        <x:v>17.4931</x:v>
      </x:c>
      <x:c r="M1233" s="24" t="n">
        <x:v>78.411</x:v>
      </x:c>
      <x:c r="N1233" t="str">
        <x:f>IF(I1233&gt;70,"70+ dB",IF(I1233&gt;55,"56-70 dB","41-55 dB"))</x:f>
        <x:v>41-55 dB</x:v>
      </x:c>
      <x:c r="O1233" t="str">
        <x:f>IF(I1233&gt;70,"High",IF(I1233&gt;55,"Moderate","Low"))</x:f>
        <x:v>Low</x:v>
      </x:c>
      <x:c r="P1233" t="str">
        <x:f>IF(I1233&gt;=70,"Yes","No")</x:f>
        <x:v>No</x:v>
      </x:c>
      <x:c r="Q1233" t="str">
        <x:f>TEXT(B1233,"yyyy-mm")</x:f>
        <x:v>2021-01</x:v>
      </x:c>
    </x:row>
    <x:row r="1234">
      <x:c r="A1234" t="str">
        <x:v>HYD08</x:v>
      </x:c>
      <x:c r="B1234" s="22" t="n">
        <x:f>DATE(C1234,D1234,1)</x:f>
        <x:v>44228</x:v>
      </x:c>
      <x:c r="C1234" t="n">
        <x:v>2021</x:v>
      </x:c>
      <x:c r="D1234" t="n">
        <x:v>2</x:v>
      </x:c>
      <x:c r="E1234" t="str">
        <x:f>TEXT(B1234,"mmm")</x:f>
        <x:v>Feb</x:v>
      </x:c>
      <x:c r="F1234" t="str">
        <x:f>"Q"&amp;ROUNDUP(D1234/3,0)</x:f>
        <x:v>Q1</x:v>
      </x:c>
      <x:c r="G1234" s="23" t="n">
        <x:v>57.51</x:v>
      </x:c>
      <x:c r="H1234" s="23" t="n">
        <x:v>51.06</x:v>
      </x:c>
      <x:c r="I1234" s="23" t="n">
        <x:v>54.3</x:v>
      </x:c>
      <x:c r="J1234" s="23" t="n">
        <x:f>G1234-H1234</x:f>
        <x:v>6.449999999999996</x:v>
      </x:c>
      <x:c r="K1234" t="str">
        <x:v>HINDCAST</x:v>
      </x:c>
      <x:c r="L1234" s="24" t="n">
        <x:v>17.4931</x:v>
      </x:c>
      <x:c r="M1234" s="24" t="n">
        <x:v>78.411</x:v>
      </x:c>
      <x:c r="N1234" t="str">
        <x:f>IF(I1234&gt;70,"70+ dB",IF(I1234&gt;55,"56-70 dB","41-55 dB"))</x:f>
        <x:v>41-55 dB</x:v>
      </x:c>
      <x:c r="O1234" t="str">
        <x:f>IF(I1234&gt;70,"High",IF(I1234&gt;55,"Moderate","Low"))</x:f>
        <x:v>Low</x:v>
      </x:c>
      <x:c r="P1234" t="str">
        <x:f>IF(I1234&gt;=70,"Yes","No")</x:f>
        <x:v>No</x:v>
      </x:c>
      <x:c r="Q1234" t="str">
        <x:f>TEXT(B1234,"yyyy-mm")</x:f>
        <x:v>2021-02</x:v>
      </x:c>
    </x:row>
    <x:row r="1235">
      <x:c r="A1235" t="str">
        <x:v>HYD08</x:v>
      </x:c>
      <x:c r="B1235" s="22" t="n">
        <x:f>DATE(C1235,D1235,1)</x:f>
        <x:v>44256</x:v>
      </x:c>
      <x:c r="C1235" t="n">
        <x:v>2021</x:v>
      </x:c>
      <x:c r="D1235" t="n">
        <x:v>3</x:v>
      </x:c>
      <x:c r="E1235" t="str">
        <x:f>TEXT(B1235,"mmm")</x:f>
        <x:v>Mar</x:v>
      </x:c>
      <x:c r="F1235" t="str">
        <x:f>"Q"&amp;ROUNDUP(D1235/3,0)</x:f>
        <x:v>Q1</x:v>
      </x:c>
      <x:c r="G1235" s="23" t="n">
        <x:v>55.31</x:v>
      </x:c>
      <x:c r="H1235" s="23" t="n">
        <x:v>49.5</x:v>
      </x:c>
      <x:c r="I1235" s="23" t="n">
        <x:v>52.4</x:v>
      </x:c>
      <x:c r="J1235" s="23" t="n">
        <x:f>G1235-H1235</x:f>
        <x:v>5.810000000000002</x:v>
      </x:c>
      <x:c r="K1235" t="str">
        <x:v>HINDCAST</x:v>
      </x:c>
      <x:c r="L1235" s="24" t="n">
        <x:v>17.4931</x:v>
      </x:c>
      <x:c r="M1235" s="24" t="n">
        <x:v>78.411</x:v>
      </x:c>
      <x:c r="N1235" t="str">
        <x:f>IF(I1235&gt;70,"70+ dB",IF(I1235&gt;55,"56-70 dB","41-55 dB"))</x:f>
        <x:v>41-55 dB</x:v>
      </x:c>
      <x:c r="O1235" t="str">
        <x:f>IF(I1235&gt;70,"High",IF(I1235&gt;55,"Moderate","Low"))</x:f>
        <x:v>Low</x:v>
      </x:c>
      <x:c r="P1235" t="str">
        <x:f>IF(I1235&gt;=70,"Yes","No")</x:f>
        <x:v>No</x:v>
      </x:c>
      <x:c r="Q1235" t="str">
        <x:f>TEXT(B1235,"yyyy-mm")</x:f>
        <x:v>2021-03</x:v>
      </x:c>
    </x:row>
    <x:row r="1236">
      <x:c r="A1236" t="str">
        <x:v>HYD08</x:v>
      </x:c>
      <x:c r="B1236" s="22" t="n">
        <x:f>DATE(C1236,D1236,1)</x:f>
        <x:v>44287</x:v>
      </x:c>
      <x:c r="C1236" t="n">
        <x:v>2021</x:v>
      </x:c>
      <x:c r="D1236" t="n">
        <x:v>4</x:v>
      </x:c>
      <x:c r="E1236" t="str">
        <x:f>TEXT(B1236,"mmm")</x:f>
        <x:v>Apr</x:v>
      </x:c>
      <x:c r="F1236" t="str">
        <x:f>"Q"&amp;ROUNDUP(D1236/3,0)</x:f>
        <x:v>Q2</x:v>
      </x:c>
      <x:c r="G1236" s="23" t="n">
        <x:v>58.63</x:v>
      </x:c>
      <x:c r="H1236" s="23" t="n">
        <x:v>53.2</x:v>
      </x:c>
      <x:c r="I1236" s="23" t="n">
        <x:v>55.9</x:v>
      </x:c>
      <x:c r="J1236" s="23" t="n">
        <x:f>G1236-H1236</x:f>
        <x:v>5.43</x:v>
      </x:c>
      <x:c r="K1236" t="str">
        <x:v>HINDCAST</x:v>
      </x:c>
      <x:c r="L1236" s="24" t="n">
        <x:v>17.4931</x:v>
      </x:c>
      <x:c r="M1236" s="24" t="n">
        <x:v>78.411</x:v>
      </x:c>
      <x:c r="N1236" t="str">
        <x:f>IF(I1236&gt;70,"70+ dB",IF(I1236&gt;55,"56-70 dB","41-55 dB"))</x:f>
        <x:v>56-70 dB</x:v>
      </x:c>
      <x:c r="O1236" t="str">
        <x:f>IF(I1236&gt;70,"High",IF(I1236&gt;55,"Moderate","Low"))</x:f>
        <x:v>Moderate</x:v>
      </x:c>
      <x:c r="P1236" t="str">
        <x:f>IF(I1236&gt;=70,"Yes","No")</x:f>
        <x:v>No</x:v>
      </x:c>
      <x:c r="Q1236" t="str">
        <x:f>TEXT(B1236,"yyyy-mm")</x:f>
        <x:v>2021-04</x:v>
      </x:c>
    </x:row>
    <x:row r="1237">
      <x:c r="A1237" t="str">
        <x:v>HYD08</x:v>
      </x:c>
      <x:c r="B1237" s="22" t="n">
        <x:f>DATE(C1237,D1237,1)</x:f>
        <x:v>44317</x:v>
      </x:c>
      <x:c r="C1237" t="n">
        <x:v>2021</x:v>
      </x:c>
      <x:c r="D1237" t="n">
        <x:v>5</x:v>
      </x:c>
      <x:c r="E1237" t="str">
        <x:f>TEXT(B1237,"mmm")</x:f>
        <x:v>May</x:v>
      </x:c>
      <x:c r="F1237" t="str">
        <x:f>"Q"&amp;ROUNDUP(D1237/3,0)</x:f>
        <x:v>Q2</x:v>
      </x:c>
      <x:c r="G1237" s="23" t="n">
        <x:v>62.3</x:v>
      </x:c>
      <x:c r="H1237" s="23" t="n">
        <x:v>61.29</x:v>
      </x:c>
      <x:c r="I1237" s="23" t="n">
        <x:v>61.8</x:v>
      </x:c>
      <x:c r="J1237" s="23" t="n">
        <x:f>G1237-H1237</x:f>
        <x:v>1.009999999999998</x:v>
      </x:c>
      <x:c r="K1237" t="str">
        <x:v>HINDCAST</x:v>
      </x:c>
      <x:c r="L1237" s="24" t="n">
        <x:v>17.4931</x:v>
      </x:c>
      <x:c r="M1237" s="24" t="n">
        <x:v>78.411</x:v>
      </x:c>
      <x:c r="N1237" t="str">
        <x:f>IF(I1237&gt;70,"70+ dB",IF(I1237&gt;55,"56-70 dB","41-55 dB"))</x:f>
        <x:v>56-70 dB</x:v>
      </x:c>
      <x:c r="O1237" t="str">
        <x:f>IF(I1237&gt;70,"High",IF(I1237&gt;55,"Moderate","Low"))</x:f>
        <x:v>Moderate</x:v>
      </x:c>
      <x:c r="P1237" t="str">
        <x:f>IF(I1237&gt;=70,"Yes","No")</x:f>
        <x:v>No</x:v>
      </x:c>
      <x:c r="Q1237" t="str">
        <x:f>TEXT(B1237,"yyyy-mm")</x:f>
        <x:v>2021-05</x:v>
      </x:c>
    </x:row>
    <x:row r="1238">
      <x:c r="A1238" t="str">
        <x:v>HYD08</x:v>
      </x:c>
      <x:c r="B1238" s="22" t="n">
        <x:f>DATE(C1238,D1238,1)</x:f>
        <x:v>44348</x:v>
      </x:c>
      <x:c r="C1238" t="n">
        <x:v>2021</x:v>
      </x:c>
      <x:c r="D1238" t="n">
        <x:v>6</x:v>
      </x:c>
      <x:c r="E1238" t="str">
        <x:f>TEXT(B1238,"mmm")</x:f>
        <x:v>Jun</x:v>
      </x:c>
      <x:c r="F1238" t="str">
        <x:f>"Q"&amp;ROUNDUP(D1238/3,0)</x:f>
        <x:v>Q2</x:v>
      </x:c>
      <x:c r="G1238" s="23" t="n">
        <x:v>58.42</x:v>
      </x:c>
      <x:c r="H1238" s="23" t="n">
        <x:v>56.1</x:v>
      </x:c>
      <x:c r="I1238" s="23" t="n">
        <x:v>57.3</x:v>
      </x:c>
      <x:c r="J1238" s="23" t="n">
        <x:f>G1238-H1238</x:f>
        <x:v>2.3200000000000003</x:v>
      </x:c>
      <x:c r="K1238" t="str">
        <x:v>HINDCAST</x:v>
      </x:c>
      <x:c r="L1238" s="24" t="n">
        <x:v>17.4931</x:v>
      </x:c>
      <x:c r="M1238" s="24" t="n">
        <x:v>78.411</x:v>
      </x:c>
      <x:c r="N1238" t="str">
        <x:f>IF(I1238&gt;70,"70+ dB",IF(I1238&gt;55,"56-70 dB","41-55 dB"))</x:f>
        <x:v>56-70 dB</x:v>
      </x:c>
      <x:c r="O1238" t="str">
        <x:f>IF(I1238&gt;70,"High",IF(I1238&gt;55,"Moderate","Low"))</x:f>
        <x:v>Moderate</x:v>
      </x:c>
      <x:c r="P1238" t="str">
        <x:f>IF(I1238&gt;=70,"Yes","No")</x:f>
        <x:v>No</x:v>
      </x:c>
      <x:c r="Q1238" t="str">
        <x:f>TEXT(B1238,"yyyy-mm")</x:f>
        <x:v>2021-06</x:v>
      </x:c>
    </x:row>
    <x:row r="1239">
      <x:c r="A1239" t="str">
        <x:v>HYD08</x:v>
      </x:c>
      <x:c r="B1239" s="22" t="n">
        <x:f>DATE(C1239,D1239,1)</x:f>
        <x:v>44378</x:v>
      </x:c>
      <x:c r="C1239" t="n">
        <x:v>2021</x:v>
      </x:c>
      <x:c r="D1239" t="n">
        <x:v>7</x:v>
      </x:c>
      <x:c r="E1239" t="str">
        <x:f>TEXT(B1239,"mmm")</x:f>
        <x:v>Jul</x:v>
      </x:c>
      <x:c r="F1239" t="str">
        <x:f>"Q"&amp;ROUNDUP(D1239/3,0)</x:f>
        <x:v>Q3</x:v>
      </x:c>
      <x:c r="G1239" s="23" t="n">
        <x:v>59.5</x:v>
      </x:c>
      <x:c r="H1239" s="23" t="n">
        <x:v>55.87</x:v>
      </x:c>
      <x:c r="I1239" s="23" t="n">
        <x:v>57.7</x:v>
      </x:c>
      <x:c r="J1239" s="23" t="n">
        <x:f>G1239-H1239</x:f>
        <x:v>3.6300000000000026</x:v>
      </x:c>
      <x:c r="K1239" t="str">
        <x:v>HINDCAST</x:v>
      </x:c>
      <x:c r="L1239" s="24" t="n">
        <x:v>17.4931</x:v>
      </x:c>
      <x:c r="M1239" s="24" t="n">
        <x:v>78.411</x:v>
      </x:c>
      <x:c r="N1239" t="str">
        <x:f>IF(I1239&gt;70,"70+ dB",IF(I1239&gt;55,"56-70 dB","41-55 dB"))</x:f>
        <x:v>56-70 dB</x:v>
      </x:c>
      <x:c r="O1239" t="str">
        <x:f>IF(I1239&gt;70,"High",IF(I1239&gt;55,"Moderate","Low"))</x:f>
        <x:v>Moderate</x:v>
      </x:c>
      <x:c r="P1239" t="str">
        <x:f>IF(I1239&gt;=70,"Yes","No")</x:f>
        <x:v>No</x:v>
      </x:c>
      <x:c r="Q1239" t="str">
        <x:f>TEXT(B1239,"yyyy-mm")</x:f>
        <x:v>2021-07</x:v>
      </x:c>
    </x:row>
    <x:row r="1240">
      <x:c r="A1240" t="str">
        <x:v>HYD08</x:v>
      </x:c>
      <x:c r="B1240" s="22" t="n">
        <x:f>DATE(C1240,D1240,1)</x:f>
        <x:v>44409</x:v>
      </x:c>
      <x:c r="C1240" t="n">
        <x:v>2021</x:v>
      </x:c>
      <x:c r="D1240" t="n">
        <x:v>8</x:v>
      </x:c>
      <x:c r="E1240" t="str">
        <x:f>TEXT(B1240,"mmm")</x:f>
        <x:v>Aug</x:v>
      </x:c>
      <x:c r="F1240" t="str">
        <x:f>"Q"&amp;ROUNDUP(D1240/3,0)</x:f>
        <x:v>Q3</x:v>
      </x:c>
      <x:c r="G1240" s="23" t="n">
        <x:v>57.42</x:v>
      </x:c>
      <x:c r="H1240" s="23" t="n">
        <x:v>52.38</x:v>
      </x:c>
      <x:c r="I1240" s="23" t="n">
        <x:v>54.9</x:v>
      </x:c>
      <x:c r="J1240" s="23" t="n">
        <x:f>G1240-H1240</x:f>
        <x:v>5.039999999999999</x:v>
      </x:c>
      <x:c r="K1240" t="str">
        <x:v>HINDCAST</x:v>
      </x:c>
      <x:c r="L1240" s="24" t="n">
        <x:v>17.4931</x:v>
      </x:c>
      <x:c r="M1240" s="24" t="n">
        <x:v>78.411</x:v>
      </x:c>
      <x:c r="N1240" t="str">
        <x:f>IF(I1240&gt;70,"70+ dB",IF(I1240&gt;55,"56-70 dB","41-55 dB"))</x:f>
        <x:v>41-55 dB</x:v>
      </x:c>
      <x:c r="O1240" t="str">
        <x:f>IF(I1240&gt;70,"High",IF(I1240&gt;55,"Moderate","Low"))</x:f>
        <x:v>Low</x:v>
      </x:c>
      <x:c r="P1240" t="str">
        <x:f>IF(I1240&gt;=70,"Yes","No")</x:f>
        <x:v>No</x:v>
      </x:c>
      <x:c r="Q1240" t="str">
        <x:f>TEXT(B1240,"yyyy-mm")</x:f>
        <x:v>2021-08</x:v>
      </x:c>
    </x:row>
    <x:row r="1241">
      <x:c r="A1241" t="str">
        <x:v>HYD08</x:v>
      </x:c>
      <x:c r="B1241" s="22" t="n">
        <x:f>DATE(C1241,D1241,1)</x:f>
        <x:v>44440</x:v>
      </x:c>
      <x:c r="C1241" t="n">
        <x:v>2021</x:v>
      </x:c>
      <x:c r="D1241" t="n">
        <x:v>9</x:v>
      </x:c>
      <x:c r="E1241" t="str">
        <x:f>TEXT(B1241,"mmm")</x:f>
        <x:v>Sep</x:v>
      </x:c>
      <x:c r="F1241" t="str">
        <x:f>"Q"&amp;ROUNDUP(D1241/3,0)</x:f>
        <x:v>Q3</x:v>
      </x:c>
      <x:c r="G1241" s="23" t="n">
        <x:v>57.27</x:v>
      </x:c>
      <x:c r="H1241" s="23" t="n">
        <x:v>51.63</x:v>
      </x:c>
      <x:c r="I1241" s="23" t="n">
        <x:v>54.4</x:v>
      </x:c>
      <x:c r="J1241" s="23" t="n">
        <x:f>G1241-H1241</x:f>
        <x:v>5.640000000000001</x:v>
      </x:c>
      <x:c r="K1241" t="str">
        <x:v>HINDCAST</x:v>
      </x:c>
      <x:c r="L1241" s="24" t="n">
        <x:v>17.4931</x:v>
      </x:c>
      <x:c r="M1241" s="24" t="n">
        <x:v>78.411</x:v>
      </x:c>
      <x:c r="N1241" t="str">
        <x:f>IF(I1241&gt;70,"70+ dB",IF(I1241&gt;55,"56-70 dB","41-55 dB"))</x:f>
        <x:v>41-55 dB</x:v>
      </x:c>
      <x:c r="O1241" t="str">
        <x:f>IF(I1241&gt;70,"High",IF(I1241&gt;55,"Moderate","Low"))</x:f>
        <x:v>Low</x:v>
      </x:c>
      <x:c r="P1241" t="str">
        <x:f>IF(I1241&gt;=70,"Yes","No")</x:f>
        <x:v>No</x:v>
      </x:c>
      <x:c r="Q1241" t="str">
        <x:f>TEXT(B1241,"yyyy-mm")</x:f>
        <x:v>2021-09</x:v>
      </x:c>
    </x:row>
    <x:row r="1242">
      <x:c r="A1242" t="str">
        <x:v>HYD08</x:v>
      </x:c>
      <x:c r="B1242" s="22" t="n">
        <x:f>DATE(C1242,D1242,1)</x:f>
        <x:v>44470</x:v>
      </x:c>
      <x:c r="C1242" t="n">
        <x:v>2021</x:v>
      </x:c>
      <x:c r="D1242" t="n">
        <x:v>10</x:v>
      </x:c>
      <x:c r="E1242" t="str">
        <x:f>TEXT(B1242,"mmm")</x:f>
        <x:v>Oct</x:v>
      </x:c>
      <x:c r="F1242" t="str">
        <x:f>"Q"&amp;ROUNDUP(D1242/3,0)</x:f>
        <x:v>Q4</x:v>
      </x:c>
      <x:c r="G1242" s="23" t="n">
        <x:v>54.11</x:v>
      </x:c>
      <x:c r="H1242" s="23" t="n">
        <x:v>45.94</x:v>
      </x:c>
      <x:c r="I1242" s="23" t="n">
        <x:v>50</x:v>
      </x:c>
      <x:c r="J1242" s="23" t="n">
        <x:f>G1242-H1242</x:f>
        <x:v>8.170000000000002</x:v>
      </x:c>
      <x:c r="K1242" t="str">
        <x:v>HINDCAST</x:v>
      </x:c>
      <x:c r="L1242" s="24" t="n">
        <x:v>17.4931</x:v>
      </x:c>
      <x:c r="M1242" s="24" t="n">
        <x:v>78.411</x:v>
      </x:c>
      <x:c r="N1242" t="str">
        <x:f>IF(I1242&gt;70,"70+ dB",IF(I1242&gt;55,"56-70 dB","41-55 dB"))</x:f>
        <x:v>41-55 dB</x:v>
      </x:c>
      <x:c r="O1242" t="str">
        <x:f>IF(I1242&gt;70,"High",IF(I1242&gt;55,"Moderate","Low"))</x:f>
        <x:v>Low</x:v>
      </x:c>
      <x:c r="P1242" t="str">
        <x:f>IF(I1242&gt;=70,"Yes","No")</x:f>
        <x:v>No</x:v>
      </x:c>
      <x:c r="Q1242" t="str">
        <x:f>TEXT(B1242,"yyyy-mm")</x:f>
        <x:v>2021-10</x:v>
      </x:c>
    </x:row>
    <x:row r="1243">
      <x:c r="A1243" t="str">
        <x:v>HYD08</x:v>
      </x:c>
      <x:c r="B1243" s="22" t="n">
        <x:f>DATE(C1243,D1243,1)</x:f>
        <x:v>44501</x:v>
      </x:c>
      <x:c r="C1243" t="n">
        <x:v>2021</x:v>
      </x:c>
      <x:c r="D1243" t="n">
        <x:v>11</x:v>
      </x:c>
      <x:c r="E1243" t="str">
        <x:f>TEXT(B1243,"mmm")</x:f>
        <x:v>Nov</x:v>
      </x:c>
      <x:c r="F1243" t="str">
        <x:f>"Q"&amp;ROUNDUP(D1243/3,0)</x:f>
        <x:v>Q4</x:v>
      </x:c>
      <x:c r="G1243" s="23" t="n">
        <x:v>54.28</x:v>
      </x:c>
      <x:c r="H1243" s="23" t="n">
        <x:v>46.59</x:v>
      </x:c>
      <x:c r="I1243" s="23" t="n">
        <x:v>50.4</x:v>
      </x:c>
      <x:c r="J1243" s="23" t="n">
        <x:f>G1243-H1243</x:f>
        <x:v>7.689999999999998</x:v>
      </x:c>
      <x:c r="K1243" t="str">
        <x:v>HINDCAST</x:v>
      </x:c>
      <x:c r="L1243" s="24" t="n">
        <x:v>17.4931</x:v>
      </x:c>
      <x:c r="M1243" s="24" t="n">
        <x:v>78.411</x:v>
      </x:c>
      <x:c r="N1243" t="str">
        <x:f>IF(I1243&gt;70,"70+ dB",IF(I1243&gt;55,"56-70 dB","41-55 dB"))</x:f>
        <x:v>41-55 dB</x:v>
      </x:c>
      <x:c r="O1243" t="str">
        <x:f>IF(I1243&gt;70,"High",IF(I1243&gt;55,"Moderate","Low"))</x:f>
        <x:v>Low</x:v>
      </x:c>
      <x:c r="P1243" t="str">
        <x:f>IF(I1243&gt;=70,"Yes","No")</x:f>
        <x:v>No</x:v>
      </x:c>
      <x:c r="Q1243" t="str">
        <x:f>TEXT(B1243,"yyyy-mm")</x:f>
        <x:v>2021-11</x:v>
      </x:c>
    </x:row>
    <x:row r="1244">
      <x:c r="A1244" t="str">
        <x:v>HYD08</x:v>
      </x:c>
      <x:c r="B1244" s="22" t="n">
        <x:f>DATE(C1244,D1244,1)</x:f>
        <x:v>44531</x:v>
      </x:c>
      <x:c r="C1244" t="n">
        <x:v>2021</x:v>
      </x:c>
      <x:c r="D1244" t="n">
        <x:v>12</x:v>
      </x:c>
      <x:c r="E1244" t="str">
        <x:f>TEXT(B1244,"mmm")</x:f>
        <x:v>Dec</x:v>
      </x:c>
      <x:c r="F1244" t="str">
        <x:f>"Q"&amp;ROUNDUP(D1244/3,0)</x:f>
        <x:v>Q4</x:v>
      </x:c>
      <x:c r="G1244" s="23" t="n">
        <x:v>53.66</x:v>
      </x:c>
      <x:c r="H1244" s="23" t="n">
        <x:v>49.83</x:v>
      </x:c>
      <x:c r="I1244" s="23" t="n">
        <x:v>51.7</x:v>
      </x:c>
      <x:c r="J1244" s="23" t="n">
        <x:f>G1244-H1244</x:f>
        <x:v>3.8299999999999983</x:v>
      </x:c>
      <x:c r="K1244" t="str">
        <x:v>HINDCAST</x:v>
      </x:c>
      <x:c r="L1244" s="24" t="n">
        <x:v>17.4931</x:v>
      </x:c>
      <x:c r="M1244" s="24" t="n">
        <x:v>78.411</x:v>
      </x:c>
      <x:c r="N1244" t="str">
        <x:f>IF(I1244&gt;70,"70+ dB",IF(I1244&gt;55,"56-70 dB","41-55 dB"))</x:f>
        <x:v>41-55 dB</x:v>
      </x:c>
      <x:c r="O1244" t="str">
        <x:f>IF(I1244&gt;70,"High",IF(I1244&gt;55,"Moderate","Low"))</x:f>
        <x:v>Low</x:v>
      </x:c>
      <x:c r="P1244" t="str">
        <x:f>IF(I1244&gt;=70,"Yes","No")</x:f>
        <x:v>No</x:v>
      </x:c>
      <x:c r="Q1244" t="str">
        <x:f>TEXT(B1244,"yyyy-mm")</x:f>
        <x:v>2021-12</x:v>
      </x:c>
    </x:row>
    <x:row r="1245">
      <x:c r="A1245" t="str">
        <x:v>HYD08</x:v>
      </x:c>
      <x:c r="B1245" s="22" t="n">
        <x:f>DATE(C1245,D1245,1)</x:f>
        <x:v>44562</x:v>
      </x:c>
      <x:c r="C1245" t="n">
        <x:v>2022</x:v>
      </x:c>
      <x:c r="D1245" t="n">
        <x:v>1</x:v>
      </x:c>
      <x:c r="E1245" t="str">
        <x:f>TEXT(B1245,"mmm")</x:f>
        <x:v>Jan</x:v>
      </x:c>
      <x:c r="F1245" t="str">
        <x:f>"Q"&amp;ROUNDUP(D1245/3,0)</x:f>
        <x:v>Q1</x:v>
      </x:c>
      <x:c r="G1245" s="23" t="n">
        <x:v>52.88</x:v>
      </x:c>
      <x:c r="H1245" s="23" t="n">
        <x:v>47.36</x:v>
      </x:c>
      <x:c r="I1245" s="23" t="n">
        <x:v>50.1</x:v>
      </x:c>
      <x:c r="J1245" s="23" t="n">
        <x:f>G1245-H1245</x:f>
        <x:v>5.520000000000003</x:v>
      </x:c>
      <x:c r="K1245" t="str">
        <x:v>HINDCAST</x:v>
      </x:c>
      <x:c r="L1245" s="24" t="n">
        <x:v>17.4931</x:v>
      </x:c>
      <x:c r="M1245" s="24" t="n">
        <x:v>78.411</x:v>
      </x:c>
      <x:c r="N1245" t="str">
        <x:f>IF(I1245&gt;70,"70+ dB",IF(I1245&gt;55,"56-70 dB","41-55 dB"))</x:f>
        <x:v>41-55 dB</x:v>
      </x:c>
      <x:c r="O1245" t="str">
        <x:f>IF(I1245&gt;70,"High",IF(I1245&gt;55,"Moderate","Low"))</x:f>
        <x:v>Low</x:v>
      </x:c>
      <x:c r="P1245" t="str">
        <x:f>IF(I1245&gt;=70,"Yes","No")</x:f>
        <x:v>No</x:v>
      </x:c>
      <x:c r="Q1245" t="str">
        <x:f>TEXT(B1245,"yyyy-mm")</x:f>
        <x:v>2022-01</x:v>
      </x:c>
    </x:row>
    <x:row r="1246">
      <x:c r="A1246" t="str">
        <x:v>HYD08</x:v>
      </x:c>
      <x:c r="B1246" s="22" t="n">
        <x:f>DATE(C1246,D1246,1)</x:f>
        <x:v>44593</x:v>
      </x:c>
      <x:c r="C1246" t="n">
        <x:v>2022</x:v>
      </x:c>
      <x:c r="D1246" t="n">
        <x:v>2</x:v>
      </x:c>
      <x:c r="E1246" t="str">
        <x:f>TEXT(B1246,"mmm")</x:f>
        <x:v>Feb</x:v>
      </x:c>
      <x:c r="F1246" t="str">
        <x:f>"Q"&amp;ROUNDUP(D1246/3,0)</x:f>
        <x:v>Q1</x:v>
      </x:c>
      <x:c r="G1246" s="23" t="n">
        <x:v>56.46</x:v>
      </x:c>
      <x:c r="H1246" s="23" t="n">
        <x:v>49.97</x:v>
      </x:c>
      <x:c r="I1246" s="23" t="n">
        <x:v>53.2</x:v>
      </x:c>
      <x:c r="J1246" s="23" t="n">
        <x:f>G1246-H1246</x:f>
        <x:v>6.490000000000002</x:v>
      </x:c>
      <x:c r="K1246" t="str">
        <x:v>HINDCAST</x:v>
      </x:c>
      <x:c r="L1246" s="24" t="n">
        <x:v>17.4931</x:v>
      </x:c>
      <x:c r="M1246" s="24" t="n">
        <x:v>78.411</x:v>
      </x:c>
      <x:c r="N1246" t="str">
        <x:f>IF(I1246&gt;70,"70+ dB",IF(I1246&gt;55,"56-70 dB","41-55 dB"))</x:f>
        <x:v>41-55 dB</x:v>
      </x:c>
      <x:c r="O1246" t="str">
        <x:f>IF(I1246&gt;70,"High",IF(I1246&gt;55,"Moderate","Low"))</x:f>
        <x:v>Low</x:v>
      </x:c>
      <x:c r="P1246" t="str">
        <x:f>IF(I1246&gt;=70,"Yes","No")</x:f>
        <x:v>No</x:v>
      </x:c>
      <x:c r="Q1246" t="str">
        <x:f>TEXT(B1246,"yyyy-mm")</x:f>
        <x:v>2022-02</x:v>
      </x:c>
    </x:row>
    <x:row r="1247">
      <x:c r="A1247" t="str">
        <x:v>HYD08</x:v>
      </x:c>
      <x:c r="B1247" s="22" t="n">
        <x:f>DATE(C1247,D1247,1)</x:f>
        <x:v>44621</x:v>
      </x:c>
      <x:c r="C1247" t="n">
        <x:v>2022</x:v>
      </x:c>
      <x:c r="D1247" t="n">
        <x:v>3</x:v>
      </x:c>
      <x:c r="E1247" t="str">
        <x:f>TEXT(B1247,"mmm")</x:f>
        <x:v>Mar</x:v>
      </x:c>
      <x:c r="F1247" t="str">
        <x:f>"Q"&amp;ROUNDUP(D1247/3,0)</x:f>
        <x:v>Q1</x:v>
      </x:c>
      <x:c r="G1247" s="23" t="n">
        <x:v>54.48</x:v>
      </x:c>
      <x:c r="H1247" s="23" t="n">
        <x:v>48.59</x:v>
      </x:c>
      <x:c r="I1247" s="23" t="n">
        <x:v>51.5</x:v>
      </x:c>
      <x:c r="J1247" s="23" t="n">
        <x:f>G1247-H1247</x:f>
        <x:v>5.8899999999999935</x:v>
      </x:c>
      <x:c r="K1247" t="str">
        <x:v>HINDCAST</x:v>
      </x:c>
      <x:c r="L1247" s="24" t="n">
        <x:v>17.4931</x:v>
      </x:c>
      <x:c r="M1247" s="24" t="n">
        <x:v>78.411</x:v>
      </x:c>
      <x:c r="N1247" t="str">
        <x:f>IF(I1247&gt;70,"70+ dB",IF(I1247&gt;55,"56-70 dB","41-55 dB"))</x:f>
        <x:v>41-55 dB</x:v>
      </x:c>
      <x:c r="O1247" t="str">
        <x:f>IF(I1247&gt;70,"High",IF(I1247&gt;55,"Moderate","Low"))</x:f>
        <x:v>Low</x:v>
      </x:c>
      <x:c r="P1247" t="str">
        <x:f>IF(I1247&gt;=70,"Yes","No")</x:f>
        <x:v>No</x:v>
      </x:c>
      <x:c r="Q1247" t="str">
        <x:f>TEXT(B1247,"yyyy-mm")</x:f>
        <x:v>2022-03</x:v>
      </x:c>
    </x:row>
    <x:row r="1248">
      <x:c r="A1248" t="str">
        <x:v>HYD08</x:v>
      </x:c>
      <x:c r="B1248" s="22" t="n">
        <x:f>DATE(C1248,D1248,1)</x:f>
        <x:v>44652</x:v>
      </x:c>
      <x:c r="C1248" t="n">
        <x:v>2022</x:v>
      </x:c>
      <x:c r="D1248" t="n">
        <x:v>4</x:v>
      </x:c>
      <x:c r="E1248" t="str">
        <x:f>TEXT(B1248,"mmm")</x:f>
        <x:v>Apr</x:v>
      </x:c>
      <x:c r="F1248" t="str">
        <x:f>"Q"&amp;ROUNDUP(D1248/3,0)</x:f>
        <x:v>Q2</x:v>
      </x:c>
      <x:c r="G1248" s="23" t="n">
        <x:v>57.15</x:v>
      </x:c>
      <x:c r="H1248" s="23" t="n">
        <x:v>52.09</x:v>
      </x:c>
      <x:c r="I1248" s="23" t="n">
        <x:v>54.6</x:v>
      </x:c>
      <x:c r="J1248" s="23" t="n">
        <x:f>G1248-H1248</x:f>
        <x:v>5.059999999999995</x:v>
      </x:c>
      <x:c r="K1248" t="str">
        <x:v>HINDCAST</x:v>
      </x:c>
      <x:c r="L1248" s="24" t="n">
        <x:v>17.4931</x:v>
      </x:c>
      <x:c r="M1248" s="24" t="n">
        <x:v>78.411</x:v>
      </x:c>
      <x:c r="N1248" t="str">
        <x:f>IF(I1248&gt;70,"70+ dB",IF(I1248&gt;55,"56-70 dB","41-55 dB"))</x:f>
        <x:v>41-55 dB</x:v>
      </x:c>
      <x:c r="O1248" t="str">
        <x:f>IF(I1248&gt;70,"High",IF(I1248&gt;55,"Moderate","Low"))</x:f>
        <x:v>Low</x:v>
      </x:c>
      <x:c r="P1248" t="str">
        <x:f>IF(I1248&gt;=70,"Yes","No")</x:f>
        <x:v>No</x:v>
      </x:c>
      <x:c r="Q1248" t="str">
        <x:f>TEXT(B1248,"yyyy-mm")</x:f>
        <x:v>2022-04</x:v>
      </x:c>
    </x:row>
    <x:row r="1249">
      <x:c r="A1249" t="str">
        <x:v>HYD08</x:v>
      </x:c>
      <x:c r="B1249" s="22" t="n">
        <x:f>DATE(C1249,D1249,1)</x:f>
        <x:v>44682</x:v>
      </x:c>
      <x:c r="C1249" t="n">
        <x:v>2022</x:v>
      </x:c>
      <x:c r="D1249" t="n">
        <x:v>5</x:v>
      </x:c>
      <x:c r="E1249" t="str">
        <x:f>TEXT(B1249,"mmm")</x:f>
        <x:v>May</x:v>
      </x:c>
      <x:c r="F1249" t="str">
        <x:f>"Q"&amp;ROUNDUP(D1249/3,0)</x:f>
        <x:v>Q2</x:v>
      </x:c>
      <x:c r="G1249" s="23" t="n">
        <x:v>60.09</x:v>
      </x:c>
      <x:c r="H1249" s="23" t="n">
        <x:v>59.23</x:v>
      </x:c>
      <x:c r="I1249" s="23" t="n">
        <x:v>59.7</x:v>
      </x:c>
      <x:c r="J1249" s="23" t="n">
        <x:f>G1249-H1249</x:f>
        <x:v>0.8600000000000065</x:v>
      </x:c>
      <x:c r="K1249" t="str">
        <x:v>HINDCAST</x:v>
      </x:c>
      <x:c r="L1249" s="24" t="n">
        <x:v>17.4931</x:v>
      </x:c>
      <x:c r="M1249" s="24" t="n">
        <x:v>78.411</x:v>
      </x:c>
      <x:c r="N1249" t="str">
        <x:f>IF(I1249&gt;70,"70+ dB",IF(I1249&gt;55,"56-70 dB","41-55 dB"))</x:f>
        <x:v>56-70 dB</x:v>
      </x:c>
      <x:c r="O1249" t="str">
        <x:f>IF(I1249&gt;70,"High",IF(I1249&gt;55,"Moderate","Low"))</x:f>
        <x:v>Moderate</x:v>
      </x:c>
      <x:c r="P1249" t="str">
        <x:f>IF(I1249&gt;=70,"Yes","No")</x:f>
        <x:v>No</x:v>
      </x:c>
      <x:c r="Q1249" t="str">
        <x:f>TEXT(B1249,"yyyy-mm")</x:f>
        <x:v>2022-05</x:v>
      </x:c>
    </x:row>
    <x:row r="1250">
      <x:c r="A1250" t="str">
        <x:v>HYD08</x:v>
      </x:c>
      <x:c r="B1250" s="22" t="n">
        <x:f>DATE(C1250,D1250,1)</x:f>
        <x:v>44713</x:v>
      </x:c>
      <x:c r="C1250" t="n">
        <x:v>2022</x:v>
      </x:c>
      <x:c r="D1250" t="n">
        <x:v>6</x:v>
      </x:c>
      <x:c r="E1250" t="str">
        <x:f>TEXT(B1250,"mmm")</x:f>
        <x:v>Jun</x:v>
      </x:c>
      <x:c r="F1250" t="str">
        <x:f>"Q"&amp;ROUNDUP(D1250/3,0)</x:f>
        <x:v>Q2</x:v>
      </x:c>
      <x:c r="G1250" s="23" t="n">
        <x:v>57.37</x:v>
      </x:c>
      <x:c r="H1250" s="23" t="n">
        <x:v>54.77</x:v>
      </x:c>
      <x:c r="I1250" s="23" t="n">
        <x:v>56.1</x:v>
      </x:c>
      <x:c r="J1250" s="23" t="n">
        <x:f>G1250-H1250</x:f>
        <x:v>2.5999999999999943</x:v>
      </x:c>
      <x:c r="K1250" t="str">
        <x:v>HINDCAST</x:v>
      </x:c>
      <x:c r="L1250" s="24" t="n">
        <x:v>17.4931</x:v>
      </x:c>
      <x:c r="M1250" s="24" t="n">
        <x:v>78.411</x:v>
      </x:c>
      <x:c r="N1250" t="str">
        <x:f>IF(I1250&gt;70,"70+ dB",IF(I1250&gt;55,"56-70 dB","41-55 dB"))</x:f>
        <x:v>56-70 dB</x:v>
      </x:c>
      <x:c r="O1250" t="str">
        <x:f>IF(I1250&gt;70,"High",IF(I1250&gt;55,"Moderate","Low"))</x:f>
        <x:v>Moderate</x:v>
      </x:c>
      <x:c r="P1250" t="str">
        <x:f>IF(I1250&gt;=70,"Yes","No")</x:f>
        <x:v>No</x:v>
      </x:c>
      <x:c r="Q1250" t="str">
        <x:f>TEXT(B1250,"yyyy-mm")</x:f>
        <x:v>2022-06</x:v>
      </x:c>
    </x:row>
    <x:row r="1251">
      <x:c r="A1251" t="str">
        <x:v>HYD08</x:v>
      </x:c>
      <x:c r="B1251" s="22" t="n">
        <x:f>DATE(C1251,D1251,1)</x:f>
        <x:v>44743</x:v>
      </x:c>
      <x:c r="C1251" t="n">
        <x:v>2022</x:v>
      </x:c>
      <x:c r="D1251" t="n">
        <x:v>7</x:v>
      </x:c>
      <x:c r="E1251" t="str">
        <x:f>TEXT(B1251,"mmm")</x:f>
        <x:v>Jul</x:v>
      </x:c>
      <x:c r="F1251" t="str">
        <x:f>"Q"&amp;ROUNDUP(D1251/3,0)</x:f>
        <x:v>Q3</x:v>
      </x:c>
      <x:c r="G1251" s="23" t="n">
        <x:v>58.83</x:v>
      </x:c>
      <x:c r="H1251" s="23" t="n">
        <x:v>54.91</x:v>
      </x:c>
      <x:c r="I1251" s="23" t="n">
        <x:v>56.9</x:v>
      </x:c>
      <x:c r="J1251" s="23" t="n">
        <x:f>G1251-H1251</x:f>
        <x:v>3.9200000000000017</x:v>
      </x:c>
      <x:c r="K1251" t="str">
        <x:v>HINDCAST</x:v>
      </x:c>
      <x:c r="L1251" s="24" t="n">
        <x:v>17.4931</x:v>
      </x:c>
      <x:c r="M1251" s="24" t="n">
        <x:v>78.411</x:v>
      </x:c>
      <x:c r="N1251" t="str">
        <x:f>IF(I1251&gt;70,"70+ dB",IF(I1251&gt;55,"56-70 dB","41-55 dB"))</x:f>
        <x:v>56-70 dB</x:v>
      </x:c>
      <x:c r="O1251" t="str">
        <x:f>IF(I1251&gt;70,"High",IF(I1251&gt;55,"Moderate","Low"))</x:f>
        <x:v>Moderate</x:v>
      </x:c>
      <x:c r="P1251" t="str">
        <x:f>IF(I1251&gt;=70,"Yes","No")</x:f>
        <x:v>No</x:v>
      </x:c>
      <x:c r="Q1251" t="str">
        <x:f>TEXT(B1251,"yyyy-mm")</x:f>
        <x:v>2022-07</x:v>
      </x:c>
    </x:row>
    <x:row r="1252">
      <x:c r="A1252" t="str">
        <x:v>HYD08</x:v>
      </x:c>
      <x:c r="B1252" s="22" t="n">
        <x:f>DATE(C1252,D1252,1)</x:f>
        <x:v>44774</x:v>
      </x:c>
      <x:c r="C1252" t="n">
        <x:v>2022</x:v>
      </x:c>
      <x:c r="D1252" t="n">
        <x:v>8</x:v>
      </x:c>
      <x:c r="E1252" t="str">
        <x:f>TEXT(B1252,"mmm")</x:f>
        <x:v>Aug</x:v>
      </x:c>
      <x:c r="F1252" t="str">
        <x:f>"Q"&amp;ROUNDUP(D1252/3,0)</x:f>
        <x:v>Q3</x:v>
      </x:c>
      <x:c r="G1252" s="23" t="n">
        <x:v>56.96</x:v>
      </x:c>
      <x:c r="H1252" s="23" t="n">
        <x:v>51.72</x:v>
      </x:c>
      <x:c r="I1252" s="23" t="n">
        <x:v>54.3</x:v>
      </x:c>
      <x:c r="J1252" s="23" t="n">
        <x:f>G1252-H1252</x:f>
        <x:v>5.240000000000002</x:v>
      </x:c>
      <x:c r="K1252" t="str">
        <x:v>HINDCAST</x:v>
      </x:c>
      <x:c r="L1252" s="24" t="n">
        <x:v>17.4931</x:v>
      </x:c>
      <x:c r="M1252" s="24" t="n">
        <x:v>78.411</x:v>
      </x:c>
      <x:c r="N1252" t="str">
        <x:f>IF(I1252&gt;70,"70+ dB",IF(I1252&gt;55,"56-70 dB","41-55 dB"))</x:f>
        <x:v>41-55 dB</x:v>
      </x:c>
      <x:c r="O1252" t="str">
        <x:f>IF(I1252&gt;70,"High",IF(I1252&gt;55,"Moderate","Low"))</x:f>
        <x:v>Low</x:v>
      </x:c>
      <x:c r="P1252" t="str">
        <x:f>IF(I1252&gt;=70,"Yes","No")</x:f>
        <x:v>No</x:v>
      </x:c>
      <x:c r="Q1252" t="str">
        <x:f>TEXT(B1252,"yyyy-mm")</x:f>
        <x:v>2022-08</x:v>
      </x:c>
    </x:row>
    <x:row r="1253">
      <x:c r="A1253" t="str">
        <x:v>HYD08</x:v>
      </x:c>
      <x:c r="B1253" s="22" t="n">
        <x:f>DATE(C1253,D1253,1)</x:f>
        <x:v>44805</x:v>
      </x:c>
      <x:c r="C1253" t="n">
        <x:v>2022</x:v>
      </x:c>
      <x:c r="D1253" t="n">
        <x:v>9</x:v>
      </x:c>
      <x:c r="E1253" t="str">
        <x:f>TEXT(B1253,"mmm")</x:f>
        <x:v>Sep</x:v>
      </x:c>
      <x:c r="F1253" t="str">
        <x:f>"Q"&amp;ROUNDUP(D1253/3,0)</x:f>
        <x:v>Q3</x:v>
      </x:c>
      <x:c r="G1253" s="23" t="n">
        <x:v>55.86</x:v>
      </x:c>
      <x:c r="H1253" s="23" t="n">
        <x:v>50.23</x:v>
      </x:c>
      <x:c r="I1253" s="23" t="n">
        <x:v>53</x:v>
      </x:c>
      <x:c r="J1253" s="23" t="n">
        <x:f>G1253-H1253</x:f>
        <x:v>5.630000000000003</x:v>
      </x:c>
      <x:c r="K1253" t="str">
        <x:v>HINDCAST</x:v>
      </x:c>
      <x:c r="L1253" s="24" t="n">
        <x:v>17.4931</x:v>
      </x:c>
      <x:c r="M1253" s="24" t="n">
        <x:v>78.411</x:v>
      </x:c>
      <x:c r="N1253" t="str">
        <x:f>IF(I1253&gt;70,"70+ dB",IF(I1253&gt;55,"56-70 dB","41-55 dB"))</x:f>
        <x:v>41-55 dB</x:v>
      </x:c>
      <x:c r="O1253" t="str">
        <x:f>IF(I1253&gt;70,"High",IF(I1253&gt;55,"Moderate","Low"))</x:f>
        <x:v>Low</x:v>
      </x:c>
      <x:c r="P1253" t="str">
        <x:f>IF(I1253&gt;=70,"Yes","No")</x:f>
        <x:v>No</x:v>
      </x:c>
      <x:c r="Q1253" t="str">
        <x:f>TEXT(B1253,"yyyy-mm")</x:f>
        <x:v>2022-09</x:v>
      </x:c>
    </x:row>
    <x:row r="1254">
      <x:c r="A1254" t="str">
        <x:v>HYD08</x:v>
      </x:c>
      <x:c r="B1254" s="22" t="n">
        <x:f>DATE(C1254,D1254,1)</x:f>
        <x:v>44835</x:v>
      </x:c>
      <x:c r="C1254" t="n">
        <x:v>2022</x:v>
      </x:c>
      <x:c r="D1254" t="n">
        <x:v>10</x:v>
      </x:c>
      <x:c r="E1254" t="str">
        <x:f>TEXT(B1254,"mmm")</x:f>
        <x:v>Oct</x:v>
      </x:c>
      <x:c r="F1254" t="str">
        <x:f>"Q"&amp;ROUNDUP(D1254/3,0)</x:f>
        <x:v>Q4</x:v>
      </x:c>
      <x:c r="G1254" s="23" t="n">
        <x:v>53.52</x:v>
      </x:c>
      <x:c r="H1254" s="23" t="n">
        <x:v>45.21</x:v>
      </x:c>
      <x:c r="I1254" s="23" t="n">
        <x:v>49.4</x:v>
      </x:c>
      <x:c r="J1254" s="23" t="n">
        <x:f>G1254-H1254</x:f>
        <x:v>8.310000000000002</x:v>
      </x:c>
      <x:c r="K1254" t="str">
        <x:v>HINDCAST</x:v>
      </x:c>
      <x:c r="L1254" s="24" t="n">
        <x:v>17.4931</x:v>
      </x:c>
      <x:c r="M1254" s="24" t="n">
        <x:v>78.411</x:v>
      </x:c>
      <x:c r="N1254" t="str">
        <x:f>IF(I1254&gt;70,"70+ dB",IF(I1254&gt;55,"56-70 dB","41-55 dB"))</x:f>
        <x:v>41-55 dB</x:v>
      </x:c>
      <x:c r="O1254" t="str">
        <x:f>IF(I1254&gt;70,"High",IF(I1254&gt;55,"Moderate","Low"))</x:f>
        <x:v>Low</x:v>
      </x:c>
      <x:c r="P1254" t="str">
        <x:f>IF(I1254&gt;=70,"Yes","No")</x:f>
        <x:v>No</x:v>
      </x:c>
      <x:c r="Q1254" t="str">
        <x:f>TEXT(B1254,"yyyy-mm")</x:f>
        <x:v>2022-10</x:v>
      </x:c>
    </x:row>
    <x:row r="1255">
      <x:c r="A1255" t="str">
        <x:v>HYD08</x:v>
      </x:c>
      <x:c r="B1255" s="22" t="n">
        <x:f>DATE(C1255,D1255,1)</x:f>
        <x:v>44866</x:v>
      </x:c>
      <x:c r="C1255" t="n">
        <x:v>2022</x:v>
      </x:c>
      <x:c r="D1255" t="n">
        <x:v>11</x:v>
      </x:c>
      <x:c r="E1255" t="str">
        <x:f>TEXT(B1255,"mmm")</x:f>
        <x:v>Nov</x:v>
      </x:c>
      <x:c r="F1255" t="str">
        <x:f>"Q"&amp;ROUNDUP(D1255/3,0)</x:f>
        <x:v>Q4</x:v>
      </x:c>
      <x:c r="G1255" s="23" t="n">
        <x:v>53.46</x:v>
      </x:c>
      <x:c r="H1255" s="23" t="n">
        <x:v>45.9</x:v>
      </x:c>
      <x:c r="I1255" s="23" t="n">
        <x:v>49.7</x:v>
      </x:c>
      <x:c r="J1255" s="23" t="n">
        <x:f>G1255-H1255</x:f>
        <x:v>7.560000000000002</x:v>
      </x:c>
      <x:c r="K1255" t="str">
        <x:v>HINDCAST</x:v>
      </x:c>
      <x:c r="L1255" s="24" t="n">
        <x:v>17.4931</x:v>
      </x:c>
      <x:c r="M1255" s="24" t="n">
        <x:v>78.411</x:v>
      </x:c>
      <x:c r="N1255" t="str">
        <x:f>IF(I1255&gt;70,"70+ dB",IF(I1255&gt;55,"56-70 dB","41-55 dB"))</x:f>
        <x:v>41-55 dB</x:v>
      </x:c>
      <x:c r="O1255" t="str">
        <x:f>IF(I1255&gt;70,"High",IF(I1255&gt;55,"Moderate","Low"))</x:f>
        <x:v>Low</x:v>
      </x:c>
      <x:c r="P1255" t="str">
        <x:f>IF(I1255&gt;=70,"Yes","No")</x:f>
        <x:v>No</x:v>
      </x:c>
      <x:c r="Q1255" t="str">
        <x:f>TEXT(B1255,"yyyy-mm")</x:f>
        <x:v>2022-11</x:v>
      </x:c>
    </x:row>
    <x:row r="1256">
      <x:c r="A1256" t="str">
        <x:v>HYD08</x:v>
      </x:c>
      <x:c r="B1256" s="22" t="n">
        <x:f>DATE(C1256,D1256,1)</x:f>
        <x:v>44896</x:v>
      </x:c>
      <x:c r="C1256" t="n">
        <x:v>2022</x:v>
      </x:c>
      <x:c r="D1256" t="n">
        <x:v>12</x:v>
      </x:c>
      <x:c r="E1256" t="str">
        <x:f>TEXT(B1256,"mmm")</x:f>
        <x:v>Dec</x:v>
      </x:c>
      <x:c r="F1256" t="str">
        <x:f>"Q"&amp;ROUNDUP(D1256/3,0)</x:f>
        <x:v>Q4</x:v>
      </x:c>
      <x:c r="G1256" s="23" t="n">
        <x:v>52.57</x:v>
      </x:c>
      <x:c r="H1256" s="23" t="n">
        <x:v>48.88</x:v>
      </x:c>
      <x:c r="I1256" s="23" t="n">
        <x:v>50.7</x:v>
      </x:c>
      <x:c r="J1256" s="23" t="n">
        <x:f>G1256-H1256</x:f>
        <x:v>3.6899999999999977</x:v>
      </x:c>
      <x:c r="K1256" t="str">
        <x:v>HINDCAST</x:v>
      </x:c>
      <x:c r="L1256" s="24" t="n">
        <x:v>17.4931</x:v>
      </x:c>
      <x:c r="M1256" s="24" t="n">
        <x:v>78.411</x:v>
      </x:c>
      <x:c r="N1256" t="str">
        <x:f>IF(I1256&gt;70,"70+ dB",IF(I1256&gt;55,"56-70 dB","41-55 dB"))</x:f>
        <x:v>41-55 dB</x:v>
      </x:c>
      <x:c r="O1256" t="str">
        <x:f>IF(I1256&gt;70,"High",IF(I1256&gt;55,"Moderate","Low"))</x:f>
        <x:v>Low</x:v>
      </x:c>
      <x:c r="P1256" t="str">
        <x:f>IF(I1256&gt;=70,"Yes","No")</x:f>
        <x:v>No</x:v>
      </x:c>
      <x:c r="Q1256" t="str">
        <x:f>TEXT(B1256,"yyyy-mm")</x:f>
        <x:v>2022-12</x:v>
      </x:c>
    </x:row>
    <x:row r="1257">
      <x:c r="A1257" t="str">
        <x:v>HYD08</x:v>
      </x:c>
      <x:c r="B1257" s="22" t="n">
        <x:f>DATE(C1257,D1257,1)</x:f>
        <x:v>44927</x:v>
      </x:c>
      <x:c r="C1257" t="n">
        <x:v>2023</x:v>
      </x:c>
      <x:c r="D1257" t="n">
        <x:v>1</x:v>
      </x:c>
      <x:c r="E1257" t="str">
        <x:f>TEXT(B1257,"mmm")</x:f>
        <x:v>Jan</x:v>
      </x:c>
      <x:c r="F1257" t="str">
        <x:f>"Q"&amp;ROUNDUP(D1257/3,0)</x:f>
        <x:v>Q1</x:v>
      </x:c>
      <x:c r="G1257" s="23" t="n">
        <x:v>51.86</x:v>
      </x:c>
      <x:c r="H1257" s="23" t="n">
        <x:v>46.33</x:v>
      </x:c>
      <x:c r="I1257" s="23" t="n">
        <x:v>49.1</x:v>
      </x:c>
      <x:c r="J1257" s="23" t="n">
        <x:f>G1257-H1257</x:f>
        <x:v>5.530000000000001</x:v>
      </x:c>
      <x:c r="K1257" t="str">
        <x:v>HINDCAST</x:v>
      </x:c>
      <x:c r="L1257" s="24" t="n">
        <x:v>17.4931</x:v>
      </x:c>
      <x:c r="M1257" s="24" t="n">
        <x:v>78.411</x:v>
      </x:c>
      <x:c r="N1257" t="str">
        <x:f>IF(I1257&gt;70,"70+ dB",IF(I1257&gt;55,"56-70 dB","41-55 dB"))</x:f>
        <x:v>41-55 dB</x:v>
      </x:c>
      <x:c r="O1257" t="str">
        <x:f>IF(I1257&gt;70,"High",IF(I1257&gt;55,"Moderate","Low"))</x:f>
        <x:v>Low</x:v>
      </x:c>
      <x:c r="P1257" t="str">
        <x:f>IF(I1257&gt;=70,"Yes","No")</x:f>
        <x:v>No</x:v>
      </x:c>
      <x:c r="Q1257" t="str">
        <x:f>TEXT(B1257,"yyyy-mm")</x:f>
        <x:v>2023-01</x:v>
      </x:c>
    </x:row>
    <x:row r="1258">
      <x:c r="A1258" t="str">
        <x:v>HYD08</x:v>
      </x:c>
      <x:c r="B1258" s="22" t="n">
        <x:f>DATE(C1258,D1258,1)</x:f>
        <x:v>44958</x:v>
      </x:c>
      <x:c r="C1258" t="n">
        <x:v>2023</x:v>
      </x:c>
      <x:c r="D1258" t="n">
        <x:v>2</x:v>
      </x:c>
      <x:c r="E1258" t="str">
        <x:f>TEXT(B1258,"mmm")</x:f>
        <x:v>Feb</x:v>
      </x:c>
      <x:c r="F1258" t="str">
        <x:f>"Q"&amp;ROUNDUP(D1258/3,0)</x:f>
        <x:v>Q1</x:v>
      </x:c>
      <x:c r="G1258" s="23" t="n">
        <x:v>55.52</x:v>
      </x:c>
      <x:c r="H1258" s="23" t="n">
        <x:v>49.04</x:v>
      </x:c>
      <x:c r="I1258" s="23" t="n">
        <x:v>52.3</x:v>
      </x:c>
      <x:c r="J1258" s="23" t="n">
        <x:f>G1258-H1258</x:f>
        <x:v>6.480000000000004</x:v>
      </x:c>
      <x:c r="K1258" t="str">
        <x:v>HINDCAST</x:v>
      </x:c>
      <x:c r="L1258" s="24" t="n">
        <x:v>17.4931</x:v>
      </x:c>
      <x:c r="M1258" s="24" t="n">
        <x:v>78.411</x:v>
      </x:c>
      <x:c r="N1258" t="str">
        <x:f>IF(I1258&gt;70,"70+ dB",IF(I1258&gt;55,"56-70 dB","41-55 dB"))</x:f>
        <x:v>41-55 dB</x:v>
      </x:c>
      <x:c r="O1258" t="str">
        <x:f>IF(I1258&gt;70,"High",IF(I1258&gt;55,"Moderate","Low"))</x:f>
        <x:v>Low</x:v>
      </x:c>
      <x:c r="P1258" t="str">
        <x:f>IF(I1258&gt;=70,"Yes","No")</x:f>
        <x:v>No</x:v>
      </x:c>
      <x:c r="Q1258" t="str">
        <x:f>TEXT(B1258,"yyyy-mm")</x:f>
        <x:v>2023-02</x:v>
      </x:c>
    </x:row>
    <x:row r="1259">
      <x:c r="A1259" t="str">
        <x:v>HYD08</x:v>
      </x:c>
      <x:c r="B1259" s="22" t="n">
        <x:f>DATE(C1259,D1259,1)</x:f>
        <x:v>44986</x:v>
      </x:c>
      <x:c r="C1259" t="n">
        <x:v>2023</x:v>
      </x:c>
      <x:c r="D1259" t="n">
        <x:v>3</x:v>
      </x:c>
      <x:c r="E1259" t="str">
        <x:f>TEXT(B1259,"mmm")</x:f>
        <x:v>Mar</x:v>
      </x:c>
      <x:c r="F1259" t="str">
        <x:f>"Q"&amp;ROUNDUP(D1259/3,0)</x:f>
        <x:v>Q1</x:v>
      </x:c>
      <x:c r="G1259" s="23" t="n">
        <x:v>53.42</x:v>
      </x:c>
      <x:c r="H1259" s="23" t="n">
        <x:v>47.58</x:v>
      </x:c>
      <x:c r="I1259" s="23" t="n">
        <x:v>50.5</x:v>
      </x:c>
      <x:c r="J1259" s="23" t="n">
        <x:f>G1259-H1259</x:f>
        <x:v>5.840000000000003</x:v>
      </x:c>
      <x:c r="K1259" t="str">
        <x:v>HINDCAST</x:v>
      </x:c>
      <x:c r="L1259" s="24" t="n">
        <x:v>17.4931</x:v>
      </x:c>
      <x:c r="M1259" s="24" t="n">
        <x:v>78.411</x:v>
      </x:c>
      <x:c r="N1259" t="str">
        <x:f>IF(I1259&gt;70,"70+ dB",IF(I1259&gt;55,"56-70 dB","41-55 dB"))</x:f>
        <x:v>41-55 dB</x:v>
      </x:c>
      <x:c r="O1259" t="str">
        <x:f>IF(I1259&gt;70,"High",IF(I1259&gt;55,"Moderate","Low"))</x:f>
        <x:v>Low</x:v>
      </x:c>
      <x:c r="P1259" t="str">
        <x:f>IF(I1259&gt;=70,"Yes","No")</x:f>
        <x:v>No</x:v>
      </x:c>
      <x:c r="Q1259" t="str">
        <x:f>TEXT(B1259,"yyyy-mm")</x:f>
        <x:v>2023-03</x:v>
      </x:c>
    </x:row>
    <x:row r="1260">
      <x:c r="A1260" t="str">
        <x:v>HYD08</x:v>
      </x:c>
      <x:c r="B1260" s="22" t="n">
        <x:f>DATE(C1260,D1260,1)</x:f>
        <x:v>45017</x:v>
      </x:c>
      <x:c r="C1260" t="n">
        <x:v>2023</x:v>
      </x:c>
      <x:c r="D1260" t="n">
        <x:v>4</x:v>
      </x:c>
      <x:c r="E1260" t="str">
        <x:f>TEXT(B1260,"mmm")</x:f>
        <x:v>Apr</x:v>
      </x:c>
      <x:c r="F1260" t="str">
        <x:f>"Q"&amp;ROUNDUP(D1260/3,0)</x:f>
        <x:v>Q2</x:v>
      </x:c>
      <x:c r="G1260" s="23" t="n">
        <x:v>56.44</x:v>
      </x:c>
      <x:c r="H1260" s="23" t="n">
        <x:v>51.17</x:v>
      </x:c>
      <x:c r="I1260" s="23" t="n">
        <x:v>53.8</x:v>
      </x:c>
      <x:c r="J1260" s="23" t="n">
        <x:f>G1260-H1260</x:f>
        <x:v>5.269999999999996</x:v>
      </x:c>
      <x:c r="K1260" t="str">
        <x:v>HINDCAST</x:v>
      </x:c>
      <x:c r="L1260" s="24" t="n">
        <x:v>17.4931</x:v>
      </x:c>
      <x:c r="M1260" s="24" t="n">
        <x:v>78.411</x:v>
      </x:c>
      <x:c r="N1260" t="str">
        <x:f>IF(I1260&gt;70,"70+ dB",IF(I1260&gt;55,"56-70 dB","41-55 dB"))</x:f>
        <x:v>41-55 dB</x:v>
      </x:c>
      <x:c r="O1260" t="str">
        <x:f>IF(I1260&gt;70,"High",IF(I1260&gt;55,"Moderate","Low"))</x:f>
        <x:v>Low</x:v>
      </x:c>
      <x:c r="P1260" t="str">
        <x:f>IF(I1260&gt;=70,"Yes","No")</x:f>
        <x:v>No</x:v>
      </x:c>
      <x:c r="Q1260" t="str">
        <x:f>TEXT(B1260,"yyyy-mm")</x:f>
        <x:v>2023-04</x:v>
      </x:c>
    </x:row>
    <x:row r="1261">
      <x:c r="A1261" t="str">
        <x:v>HYD08</x:v>
      </x:c>
      <x:c r="B1261" s="22" t="n">
        <x:f>DATE(C1261,D1261,1)</x:f>
        <x:v>45047</x:v>
      </x:c>
      <x:c r="C1261" t="n">
        <x:v>2023</x:v>
      </x:c>
      <x:c r="D1261" t="n">
        <x:v>5</x:v>
      </x:c>
      <x:c r="E1261" t="str">
        <x:f>TEXT(B1261,"mmm")</x:f>
        <x:v>May</x:v>
      </x:c>
      <x:c r="F1261" t="str">
        <x:f>"Q"&amp;ROUNDUP(D1261/3,0)</x:f>
        <x:v>Q2</x:v>
      </x:c>
      <x:c r="G1261" s="23" t="n">
        <x:v>59.77</x:v>
      </x:c>
      <x:c r="H1261" s="23" t="n">
        <x:v>58.74</x:v>
      </x:c>
      <x:c r="I1261" s="23" t="n">
        <x:v>59.3</x:v>
      </x:c>
      <x:c r="J1261" s="23" t="n">
        <x:f>G1261-H1261</x:f>
        <x:v>1.0300000000000011</x:v>
      </x:c>
      <x:c r="K1261" t="str">
        <x:v>HINDCAST</x:v>
      </x:c>
      <x:c r="L1261" s="24" t="n">
        <x:v>17.4931</x:v>
      </x:c>
      <x:c r="M1261" s="24" t="n">
        <x:v>78.411</x:v>
      </x:c>
      <x:c r="N1261" t="str">
        <x:f>IF(I1261&gt;70,"70+ dB",IF(I1261&gt;55,"56-70 dB","41-55 dB"))</x:f>
        <x:v>56-70 dB</x:v>
      </x:c>
      <x:c r="O1261" t="str">
        <x:f>IF(I1261&gt;70,"High",IF(I1261&gt;55,"Moderate","Low"))</x:f>
        <x:v>Moderate</x:v>
      </x:c>
      <x:c r="P1261" t="str">
        <x:f>IF(I1261&gt;=70,"Yes","No")</x:f>
        <x:v>No</x:v>
      </x:c>
      <x:c r="Q1261" t="str">
        <x:f>TEXT(B1261,"yyyy-mm")</x:f>
        <x:v>2023-05</x:v>
      </x:c>
    </x:row>
    <x:row r="1262">
      <x:c r="A1262" t="str">
        <x:v>HYD08</x:v>
      </x:c>
      <x:c r="B1262" s="22" t="n">
        <x:f>DATE(C1262,D1262,1)</x:f>
        <x:v>45078</x:v>
      </x:c>
      <x:c r="C1262" t="n">
        <x:v>2023</x:v>
      </x:c>
      <x:c r="D1262" t="n">
        <x:v>6</x:v>
      </x:c>
      <x:c r="E1262" t="str">
        <x:f>TEXT(B1262,"mmm")</x:f>
        <x:v>Jun</x:v>
      </x:c>
      <x:c r="F1262" t="str">
        <x:f>"Q"&amp;ROUNDUP(D1262/3,0)</x:f>
        <x:v>Q2</x:v>
      </x:c>
      <x:c r="G1262" s="23" t="n">
        <x:v>56.43</x:v>
      </x:c>
      <x:c r="H1262" s="23" t="n">
        <x:v>53.94</x:v>
      </x:c>
      <x:c r="I1262" s="23" t="n">
        <x:v>55.2</x:v>
      </x:c>
      <x:c r="J1262" s="23" t="n">
        <x:f>G1262-H1262</x:f>
        <x:v>2.490000000000002</x:v>
      </x:c>
      <x:c r="K1262" t="str">
        <x:v>HINDCAST</x:v>
      </x:c>
      <x:c r="L1262" s="24" t="n">
        <x:v>17.4931</x:v>
      </x:c>
      <x:c r="M1262" s="24" t="n">
        <x:v>78.411</x:v>
      </x:c>
      <x:c r="N1262" t="str">
        <x:f>IF(I1262&gt;70,"70+ dB",IF(I1262&gt;55,"56-70 dB","41-55 dB"))</x:f>
        <x:v>56-70 dB</x:v>
      </x:c>
      <x:c r="O1262" t="str">
        <x:f>IF(I1262&gt;70,"High",IF(I1262&gt;55,"Moderate","Low"))</x:f>
        <x:v>Moderate</x:v>
      </x:c>
      <x:c r="P1262" t="str">
        <x:f>IF(I1262&gt;=70,"Yes","No")</x:f>
        <x:v>No</x:v>
      </x:c>
      <x:c r="Q1262" t="str">
        <x:f>TEXT(B1262,"yyyy-mm")</x:f>
        <x:v>2023-06</x:v>
      </x:c>
    </x:row>
    <x:row r="1263">
      <x:c r="A1263" t="str">
        <x:v>HYD08</x:v>
      </x:c>
      <x:c r="B1263" s="22" t="n">
        <x:f>DATE(C1263,D1263,1)</x:f>
        <x:v>45108</x:v>
      </x:c>
      <x:c r="C1263" t="n">
        <x:v>2023</x:v>
      </x:c>
      <x:c r="D1263" t="n">
        <x:v>7</x:v>
      </x:c>
      <x:c r="E1263" t="str">
        <x:f>TEXT(B1263,"mmm")</x:f>
        <x:v>Jul</x:v>
      </x:c>
      <x:c r="F1263" t="str">
        <x:f>"Q"&amp;ROUNDUP(D1263/3,0)</x:f>
        <x:v>Q3</x:v>
      </x:c>
      <x:c r="G1263" s="23" t="n">
        <x:v>57.69</x:v>
      </x:c>
      <x:c r="H1263" s="23" t="n">
        <x:v>53.92</x:v>
      </x:c>
      <x:c r="I1263" s="23" t="n">
        <x:v>55.8</x:v>
      </x:c>
      <x:c r="J1263" s="23" t="n">
        <x:f>G1263-H1263</x:f>
        <x:v>3.769999999999996</x:v>
      </x:c>
      <x:c r="K1263" t="str">
        <x:v>HINDCAST</x:v>
      </x:c>
      <x:c r="L1263" s="24" t="n">
        <x:v>17.4931</x:v>
      </x:c>
      <x:c r="M1263" s="24" t="n">
        <x:v>78.411</x:v>
      </x:c>
      <x:c r="N1263" t="str">
        <x:f>IF(I1263&gt;70,"70+ dB",IF(I1263&gt;55,"56-70 dB","41-55 dB"))</x:f>
        <x:v>56-70 dB</x:v>
      </x:c>
      <x:c r="O1263" t="str">
        <x:f>IF(I1263&gt;70,"High",IF(I1263&gt;55,"Moderate","Low"))</x:f>
        <x:v>Moderate</x:v>
      </x:c>
      <x:c r="P1263" t="str">
        <x:f>IF(I1263&gt;=70,"Yes","No")</x:f>
        <x:v>No</x:v>
      </x:c>
      <x:c r="Q1263" t="str">
        <x:f>TEXT(B1263,"yyyy-mm")</x:f>
        <x:v>2023-07</x:v>
      </x:c>
    </x:row>
    <x:row r="1264">
      <x:c r="A1264" t="str">
        <x:v>HYD08</x:v>
      </x:c>
      <x:c r="B1264" s="22" t="n">
        <x:f>DATE(C1264,D1264,1)</x:f>
        <x:v>45139</x:v>
      </x:c>
      <x:c r="C1264" t="n">
        <x:v>2023</x:v>
      </x:c>
      <x:c r="D1264" t="n">
        <x:v>8</x:v>
      </x:c>
      <x:c r="E1264" t="str">
        <x:f>TEXT(B1264,"mmm")</x:f>
        <x:v>Aug</x:v>
      </x:c>
      <x:c r="F1264" t="str">
        <x:f>"Q"&amp;ROUNDUP(D1264/3,0)</x:f>
        <x:v>Q3</x:v>
      </x:c>
      <x:c r="G1264" s="23" t="n">
        <x:v>55.71</x:v>
      </x:c>
      <x:c r="H1264" s="23" t="n">
        <x:v>50.6</x:v>
      </x:c>
      <x:c r="I1264" s="23" t="n">
        <x:v>53.2</x:v>
      </x:c>
      <x:c r="J1264" s="23" t="n">
        <x:f>G1264-H1264</x:f>
        <x:v>5.109999999999999</x:v>
      </x:c>
      <x:c r="K1264" t="str">
        <x:v>HINDCAST</x:v>
      </x:c>
      <x:c r="L1264" s="24" t="n">
        <x:v>17.4931</x:v>
      </x:c>
      <x:c r="M1264" s="24" t="n">
        <x:v>78.411</x:v>
      </x:c>
      <x:c r="N1264" t="str">
        <x:f>IF(I1264&gt;70,"70+ dB",IF(I1264&gt;55,"56-70 dB","41-55 dB"))</x:f>
        <x:v>41-55 dB</x:v>
      </x:c>
      <x:c r="O1264" t="str">
        <x:f>IF(I1264&gt;70,"High",IF(I1264&gt;55,"Moderate","Low"))</x:f>
        <x:v>Low</x:v>
      </x:c>
      <x:c r="P1264" t="str">
        <x:f>IF(I1264&gt;=70,"Yes","No")</x:f>
        <x:v>No</x:v>
      </x:c>
      <x:c r="Q1264" t="str">
        <x:f>TEXT(B1264,"yyyy-mm")</x:f>
        <x:v>2023-08</x:v>
      </x:c>
    </x:row>
    <x:row r="1265">
      <x:c r="A1265" t="str">
        <x:v>HYD08</x:v>
      </x:c>
      <x:c r="B1265" s="22" t="n">
        <x:f>DATE(C1265,D1265,1)</x:f>
        <x:v>45170</x:v>
      </x:c>
      <x:c r="C1265" t="n">
        <x:v>2023</x:v>
      </x:c>
      <x:c r="D1265" t="n">
        <x:v>9</x:v>
      </x:c>
      <x:c r="E1265" t="str">
        <x:f>TEXT(B1265,"mmm")</x:f>
        <x:v>Sep</x:v>
      </x:c>
      <x:c r="F1265" t="str">
        <x:f>"Q"&amp;ROUNDUP(D1265/3,0)</x:f>
        <x:v>Q3</x:v>
      </x:c>
      <x:c r="G1265" s="23" t="n">
        <x:v>55.11</x:v>
      </x:c>
      <x:c r="H1265" s="23" t="n">
        <x:v>49.44</x:v>
      </x:c>
      <x:c r="I1265" s="23" t="n">
        <x:v>52.3</x:v>
      </x:c>
      <x:c r="J1265" s="23" t="n">
        <x:f>G1265-H1265</x:f>
        <x:v>5.670000000000002</x:v>
      </x:c>
      <x:c r="K1265" t="str">
        <x:v>HINDCAST</x:v>
      </x:c>
      <x:c r="L1265" s="24" t="n">
        <x:v>17.4931</x:v>
      </x:c>
      <x:c r="M1265" s="24" t="n">
        <x:v>78.411</x:v>
      </x:c>
      <x:c r="N1265" t="str">
        <x:f>IF(I1265&gt;70,"70+ dB",IF(I1265&gt;55,"56-70 dB","41-55 dB"))</x:f>
        <x:v>41-55 dB</x:v>
      </x:c>
      <x:c r="O1265" t="str">
        <x:f>IF(I1265&gt;70,"High",IF(I1265&gt;55,"Moderate","Low"))</x:f>
        <x:v>Low</x:v>
      </x:c>
      <x:c r="P1265" t="str">
        <x:f>IF(I1265&gt;=70,"Yes","No")</x:f>
        <x:v>No</x:v>
      </x:c>
      <x:c r="Q1265" t="str">
        <x:f>TEXT(B1265,"yyyy-mm")</x:f>
        <x:v>2023-09</x:v>
      </x:c>
    </x:row>
    <x:row r="1266">
      <x:c r="A1266" t="str">
        <x:v>HYD08</x:v>
      </x:c>
      <x:c r="B1266" s="22" t="n">
        <x:f>DATE(C1266,D1266,1)</x:f>
        <x:v>45200</x:v>
      </x:c>
      <x:c r="C1266" t="n">
        <x:v>2023</x:v>
      </x:c>
      <x:c r="D1266" t="n">
        <x:v>10</x:v>
      </x:c>
      <x:c r="E1266" t="str">
        <x:f>TEXT(B1266,"mmm")</x:f>
        <x:v>Oct</x:v>
      </x:c>
      <x:c r="F1266" t="str">
        <x:f>"Q"&amp;ROUNDUP(D1266/3,0)</x:f>
        <x:v>Q4</x:v>
      </x:c>
      <x:c r="G1266" s="23" t="n">
        <x:v>52.33</x:v>
      </x:c>
      <x:c r="H1266" s="23" t="n">
        <x:v>44.12</x:v>
      </x:c>
      <x:c r="I1266" s="23" t="n">
        <x:v>48.2</x:v>
      </x:c>
      <x:c r="J1266" s="23" t="n">
        <x:f>G1266-H1266</x:f>
        <x:v>8.21</x:v>
      </x:c>
      <x:c r="K1266" t="str">
        <x:v>HINDCAST</x:v>
      </x:c>
      <x:c r="L1266" s="24" t="n">
        <x:v>17.4931</x:v>
      </x:c>
      <x:c r="M1266" s="24" t="n">
        <x:v>78.411</x:v>
      </x:c>
      <x:c r="N1266" t="str">
        <x:f>IF(I1266&gt;70,"70+ dB",IF(I1266&gt;55,"56-70 dB","41-55 dB"))</x:f>
        <x:v>41-55 dB</x:v>
      </x:c>
      <x:c r="O1266" t="str">
        <x:f>IF(I1266&gt;70,"High",IF(I1266&gt;55,"Moderate","Low"))</x:f>
        <x:v>Low</x:v>
      </x:c>
      <x:c r="P1266" t="str">
        <x:f>IF(I1266&gt;=70,"Yes","No")</x:f>
        <x:v>No</x:v>
      </x:c>
      <x:c r="Q1266" t="str">
        <x:f>TEXT(B1266,"yyyy-mm")</x:f>
        <x:v>2023-10</x:v>
      </x:c>
    </x:row>
    <x:row r="1267">
      <x:c r="A1267" t="str">
        <x:v>HYD08</x:v>
      </x:c>
      <x:c r="B1267" s="22" t="n">
        <x:f>DATE(C1267,D1267,1)</x:f>
        <x:v>45231</x:v>
      </x:c>
      <x:c r="C1267" t="n">
        <x:v>2023</x:v>
      </x:c>
      <x:c r="D1267" t="n">
        <x:v>11</x:v>
      </x:c>
      <x:c r="E1267" t="str">
        <x:f>TEXT(B1267,"mmm")</x:f>
        <x:v>Nov</x:v>
      </x:c>
      <x:c r="F1267" t="str">
        <x:f>"Q"&amp;ROUNDUP(D1267/3,0)</x:f>
        <x:v>Q4</x:v>
      </x:c>
      <x:c r="G1267" s="23" t="n">
        <x:v>52.4</x:v>
      </x:c>
      <x:c r="H1267" s="23" t="n">
        <x:v>44.79</x:v>
      </x:c>
      <x:c r="I1267" s="23" t="n">
        <x:v>48.6</x:v>
      </x:c>
      <x:c r="J1267" s="23" t="n">
        <x:f>G1267-H1267</x:f>
        <x:v>7.609999999999999</x:v>
      </x:c>
      <x:c r="K1267" t="str">
        <x:v>HINDCAST</x:v>
      </x:c>
      <x:c r="L1267" s="24" t="n">
        <x:v>17.4931</x:v>
      </x:c>
      <x:c r="M1267" s="24" t="n">
        <x:v>78.411</x:v>
      </x:c>
      <x:c r="N1267" t="str">
        <x:f>IF(I1267&gt;70,"70+ dB",IF(I1267&gt;55,"56-70 dB","41-55 dB"))</x:f>
        <x:v>41-55 dB</x:v>
      </x:c>
      <x:c r="O1267" t="str">
        <x:f>IF(I1267&gt;70,"High",IF(I1267&gt;55,"Moderate","Low"))</x:f>
        <x:v>Low</x:v>
      </x:c>
      <x:c r="P1267" t="str">
        <x:f>IF(I1267&gt;=70,"Yes","No")</x:f>
        <x:v>No</x:v>
      </x:c>
      <x:c r="Q1267" t="str">
        <x:f>TEXT(B1267,"yyyy-mm")</x:f>
        <x:v>2023-11</x:v>
      </x:c>
    </x:row>
    <x:row r="1268">
      <x:c r="A1268" t="str">
        <x:v>HYD08</x:v>
      </x:c>
      <x:c r="B1268" s="22" t="n">
        <x:f>DATE(C1268,D1268,1)</x:f>
        <x:v>45261</x:v>
      </x:c>
      <x:c r="C1268" t="n">
        <x:v>2023</x:v>
      </x:c>
      <x:c r="D1268" t="n">
        <x:v>12</x:v>
      </x:c>
      <x:c r="E1268" t="str">
        <x:f>TEXT(B1268,"mmm")</x:f>
        <x:v>Dec</x:v>
      </x:c>
      <x:c r="F1268" t="str">
        <x:f>"Q"&amp;ROUNDUP(D1268/3,0)</x:f>
        <x:v>Q4</x:v>
      </x:c>
      <x:c r="G1268" s="23" t="n">
        <x:v>51.65</x:v>
      </x:c>
      <x:c r="H1268" s="23" t="n">
        <x:v>47.89</x:v>
      </x:c>
      <x:c r="I1268" s="23" t="n">
        <x:v>49.8</x:v>
      </x:c>
      <x:c r="J1268" s="23" t="n">
        <x:f>G1268-H1268</x:f>
        <x:v>3.759999999999998</x:v>
      </x:c>
      <x:c r="K1268" t="str">
        <x:v>HINDCAST</x:v>
      </x:c>
      <x:c r="L1268" s="24" t="n">
        <x:v>17.4931</x:v>
      </x:c>
      <x:c r="M1268" s="24" t="n">
        <x:v>78.411</x:v>
      </x:c>
      <x:c r="N1268" t="str">
        <x:f>IF(I1268&gt;70,"70+ dB",IF(I1268&gt;55,"56-70 dB","41-55 dB"))</x:f>
        <x:v>41-55 dB</x:v>
      </x:c>
      <x:c r="O1268" t="str">
        <x:f>IF(I1268&gt;70,"High",IF(I1268&gt;55,"Moderate","Low"))</x:f>
        <x:v>Low</x:v>
      </x:c>
      <x:c r="P1268" t="str">
        <x:f>IF(I1268&gt;=70,"Yes","No")</x:f>
        <x:v>No</x:v>
      </x:c>
      <x:c r="Q1268" t="str">
        <x:f>TEXT(B1268,"yyyy-mm")</x:f>
        <x:v>2023-12</x:v>
      </x:c>
    </x:row>
    <x:row r="1269">
      <x:c r="A1269" t="str">
        <x:v>HYD08</x:v>
      </x:c>
      <x:c r="B1269" s="22" t="n">
        <x:f>DATE(C1269,D1269,1)</x:f>
        <x:v>45292</x:v>
      </x:c>
      <x:c r="C1269" t="n">
        <x:v>2024</x:v>
      </x:c>
      <x:c r="D1269" t="n">
        <x:v>1</x:v>
      </x:c>
      <x:c r="E1269" t="str">
        <x:f>TEXT(B1269,"mmm")</x:f>
        <x:v>Jan</x:v>
      </x:c>
      <x:c r="F1269" t="str">
        <x:f>"Q"&amp;ROUNDUP(D1269/3,0)</x:f>
        <x:v>Q1</x:v>
      </x:c>
      <x:c r="G1269" s="23" t="n">
        <x:v>50.9</x:v>
      </x:c>
      <x:c r="H1269" s="23" t="n">
        <x:v>45.38</x:v>
      </x:c>
      <x:c r="I1269" s="23" t="n">
        <x:v>48.1</x:v>
      </x:c>
      <x:c r="J1269" s="23" t="n">
        <x:f>G1269-H1269</x:f>
        <x:v>5.519999999999996</x:v>
      </x:c>
      <x:c r="K1269" t="str">
        <x:v>HINDCAST</x:v>
      </x:c>
      <x:c r="L1269" s="24" t="n">
        <x:v>17.4931</x:v>
      </x:c>
      <x:c r="M1269" s="24" t="n">
        <x:v>78.411</x:v>
      </x:c>
      <x:c r="N1269" t="str">
        <x:f>IF(I1269&gt;70,"70+ dB",IF(I1269&gt;55,"56-70 dB","41-55 dB"))</x:f>
        <x:v>41-55 dB</x:v>
      </x:c>
      <x:c r="O1269" t="str">
        <x:f>IF(I1269&gt;70,"High",IF(I1269&gt;55,"Moderate","Low"))</x:f>
        <x:v>Low</x:v>
      </x:c>
      <x:c r="P1269" t="str">
        <x:f>IF(I1269&gt;=70,"Yes","No")</x:f>
        <x:v>No</x:v>
      </x:c>
      <x:c r="Q1269" t="str">
        <x:f>TEXT(B1269,"yyyy-mm")</x:f>
        <x:v>2024-01</x:v>
      </x:c>
    </x:row>
    <x:row r="1270">
      <x:c r="A1270" t="str">
        <x:v>HYD08</x:v>
      </x:c>
      <x:c r="B1270" s="22" t="n">
        <x:f>DATE(C1270,D1270,1)</x:f>
        <x:v>45323</x:v>
      </x:c>
      <x:c r="C1270" t="n">
        <x:v>2024</x:v>
      </x:c>
      <x:c r="D1270" t="n">
        <x:v>2</x:v>
      </x:c>
      <x:c r="E1270" t="str">
        <x:f>TEXT(B1270,"mmm")</x:f>
        <x:v>Feb</x:v>
      </x:c>
      <x:c r="F1270" t="str">
        <x:f>"Q"&amp;ROUNDUP(D1270/3,0)</x:f>
        <x:v>Q1</x:v>
      </x:c>
      <x:c r="G1270" s="23" t="n">
        <x:v>54.52</x:v>
      </x:c>
      <x:c r="H1270" s="23" t="n">
        <x:v>48.03</x:v>
      </x:c>
      <x:c r="I1270" s="23" t="n">
        <x:v>51.3</x:v>
      </x:c>
      <x:c r="J1270" s="23" t="n">
        <x:f>G1270-H1270</x:f>
        <x:v>6.490000000000002</x:v>
      </x:c>
      <x:c r="K1270" t="str">
        <x:v>HINDCAST</x:v>
      </x:c>
      <x:c r="L1270" s="24" t="n">
        <x:v>17.4931</x:v>
      </x:c>
      <x:c r="M1270" s="24" t="n">
        <x:v>78.411</x:v>
      </x:c>
      <x:c r="N1270" t="str">
        <x:f>IF(I1270&gt;70,"70+ dB",IF(I1270&gt;55,"56-70 dB","41-55 dB"))</x:f>
        <x:v>41-55 dB</x:v>
      </x:c>
      <x:c r="O1270" t="str">
        <x:f>IF(I1270&gt;70,"High",IF(I1270&gt;55,"Moderate","Low"))</x:f>
        <x:v>Low</x:v>
      </x:c>
      <x:c r="P1270" t="str">
        <x:f>IF(I1270&gt;=70,"Yes","No")</x:f>
        <x:v>No</x:v>
      </x:c>
      <x:c r="Q1270" t="str">
        <x:f>TEXT(B1270,"yyyy-mm")</x:f>
        <x:v>2024-02</x:v>
      </x:c>
    </x:row>
    <x:row r="1271">
      <x:c r="A1271" t="str">
        <x:v>HYD08</x:v>
      </x:c>
      <x:c r="B1271" s="22" t="n">
        <x:f>DATE(C1271,D1271,1)</x:f>
        <x:v>45352</x:v>
      </x:c>
      <x:c r="C1271" t="n">
        <x:v>2024</x:v>
      </x:c>
      <x:c r="D1271" t="n">
        <x:v>3</x:v>
      </x:c>
      <x:c r="E1271" t="str">
        <x:f>TEXT(B1271,"mmm")</x:f>
        <x:v>Mar</x:v>
      </x:c>
      <x:c r="F1271" t="str">
        <x:f>"Q"&amp;ROUNDUP(D1271/3,0)</x:f>
        <x:v>Q1</x:v>
      </x:c>
      <x:c r="G1271" s="23" t="n">
        <x:v>52.49</x:v>
      </x:c>
      <x:c r="H1271" s="23" t="n">
        <x:v>46.61</x:v>
      </x:c>
      <x:c r="I1271" s="23" t="n">
        <x:v>49.6</x:v>
      </x:c>
      <x:c r="J1271" s="23" t="n">
        <x:f>G1271-H1271</x:f>
        <x:v>5.880000000000003</x:v>
      </x:c>
      <x:c r="K1271" t="str">
        <x:v>HINDCAST</x:v>
      </x:c>
      <x:c r="L1271" s="24" t="n">
        <x:v>17.4931</x:v>
      </x:c>
      <x:c r="M1271" s="24" t="n">
        <x:v>78.411</x:v>
      </x:c>
      <x:c r="N1271" t="str">
        <x:f>IF(I1271&gt;70,"70+ dB",IF(I1271&gt;55,"56-70 dB","41-55 dB"))</x:f>
        <x:v>41-55 dB</x:v>
      </x:c>
      <x:c r="O1271" t="str">
        <x:f>IF(I1271&gt;70,"High",IF(I1271&gt;55,"Moderate","Low"))</x:f>
        <x:v>Low</x:v>
      </x:c>
      <x:c r="P1271" t="str">
        <x:f>IF(I1271&gt;=70,"Yes","No")</x:f>
        <x:v>No</x:v>
      </x:c>
      <x:c r="Q1271" t="str">
        <x:f>TEXT(B1271,"yyyy-mm")</x:f>
        <x:v>2024-03</x:v>
      </x:c>
    </x:row>
    <x:row r="1272">
      <x:c r="A1272" t="str">
        <x:v>HYD08</x:v>
      </x:c>
      <x:c r="B1272" s="22" t="n">
        <x:f>DATE(C1272,D1272,1)</x:f>
        <x:v>45383</x:v>
      </x:c>
      <x:c r="C1272" t="n">
        <x:v>2024</x:v>
      </x:c>
      <x:c r="D1272" t="n">
        <x:v>4</x:v>
      </x:c>
      <x:c r="E1272" t="str">
        <x:f>TEXT(B1272,"mmm")</x:f>
        <x:v>Apr</x:v>
      </x:c>
      <x:c r="F1272" t="str">
        <x:f>"Q"&amp;ROUNDUP(D1272/3,0)</x:f>
        <x:v>Q2</x:v>
      </x:c>
      <x:c r="G1272" s="23" t="n">
        <x:v>55.32</x:v>
      </x:c>
      <x:c r="H1272" s="23" t="n">
        <x:v>50.16</x:v>
      </x:c>
      <x:c r="I1272" s="23" t="n">
        <x:v>52.7</x:v>
      </x:c>
      <x:c r="J1272" s="23" t="n">
        <x:f>G1272-H1272</x:f>
        <x:v>5.160000000000004</x:v>
      </x:c>
      <x:c r="K1272" t="str">
        <x:v>HINDCAST</x:v>
      </x:c>
      <x:c r="L1272" s="24" t="n">
        <x:v>17.4931</x:v>
      </x:c>
      <x:c r="M1272" s="24" t="n">
        <x:v>78.411</x:v>
      </x:c>
      <x:c r="N1272" t="str">
        <x:f>IF(I1272&gt;70,"70+ dB",IF(I1272&gt;55,"56-70 dB","41-55 dB"))</x:f>
        <x:v>41-55 dB</x:v>
      </x:c>
      <x:c r="O1272" t="str">
        <x:f>IF(I1272&gt;70,"High",IF(I1272&gt;55,"Moderate","Low"))</x:f>
        <x:v>Low</x:v>
      </x:c>
      <x:c r="P1272" t="str">
        <x:f>IF(I1272&gt;=70,"Yes","No")</x:f>
        <x:v>No</x:v>
      </x:c>
      <x:c r="Q1272" t="str">
        <x:f>TEXT(B1272,"yyyy-mm")</x:f>
        <x:v>2024-04</x:v>
      </x:c>
    </x:row>
    <x:row r="1273">
      <x:c r="A1273" t="str">
        <x:v>HYD08</x:v>
      </x:c>
      <x:c r="B1273" s="22" t="n">
        <x:f>DATE(C1273,D1273,1)</x:f>
        <x:v>45413</x:v>
      </x:c>
      <x:c r="C1273" t="n">
        <x:v>2024</x:v>
      </x:c>
      <x:c r="D1273" t="n">
        <x:v>5</x:v>
      </x:c>
      <x:c r="E1273" t="str">
        <x:f>TEXT(B1273,"mmm")</x:f>
        <x:v>May</x:v>
      </x:c>
      <x:c r="F1273" t="str">
        <x:f>"Q"&amp;ROUNDUP(D1273/3,0)</x:f>
        <x:v>Q2</x:v>
      </x:c>
      <x:c r="G1273" s="23" t="n">
        <x:v>58.44</x:v>
      </x:c>
      <x:c r="H1273" s="23" t="n">
        <x:v>57.54</x:v>
      </x:c>
      <x:c r="I1273" s="23" t="n">
        <x:v>58</x:v>
      </x:c>
      <x:c r="J1273" s="23" t="n">
        <x:f>G1273-H1273</x:f>
        <x:v>0.8999999999999986</x:v>
      </x:c>
      <x:c r="K1273" t="str">
        <x:v>HINDCAST</x:v>
      </x:c>
      <x:c r="L1273" s="24" t="n">
        <x:v>17.4931</x:v>
      </x:c>
      <x:c r="M1273" s="24" t="n">
        <x:v>78.411</x:v>
      </x:c>
      <x:c r="N1273" t="str">
        <x:f>IF(I1273&gt;70,"70+ dB",IF(I1273&gt;55,"56-70 dB","41-55 dB"))</x:f>
        <x:v>56-70 dB</x:v>
      </x:c>
      <x:c r="O1273" t="str">
        <x:f>IF(I1273&gt;70,"High",IF(I1273&gt;55,"Moderate","Low"))</x:f>
        <x:v>Moderate</x:v>
      </x:c>
      <x:c r="P1273" t="str">
        <x:f>IF(I1273&gt;=70,"Yes","No")</x:f>
        <x:v>No</x:v>
      </x:c>
      <x:c r="Q1273" t="str">
        <x:f>TEXT(B1273,"yyyy-mm")</x:f>
        <x:v>2024-05</x:v>
      </x:c>
    </x:row>
    <x:row r="1274">
      <x:c r="A1274" t="str">
        <x:v>HYD08</x:v>
      </x:c>
      <x:c r="B1274" s="22" t="n">
        <x:f>DATE(C1274,D1274,1)</x:f>
        <x:v>45444</x:v>
      </x:c>
      <x:c r="C1274" t="n">
        <x:v>2024</x:v>
      </x:c>
      <x:c r="D1274" t="n">
        <x:v>6</x:v>
      </x:c>
      <x:c r="E1274" t="str">
        <x:f>TEXT(B1274,"mmm")</x:f>
        <x:v>Jun</x:v>
      </x:c>
      <x:c r="F1274" t="str">
        <x:f>"Q"&amp;ROUNDUP(D1274/3,0)</x:f>
        <x:v>Q2</x:v>
      </x:c>
      <x:c r="G1274" s="23" t="n">
        <x:v>55.43</x:v>
      </x:c>
      <x:c r="H1274" s="23" t="n">
        <x:v>52.89</x:v>
      </x:c>
      <x:c r="I1274" s="23" t="n">
        <x:v>54.2</x:v>
      </x:c>
      <x:c r="J1274" s="23" t="n">
        <x:f>G1274-H1274</x:f>
        <x:v>2.539999999999999</x:v>
      </x:c>
      <x:c r="K1274" t="str">
        <x:v>HINDCAST</x:v>
      </x:c>
      <x:c r="L1274" s="24" t="n">
        <x:v>17.4931</x:v>
      </x:c>
      <x:c r="M1274" s="24" t="n">
        <x:v>78.411</x:v>
      </x:c>
      <x:c r="N1274" t="str">
        <x:f>IF(I1274&gt;70,"70+ dB",IF(I1274&gt;55,"56-70 dB","41-55 dB"))</x:f>
        <x:v>41-55 dB</x:v>
      </x:c>
      <x:c r="O1274" t="str">
        <x:f>IF(I1274&gt;70,"High",IF(I1274&gt;55,"Moderate","Low"))</x:f>
        <x:v>Low</x:v>
      </x:c>
      <x:c r="P1274" t="str">
        <x:f>IF(I1274&gt;=70,"Yes","No")</x:f>
        <x:v>No</x:v>
      </x:c>
      <x:c r="Q1274" t="str">
        <x:f>TEXT(B1274,"yyyy-mm")</x:f>
        <x:v>2024-06</x:v>
      </x:c>
    </x:row>
    <x:row r="1275">
      <x:c r="A1275" t="str">
        <x:v>HYD08</x:v>
      </x:c>
      <x:c r="B1275" s="22" t="n">
        <x:f>DATE(C1275,D1275,1)</x:f>
        <x:v>45474</x:v>
      </x:c>
      <x:c r="C1275" t="n">
        <x:v>2024</x:v>
      </x:c>
      <x:c r="D1275" t="n">
        <x:v>7</x:v>
      </x:c>
      <x:c r="E1275" t="str">
        <x:f>TEXT(B1275,"mmm")</x:f>
        <x:v>Jul</x:v>
      </x:c>
      <x:c r="F1275" t="str">
        <x:f>"Q"&amp;ROUNDUP(D1275/3,0)</x:f>
        <x:v>Q3</x:v>
      </x:c>
      <x:c r="G1275" s="23" t="n">
        <x:v>56.8</x:v>
      </x:c>
      <x:c r="H1275" s="23" t="n">
        <x:v>52.94</x:v>
      </x:c>
      <x:c r="I1275" s="23" t="n">
        <x:v>54.9</x:v>
      </x:c>
      <x:c r="J1275" s="23" t="n">
        <x:f>G1275-H1275</x:f>
        <x:v>3.8599999999999994</x:v>
      </x:c>
      <x:c r="K1275" t="str">
        <x:v>HINDCAST</x:v>
      </x:c>
      <x:c r="L1275" s="24" t="n">
        <x:v>17.4931</x:v>
      </x:c>
      <x:c r="M1275" s="24" t="n">
        <x:v>78.411</x:v>
      </x:c>
      <x:c r="N1275" t="str">
        <x:f>IF(I1275&gt;70,"70+ dB",IF(I1275&gt;55,"56-70 dB","41-55 dB"))</x:f>
        <x:v>41-55 dB</x:v>
      </x:c>
      <x:c r="O1275" t="str">
        <x:f>IF(I1275&gt;70,"High",IF(I1275&gt;55,"Moderate","Low"))</x:f>
        <x:v>Low</x:v>
      </x:c>
      <x:c r="P1275" t="str">
        <x:f>IF(I1275&gt;=70,"Yes","No")</x:f>
        <x:v>No</x:v>
      </x:c>
      <x:c r="Q1275" t="str">
        <x:f>TEXT(B1275,"yyyy-mm")</x:f>
        <x:v>2024-07</x:v>
      </x:c>
    </x:row>
    <x:row r="1276">
      <x:c r="A1276" t="str">
        <x:v>HYD08</x:v>
      </x:c>
      <x:c r="B1276" s="22" t="n">
        <x:f>DATE(C1276,D1276,1)</x:f>
        <x:v>45505</x:v>
      </x:c>
      <x:c r="C1276" t="n">
        <x:v>2024</x:v>
      </x:c>
      <x:c r="D1276" t="n">
        <x:v>8</x:v>
      </x:c>
      <x:c r="E1276" t="str">
        <x:f>TEXT(B1276,"mmm")</x:f>
        <x:v>Aug</x:v>
      </x:c>
      <x:c r="F1276" t="str">
        <x:f>"Q"&amp;ROUNDUP(D1276/3,0)</x:f>
        <x:v>Q3</x:v>
      </x:c>
      <x:c r="G1276" s="23" t="n">
        <x:v>54.88</x:v>
      </x:c>
      <x:c r="H1276" s="23" t="n">
        <x:v>49.68</x:v>
      </x:c>
      <x:c r="I1276" s="23" t="n">
        <x:v>52.3</x:v>
      </x:c>
      <x:c r="J1276" s="23" t="n">
        <x:f>G1276-H1276</x:f>
        <x:v>5.200000000000003</x:v>
      </x:c>
      <x:c r="K1276" t="str">
        <x:v>HINDCAST</x:v>
      </x:c>
      <x:c r="L1276" s="24" t="n">
        <x:v>17.4931</x:v>
      </x:c>
      <x:c r="M1276" s="24" t="n">
        <x:v>78.411</x:v>
      </x:c>
      <x:c r="N1276" t="str">
        <x:f>IF(I1276&gt;70,"70+ dB",IF(I1276&gt;55,"56-70 dB","41-55 dB"))</x:f>
        <x:v>41-55 dB</x:v>
      </x:c>
      <x:c r="O1276" t="str">
        <x:f>IF(I1276&gt;70,"High",IF(I1276&gt;55,"Moderate","Low"))</x:f>
        <x:v>Low</x:v>
      </x:c>
      <x:c r="P1276" t="str">
        <x:f>IF(I1276&gt;=70,"Yes","No")</x:f>
        <x:v>No</x:v>
      </x:c>
      <x:c r="Q1276" t="str">
        <x:f>TEXT(B1276,"yyyy-mm")</x:f>
        <x:v>2024-08</x:v>
      </x:c>
    </x:row>
    <x:row r="1277">
      <x:c r="A1277" t="str">
        <x:v>HYD08</x:v>
      </x:c>
      <x:c r="B1277" s="22" t="n">
        <x:f>DATE(C1277,D1277,1)</x:f>
        <x:v>45536</x:v>
      </x:c>
      <x:c r="C1277" t="n">
        <x:v>2024</x:v>
      </x:c>
      <x:c r="D1277" t="n">
        <x:v>9</x:v>
      </x:c>
      <x:c r="E1277" t="str">
        <x:f>TEXT(B1277,"mmm")</x:f>
        <x:v>Sep</x:v>
      </x:c>
      <x:c r="F1277" t="str">
        <x:f>"Q"&amp;ROUNDUP(D1277/3,0)</x:f>
        <x:v>Q3</x:v>
      </x:c>
      <x:c r="G1277" s="23" t="n">
        <x:v>54.01</x:v>
      </x:c>
      <x:c r="H1277" s="23" t="n">
        <x:v>48.38</x:v>
      </x:c>
      <x:c r="I1277" s="23" t="n">
        <x:v>51.2</x:v>
      </x:c>
      <x:c r="J1277" s="23" t="n">
        <x:f>G1277-H1277</x:f>
        <x:v>5.6299999999999955</x:v>
      </x:c>
      <x:c r="K1277" t="str">
        <x:v>HINDCAST</x:v>
      </x:c>
      <x:c r="L1277" s="24" t="n">
        <x:v>17.4931</x:v>
      </x:c>
      <x:c r="M1277" s="24" t="n">
        <x:v>78.411</x:v>
      </x:c>
      <x:c r="N1277" t="str">
        <x:f>IF(I1277&gt;70,"70+ dB",IF(I1277&gt;55,"56-70 dB","41-55 dB"))</x:f>
        <x:v>41-55 dB</x:v>
      </x:c>
      <x:c r="O1277" t="str">
        <x:f>IF(I1277&gt;70,"High",IF(I1277&gt;55,"Moderate","Low"))</x:f>
        <x:v>Low</x:v>
      </x:c>
      <x:c r="P1277" t="str">
        <x:f>IF(I1277&gt;=70,"Yes","No")</x:f>
        <x:v>No</x:v>
      </x:c>
      <x:c r="Q1277" t="str">
        <x:f>TEXT(B1277,"yyyy-mm")</x:f>
        <x:v>2024-09</x:v>
      </x:c>
    </x:row>
    <x:row r="1278">
      <x:c r="A1278" t="str">
        <x:v>HYD08</x:v>
      </x:c>
      <x:c r="B1278" s="22" t="n">
        <x:f>DATE(C1278,D1278,1)</x:f>
        <x:v>45566</x:v>
      </x:c>
      <x:c r="C1278" t="n">
        <x:v>2024</x:v>
      </x:c>
      <x:c r="D1278" t="n">
        <x:v>10</x:v>
      </x:c>
      <x:c r="E1278" t="str">
        <x:f>TEXT(B1278,"mmm")</x:f>
        <x:v>Oct</x:v>
      </x:c>
      <x:c r="F1278" t="str">
        <x:f>"Q"&amp;ROUNDUP(D1278/3,0)</x:f>
        <x:v>Q4</x:v>
      </x:c>
      <x:c r="G1278" s="23" t="n">
        <x:v>51.47</x:v>
      </x:c>
      <x:c r="H1278" s="23" t="n">
        <x:v>43.19</x:v>
      </x:c>
      <x:c r="I1278" s="23" t="n">
        <x:v>47.3</x:v>
      </x:c>
      <x:c r="J1278" s="23" t="n">
        <x:f>G1278-H1278</x:f>
        <x:v>8.280000000000001</x:v>
      </x:c>
      <x:c r="K1278" t="str">
        <x:v>HINDCAST</x:v>
      </x:c>
      <x:c r="L1278" s="24" t="n">
        <x:v>17.4931</x:v>
      </x:c>
      <x:c r="M1278" s="24" t="n">
        <x:v>78.411</x:v>
      </x:c>
      <x:c r="N1278" t="str">
        <x:f>IF(I1278&gt;70,"70+ dB",IF(I1278&gt;55,"56-70 dB","41-55 dB"))</x:f>
        <x:v>41-55 dB</x:v>
      </x:c>
      <x:c r="O1278" t="str">
        <x:f>IF(I1278&gt;70,"High",IF(I1278&gt;55,"Moderate","Low"))</x:f>
        <x:v>Low</x:v>
      </x:c>
      <x:c r="P1278" t="str">
        <x:f>IF(I1278&gt;=70,"Yes","No")</x:f>
        <x:v>No</x:v>
      </x:c>
      <x:c r="Q1278" t="str">
        <x:f>TEXT(B1278,"yyyy-mm")</x:f>
        <x:v>2024-10</x:v>
      </x:c>
    </x:row>
    <x:row r="1279">
      <x:c r="A1279" t="str">
        <x:v>HYD08</x:v>
      </x:c>
      <x:c r="B1279" s="22" t="n">
        <x:f>DATE(C1279,D1279,1)</x:f>
        <x:v>45597</x:v>
      </x:c>
      <x:c r="C1279" t="n">
        <x:v>2024</x:v>
      </x:c>
      <x:c r="D1279" t="n">
        <x:v>11</x:v>
      </x:c>
      <x:c r="E1279" t="str">
        <x:f>TEXT(B1279,"mmm")</x:f>
        <x:v>Nov</x:v>
      </x:c>
      <x:c r="F1279" t="str">
        <x:f>"Q"&amp;ROUNDUP(D1279/3,0)</x:f>
        <x:v>Q4</x:v>
      </x:c>
      <x:c r="G1279" s="23" t="n">
        <x:v>51.46</x:v>
      </x:c>
      <x:c r="H1279" s="23" t="n">
        <x:v>43.87</x:v>
      </x:c>
      <x:c r="I1279" s="23" t="n">
        <x:v>47.7</x:v>
      </x:c>
      <x:c r="J1279" s="23" t="n">
        <x:f>G1279-H1279</x:f>
        <x:v>7.590000000000003</x:v>
      </x:c>
      <x:c r="K1279" t="str">
        <x:v>HINDCAST</x:v>
      </x:c>
      <x:c r="L1279" s="24" t="n">
        <x:v>17.4931</x:v>
      </x:c>
      <x:c r="M1279" s="24" t="n">
        <x:v>78.411</x:v>
      </x:c>
      <x:c r="N1279" t="str">
        <x:f>IF(I1279&gt;70,"70+ dB",IF(I1279&gt;55,"56-70 dB","41-55 dB"))</x:f>
        <x:v>41-55 dB</x:v>
      </x:c>
      <x:c r="O1279" t="str">
        <x:f>IF(I1279&gt;70,"High",IF(I1279&gt;55,"Moderate","Low"))</x:f>
        <x:v>Low</x:v>
      </x:c>
      <x:c r="P1279" t="str">
        <x:f>IF(I1279&gt;=70,"Yes","No")</x:f>
        <x:v>No</x:v>
      </x:c>
      <x:c r="Q1279" t="str">
        <x:f>TEXT(B1279,"yyyy-mm")</x:f>
        <x:v>2024-11</x:v>
      </x:c>
    </x:row>
    <x:row r="1280">
      <x:c r="A1280" t="str">
        <x:v>HYD08</x:v>
      </x:c>
      <x:c r="B1280" s="22" t="n">
        <x:f>DATE(C1280,D1280,1)</x:f>
        <x:v>45627</x:v>
      </x:c>
      <x:c r="C1280" t="n">
        <x:v>2024</x:v>
      </x:c>
      <x:c r="D1280" t="n">
        <x:v>12</x:v>
      </x:c>
      <x:c r="E1280" t="str">
        <x:f>TEXT(B1280,"mmm")</x:f>
        <x:v>Dec</x:v>
      </x:c>
      <x:c r="F1280" t="str">
        <x:f>"Q"&amp;ROUNDUP(D1280/3,0)</x:f>
        <x:v>Q4</x:v>
      </x:c>
      <x:c r="G1280" s="23" t="n">
        <x:v>50.64</x:v>
      </x:c>
      <x:c r="H1280" s="23" t="n">
        <x:v>46.91</x:v>
      </x:c>
      <x:c r="I1280" s="23" t="n">
        <x:v>48.8</x:v>
      </x:c>
      <x:c r="J1280" s="23" t="n">
        <x:f>G1280-H1280</x:f>
        <x:v>3.730000000000004</x:v>
      </x:c>
      <x:c r="K1280" t="str">
        <x:v>HINDCAST</x:v>
      </x:c>
      <x:c r="L1280" s="24" t="n">
        <x:v>17.4931</x:v>
      </x:c>
      <x:c r="M1280" s="24" t="n">
        <x:v>78.411</x:v>
      </x:c>
      <x:c r="N1280" t="str">
        <x:f>IF(I1280&gt;70,"70+ dB",IF(I1280&gt;55,"56-70 dB","41-55 dB"))</x:f>
        <x:v>41-55 dB</x:v>
      </x:c>
      <x:c r="O1280" t="str">
        <x:f>IF(I1280&gt;70,"High",IF(I1280&gt;55,"Moderate","Low"))</x:f>
        <x:v>Low</x:v>
      </x:c>
      <x:c r="P1280" t="str">
        <x:f>IF(I1280&gt;=70,"Yes","No")</x:f>
        <x:v>No</x:v>
      </x:c>
      <x:c r="Q1280" t="str">
        <x:f>TEXT(B1280,"yyyy-mm")</x:f>
        <x:v>2024-12</x:v>
      </x:c>
    </x:row>
    <x:row r="1281">
      <x:c r="A1281" t="str">
        <x:v>HYD08</x:v>
      </x:c>
      <x:c r="B1281" s="22" t="n">
        <x:f>DATE(C1281,D1281,1)</x:f>
        <x:v>45658</x:v>
      </x:c>
      <x:c r="C1281" t="n">
        <x:v>2025</x:v>
      </x:c>
      <x:c r="D1281" t="n">
        <x:v>1</x:v>
      </x:c>
      <x:c r="E1281" t="str">
        <x:f>TEXT(B1281,"mmm")</x:f>
        <x:v>Jan</x:v>
      </x:c>
      <x:c r="F1281" t="str">
        <x:f>"Q"&amp;ROUNDUP(D1281/3,0)</x:f>
        <x:v>Q1</x:v>
      </x:c>
      <x:c r="G1281" s="23" t="n">
        <x:v>49.91</x:v>
      </x:c>
      <x:c r="H1281" s="23" t="n">
        <x:v>44.39</x:v>
      </x:c>
      <x:c r="I1281" s="23" t="n">
        <x:v>47.2</x:v>
      </x:c>
      <x:c r="J1281" s="23" t="n">
        <x:f>G1281-H1281</x:f>
        <x:v>5.519999999999996</x:v>
      </x:c>
      <x:c r="K1281" t="str">
        <x:v>HINDCAST</x:v>
      </x:c>
      <x:c r="L1281" s="24" t="n">
        <x:v>17.4931</x:v>
      </x:c>
      <x:c r="M1281" s="24" t="n">
        <x:v>78.411</x:v>
      </x:c>
      <x:c r="N1281" t="str">
        <x:f>IF(I1281&gt;70,"70+ dB",IF(I1281&gt;55,"56-70 dB","41-55 dB"))</x:f>
        <x:v>41-55 dB</x:v>
      </x:c>
      <x:c r="O1281" t="str">
        <x:f>IF(I1281&gt;70,"High",IF(I1281&gt;55,"Moderate","Low"))</x:f>
        <x:v>Low</x:v>
      </x:c>
      <x:c r="P1281" t="str">
        <x:f>IF(I1281&gt;=70,"Yes","No")</x:f>
        <x:v>No</x:v>
      </x:c>
      <x:c r="Q1281" t="str">
        <x:f>TEXT(B1281,"yyyy-mm")</x:f>
        <x:v>2025-01</x:v>
      </x:c>
    </x:row>
    <x:row r="1282">
      <x:c r="A1282" t="str">
        <x:v>HYD08</x:v>
      </x:c>
      <x:c r="B1282" s="22" t="n">
        <x:f>DATE(C1282,D1282,1)</x:f>
        <x:v>45689</x:v>
      </x:c>
      <x:c r="C1282" t="n">
        <x:v>2025</x:v>
      </x:c>
      <x:c r="D1282" t="n">
        <x:v>2</x:v>
      </x:c>
      <x:c r="E1282" t="str">
        <x:f>TEXT(B1282,"mmm")</x:f>
        <x:v>Feb</x:v>
      </x:c>
      <x:c r="F1282" t="str">
        <x:f>"Q"&amp;ROUNDUP(D1282/3,0)</x:f>
        <x:v>Q1</x:v>
      </x:c>
      <x:c r="G1282" s="23" t="n">
        <x:v>53.55</x:v>
      </x:c>
      <x:c r="H1282" s="23" t="n">
        <x:v>47.06</x:v>
      </x:c>
      <x:c r="I1282" s="23" t="n">
        <x:v>50.3</x:v>
      </x:c>
      <x:c r="J1282" s="23" t="n">
        <x:f>G1282-H1282</x:f>
        <x:v>6.489999999999995</x:v>
      </x:c>
      <x:c r="K1282" t="str">
        <x:v>HINDCAST</x:v>
      </x:c>
      <x:c r="L1282" s="24" t="n">
        <x:v>17.4931</x:v>
      </x:c>
      <x:c r="M1282" s="24" t="n">
        <x:v>78.411</x:v>
      </x:c>
      <x:c r="N1282" t="str">
        <x:f>IF(I1282&gt;70,"70+ dB",IF(I1282&gt;55,"56-70 dB","41-55 dB"))</x:f>
        <x:v>41-55 dB</x:v>
      </x:c>
      <x:c r="O1282" t="str">
        <x:f>IF(I1282&gt;70,"High",IF(I1282&gt;55,"Moderate","Low"))</x:f>
        <x:v>Low</x:v>
      </x:c>
      <x:c r="P1282" t="str">
        <x:f>IF(I1282&gt;=70,"Yes","No")</x:f>
        <x:v>No</x:v>
      </x:c>
      <x:c r="Q1282" t="str">
        <x:f>TEXT(B1282,"yyyy-mm")</x:f>
        <x:v>2025-02</x:v>
      </x:c>
    </x:row>
    <x:row r="1283">
      <x:c r="A1283" t="str">
        <x:v>HYD08</x:v>
      </x:c>
      <x:c r="B1283" s="22" t="n">
        <x:f>DATE(C1283,D1283,1)</x:f>
        <x:v>45717</x:v>
      </x:c>
      <x:c r="C1283" t="n">
        <x:v>2025</x:v>
      </x:c>
      <x:c r="D1283" t="n">
        <x:v>3</x:v>
      </x:c>
      <x:c r="E1283" t="str">
        <x:f>TEXT(B1283,"mmm")</x:f>
        <x:v>Mar</x:v>
      </x:c>
      <x:c r="F1283" t="str">
        <x:f>"Q"&amp;ROUNDUP(D1283/3,0)</x:f>
        <x:v>Q1</x:v>
      </x:c>
      <x:c r="G1283" s="23" t="n">
        <x:v>51.49</x:v>
      </x:c>
      <x:c r="H1283" s="23" t="n">
        <x:v>45.63</x:v>
      </x:c>
      <x:c r="I1283" s="23" t="n">
        <x:v>48.6</x:v>
      </x:c>
      <x:c r="J1283" s="23" t="n">
        <x:f>G1283-H1283</x:f>
        <x:v>5.859999999999999</x:v>
      </x:c>
      <x:c r="K1283" t="str">
        <x:v>HINDCAST</x:v>
      </x:c>
      <x:c r="L1283" s="24" t="n">
        <x:v>17.4931</x:v>
      </x:c>
      <x:c r="M1283" s="24" t="n">
        <x:v>78.411</x:v>
      </x:c>
      <x:c r="N1283" t="str">
        <x:f>IF(I1283&gt;70,"70+ dB",IF(I1283&gt;55,"56-70 dB","41-55 dB"))</x:f>
        <x:v>41-55 dB</x:v>
      </x:c>
      <x:c r="O1283" t="str">
        <x:f>IF(I1283&gt;70,"High",IF(I1283&gt;55,"Moderate","Low"))</x:f>
        <x:v>Low</x:v>
      </x:c>
      <x:c r="P1283" t="str">
        <x:f>IF(I1283&gt;=70,"Yes","No")</x:f>
        <x:v>No</x:v>
      </x:c>
      <x:c r="Q1283" t="str">
        <x:f>TEXT(B1283,"yyyy-mm")</x:f>
        <x:v>2025-03</x:v>
      </x:c>
    </x:row>
    <x:row r="1284">
      <x:c r="A1284" t="str">
        <x:v>HYD08</x:v>
      </x:c>
      <x:c r="B1284" s="22" t="n">
        <x:f>DATE(C1284,D1284,1)</x:f>
        <x:v>45748</x:v>
      </x:c>
      <x:c r="C1284" t="n">
        <x:v>2025</x:v>
      </x:c>
      <x:c r="D1284" t="n">
        <x:v>4</x:v>
      </x:c>
      <x:c r="E1284" t="str">
        <x:f>TEXT(B1284,"mmm")</x:f>
        <x:v>Apr</x:v>
      </x:c>
      <x:c r="F1284" t="str">
        <x:f>"Q"&amp;ROUNDUP(D1284/3,0)</x:f>
        <x:v>Q2</x:v>
      </x:c>
      <x:c r="G1284" s="23" t="n">
        <x:v>54.42</x:v>
      </x:c>
      <x:c r="H1284" s="23" t="n">
        <x:v>49.2</x:v>
      </x:c>
      <x:c r="I1284" s="23" t="n">
        <x:v>51.8</x:v>
      </x:c>
      <x:c r="J1284" s="23" t="n">
        <x:f>G1284-H1284</x:f>
        <x:v>5.219999999999999</x:v>
      </x:c>
      <x:c r="K1284" t="str">
        <x:v>HINDCAST</x:v>
      </x:c>
      <x:c r="L1284" s="24" t="n">
        <x:v>17.4931</x:v>
      </x:c>
      <x:c r="M1284" s="24" t="n">
        <x:v>78.411</x:v>
      </x:c>
      <x:c r="N1284" t="str">
        <x:f>IF(I1284&gt;70,"70+ dB",IF(I1284&gt;55,"56-70 dB","41-55 dB"))</x:f>
        <x:v>41-55 dB</x:v>
      </x:c>
      <x:c r="O1284" t="str">
        <x:f>IF(I1284&gt;70,"High",IF(I1284&gt;55,"Moderate","Low"))</x:f>
        <x:v>Low</x:v>
      </x:c>
      <x:c r="P1284" t="str">
        <x:f>IF(I1284&gt;=70,"Yes","No")</x:f>
        <x:v>No</x:v>
      </x:c>
      <x:c r="Q1284" t="str">
        <x:f>TEXT(B1284,"yyyy-mm")</x:f>
        <x:v>2025-04</x:v>
      </x:c>
    </x:row>
    <x:row r="1285">
      <x:c r="A1285" t="str">
        <x:v>HYD08</x:v>
      </x:c>
      <x:c r="B1285" s="22" t="n">
        <x:f>DATE(C1285,D1285,1)</x:f>
        <x:v>45778</x:v>
      </x:c>
      <x:c r="C1285" t="n">
        <x:v>2025</x:v>
      </x:c>
      <x:c r="D1285" t="n">
        <x:v>5</x:v>
      </x:c>
      <x:c r="E1285" t="str">
        <x:f>TEXT(B1285,"mmm")</x:f>
        <x:v>May</x:v>
      </x:c>
      <x:c r="F1285" t="str">
        <x:f>"Q"&amp;ROUNDUP(D1285/3,0)</x:f>
        <x:v>Q2</x:v>
      </x:c>
      <x:c r="G1285" s="23" t="n">
        <x:v>57.65</x:v>
      </x:c>
      <x:c r="H1285" s="23" t="n">
        <x:v>56.66</x:v>
      </x:c>
      <x:c r="I1285" s="23" t="n">
        <x:v>57.2</x:v>
      </x:c>
      <x:c r="J1285" s="23" t="n">
        <x:f>G1285-H1285</x:f>
        <x:v>0.990000000000002</x:v>
      </x:c>
      <x:c r="K1285" t="str">
        <x:v>HINDCAST</x:v>
      </x:c>
      <x:c r="L1285" s="24" t="n">
        <x:v>17.4931</x:v>
      </x:c>
      <x:c r="M1285" s="24" t="n">
        <x:v>78.411</x:v>
      </x:c>
      <x:c r="N1285" t="str">
        <x:f>IF(I1285&gt;70,"70+ dB",IF(I1285&gt;55,"56-70 dB","41-55 dB"))</x:f>
        <x:v>56-70 dB</x:v>
      </x:c>
      <x:c r="O1285" t="str">
        <x:f>IF(I1285&gt;70,"High",IF(I1285&gt;55,"Moderate","Low"))</x:f>
        <x:v>Moderate</x:v>
      </x:c>
      <x:c r="P1285" t="str">
        <x:f>IF(I1285&gt;=70,"Yes","No")</x:f>
        <x:v>No</x:v>
      </x:c>
      <x:c r="Q1285" t="str">
        <x:f>TEXT(B1285,"yyyy-mm")</x:f>
        <x:v>2025-05</x:v>
      </x:c>
    </x:row>
    <x:row r="1286">
      <x:c r="A1286" t="str">
        <x:v>HYD08</x:v>
      </x:c>
      <x:c r="B1286" s="22" t="n">
        <x:f>DATE(C1286,D1286,1)</x:f>
        <x:v>45809</x:v>
      </x:c>
      <x:c r="C1286" t="n">
        <x:v>2025</x:v>
      </x:c>
      <x:c r="D1286" t="n">
        <x:v>6</x:v>
      </x:c>
      <x:c r="E1286" t="str">
        <x:f>TEXT(B1286,"mmm")</x:f>
        <x:v>Jun</x:v>
      </x:c>
      <x:c r="F1286" t="str">
        <x:f>"Q"&amp;ROUNDUP(D1286/3,0)</x:f>
        <x:v>Q2</x:v>
      </x:c>
      <x:c r="G1286" s="23" t="n">
        <x:v>54.47</x:v>
      </x:c>
      <x:c r="H1286" s="23" t="n">
        <x:v>51.95</x:v>
      </x:c>
      <x:c r="I1286" s="23" t="n">
        <x:v>53.2</x:v>
      </x:c>
      <x:c r="J1286" s="23" t="n">
        <x:f>G1286-H1286</x:f>
        <x:v>2.519999999999996</x:v>
      </x:c>
      <x:c r="K1286" t="str">
        <x:v>HINDCAST</x:v>
      </x:c>
      <x:c r="L1286" s="24" t="n">
        <x:v>17.4931</x:v>
      </x:c>
      <x:c r="M1286" s="24" t="n">
        <x:v>78.411</x:v>
      </x:c>
      <x:c r="N1286" t="str">
        <x:f>IF(I1286&gt;70,"70+ dB",IF(I1286&gt;55,"56-70 dB","41-55 dB"))</x:f>
        <x:v>41-55 dB</x:v>
      </x:c>
      <x:c r="O1286" t="str">
        <x:f>IF(I1286&gt;70,"High",IF(I1286&gt;55,"Moderate","Low"))</x:f>
        <x:v>Low</x:v>
      </x:c>
      <x:c r="P1286" t="str">
        <x:f>IF(I1286&gt;=70,"Yes","No")</x:f>
        <x:v>No</x:v>
      </x:c>
      <x:c r="Q1286" t="str">
        <x:f>TEXT(B1286,"yyyy-mm")</x:f>
        <x:v>2025-06</x:v>
      </x:c>
    </x:row>
    <x:row r="1287">
      <x:c r="A1287" t="str">
        <x:v>HYD08</x:v>
      </x:c>
      <x:c r="B1287" s="22" t="n">
        <x:f>DATE(C1287,D1287,1)</x:f>
        <x:v>45839</x:v>
      </x:c>
      <x:c r="C1287" t="n">
        <x:v>2025</x:v>
      </x:c>
      <x:c r="D1287" t="n">
        <x:v>7</x:v>
      </x:c>
      <x:c r="E1287" t="str">
        <x:f>TEXT(B1287,"mmm")</x:f>
        <x:v>Jul</x:v>
      </x:c>
      <x:c r="F1287" t="str">
        <x:f>"Q"&amp;ROUNDUP(D1287/3,0)</x:f>
        <x:v>Q3</x:v>
      </x:c>
      <x:c r="G1287" s="23" t="n">
        <x:v>55.77</x:v>
      </x:c>
      <x:c r="H1287" s="23" t="n">
        <x:v>51.96</x:v>
      </x:c>
      <x:c r="I1287" s="23" t="n">
        <x:v>53.9</x:v>
      </x:c>
      <x:c r="J1287" s="23" t="n">
        <x:f>G1287-H1287</x:f>
        <x:v>3.8100000000000023</x:v>
      </x:c>
      <x:c r="K1287" t="str">
        <x:v>HINDCAST</x:v>
      </x:c>
      <x:c r="L1287" s="24" t="n">
        <x:v>17.4931</x:v>
      </x:c>
      <x:c r="M1287" s="24" t="n">
        <x:v>78.411</x:v>
      </x:c>
      <x:c r="N1287" t="str">
        <x:f>IF(I1287&gt;70,"70+ dB",IF(I1287&gt;55,"56-70 dB","41-55 dB"))</x:f>
        <x:v>41-55 dB</x:v>
      </x:c>
      <x:c r="O1287" t="str">
        <x:f>IF(I1287&gt;70,"High",IF(I1287&gt;55,"Moderate","Low"))</x:f>
        <x:v>Low</x:v>
      </x:c>
      <x:c r="P1287" t="str">
        <x:f>IF(I1287&gt;=70,"Yes","No")</x:f>
        <x:v>No</x:v>
      </x:c>
      <x:c r="Q1287" t="str">
        <x:f>TEXT(B1287,"yyyy-mm")</x:f>
        <x:v>2025-07</x:v>
      </x:c>
    </x:row>
    <x:row r="1288">
      <x:c r="A1288" t="str">
        <x:v>HYD08</x:v>
      </x:c>
      <x:c r="B1288" s="22" t="n">
        <x:f>DATE(C1288,D1288,1)</x:f>
        <x:v>45870</x:v>
      </x:c>
      <x:c r="C1288" t="n">
        <x:v>2025</x:v>
      </x:c>
      <x:c r="D1288" t="n">
        <x:v>8</x:v>
      </x:c>
      <x:c r="E1288" t="str">
        <x:f>TEXT(B1288,"mmm")</x:f>
        <x:v>Aug</x:v>
      </x:c>
      <x:c r="F1288" t="str">
        <x:f>"Q"&amp;ROUNDUP(D1288/3,0)</x:f>
        <x:v>Q3</x:v>
      </x:c>
      <x:c r="G1288" s="23" t="n">
        <x:v>53.82</x:v>
      </x:c>
      <x:c r="H1288" s="23" t="n">
        <x:v>48.67</x:v>
      </x:c>
      <x:c r="I1288" s="23" t="n">
        <x:v>51.2</x:v>
      </x:c>
      <x:c r="J1288" s="23" t="n">
        <x:f>G1288-H1288</x:f>
        <x:v>5.149999999999999</x:v>
      </x:c>
      <x:c r="K1288" t="str">
        <x:v>HINDCAST</x:v>
      </x:c>
      <x:c r="L1288" s="24" t="n">
        <x:v>17.4931</x:v>
      </x:c>
      <x:c r="M1288" s="24" t="n">
        <x:v>78.411</x:v>
      </x:c>
      <x:c r="N1288" t="str">
        <x:f>IF(I1288&gt;70,"70+ dB",IF(I1288&gt;55,"56-70 dB","41-55 dB"))</x:f>
        <x:v>41-55 dB</x:v>
      </x:c>
      <x:c r="O1288" t="str">
        <x:f>IF(I1288&gt;70,"High",IF(I1288&gt;55,"Moderate","Low"))</x:f>
        <x:v>Low</x:v>
      </x:c>
      <x:c r="P1288" t="str">
        <x:f>IF(I1288&gt;=70,"Yes","No")</x:f>
        <x:v>No</x:v>
      </x:c>
      <x:c r="Q1288" t="str">
        <x:f>TEXT(B1288,"yyyy-mm")</x:f>
        <x:v>2025-08</x:v>
      </x:c>
    </x:row>
    <x:row r="1289">
      <x:c r="A1289" t="str">
        <x:v>HYD08</x:v>
      </x:c>
      <x:c r="B1289" s="22" t="n">
        <x:f>DATE(C1289,D1289,1)</x:f>
        <x:v>45901</x:v>
      </x:c>
      <x:c r="C1289" t="n">
        <x:v>2025</x:v>
      </x:c>
      <x:c r="D1289" t="n">
        <x:v>9</x:v>
      </x:c>
      <x:c r="E1289" t="str">
        <x:f>TEXT(B1289,"mmm")</x:f>
        <x:v>Sep</x:v>
      </x:c>
      <x:c r="F1289" t="str">
        <x:f>"Q"&amp;ROUNDUP(D1289/3,0)</x:f>
        <x:v>Q3</x:v>
      </x:c>
      <x:c r="G1289" s="23" t="n">
        <x:v>53.1</x:v>
      </x:c>
      <x:c r="H1289" s="23" t="n">
        <x:v>47.43</x:v>
      </x:c>
      <x:c r="I1289" s="23" t="n">
        <x:v>50.3</x:v>
      </x:c>
      <x:c r="J1289" s="23" t="n">
        <x:f>G1289-H1289</x:f>
        <x:v>5.670000000000002</x:v>
      </x:c>
      <x:c r="K1289" t="str">
        <x:v>HINDCAST</x:v>
      </x:c>
      <x:c r="L1289" s="24" t="n">
        <x:v>17.4931</x:v>
      </x:c>
      <x:c r="M1289" s="24" t="n">
        <x:v>78.411</x:v>
      </x:c>
      <x:c r="N1289" t="str">
        <x:f>IF(I1289&gt;70,"70+ dB",IF(I1289&gt;55,"56-70 dB","41-55 dB"))</x:f>
        <x:v>41-55 dB</x:v>
      </x:c>
      <x:c r="O1289" t="str">
        <x:f>IF(I1289&gt;70,"High",IF(I1289&gt;55,"Moderate","Low"))</x:f>
        <x:v>Low</x:v>
      </x:c>
      <x:c r="P1289" t="str">
        <x:f>IF(I1289&gt;=70,"Yes","No")</x:f>
        <x:v>No</x:v>
      </x:c>
      <x:c r="Q1289" t="str">
        <x:f>TEXT(B1289,"yyyy-mm")</x:f>
        <x:v>2025-09</x:v>
      </x:c>
    </x:row>
    <x:row r="1290">
      <x:c r="A1290" t="str">
        <x:v>HYD08</x:v>
      </x:c>
      <x:c r="B1290" s="22" t="n">
        <x:f>DATE(C1290,D1290,1)</x:f>
        <x:v>45931</x:v>
      </x:c>
      <x:c r="C1290" t="n">
        <x:v>2025</x:v>
      </x:c>
      <x:c r="D1290" t="n">
        <x:v>10</x:v>
      </x:c>
      <x:c r="E1290" t="str">
        <x:f>TEXT(B1290,"mmm")</x:f>
        <x:v>Oct</x:v>
      </x:c>
      <x:c r="F1290" t="str">
        <x:f>"Q"&amp;ROUNDUP(D1290/3,0)</x:f>
        <x:v>Q4</x:v>
      </x:c>
      <x:c r="G1290" s="23" t="n">
        <x:v>50.43</x:v>
      </x:c>
      <x:c r="H1290" s="23" t="n">
        <x:v>42.19</x:v>
      </x:c>
      <x:c r="I1290" s="23" t="n">
        <x:v>46.3</x:v>
      </x:c>
      <x:c r="J1290" s="23" t="n">
        <x:f>G1290-H1290</x:f>
        <x:v>8.240000000000002</x:v>
      </x:c>
      <x:c r="K1290" t="str">
        <x:v>HINDCAST</x:v>
      </x:c>
      <x:c r="L1290" s="24" t="n">
        <x:v>17.4931</x:v>
      </x:c>
      <x:c r="M1290" s="24" t="n">
        <x:v>78.411</x:v>
      </x:c>
      <x:c r="N1290" t="str">
        <x:f>IF(I1290&gt;70,"70+ dB",IF(I1290&gt;55,"56-70 dB","41-55 dB"))</x:f>
        <x:v>41-55 dB</x:v>
      </x:c>
      <x:c r="O1290" t="str">
        <x:f>IF(I1290&gt;70,"High",IF(I1290&gt;55,"Moderate","Low"))</x:f>
        <x:v>Low</x:v>
      </x:c>
      <x:c r="P1290" t="str">
        <x:f>IF(I1290&gt;=70,"Yes","No")</x:f>
        <x:v>No</x:v>
      </x:c>
      <x:c r="Q1290" t="str">
        <x:f>TEXT(B1290,"yyyy-mm")</x:f>
        <x:v>2025-10</x:v>
      </x:c>
    </x:row>
    <x:row r="1291">
      <x:c r="A1291" t="str">
        <x:v>HYD08</x:v>
      </x:c>
      <x:c r="B1291" s="22" t="n">
        <x:f>DATE(C1291,D1291,1)</x:f>
        <x:v>45962</x:v>
      </x:c>
      <x:c r="C1291" t="n">
        <x:v>2025</x:v>
      </x:c>
      <x:c r="D1291" t="n">
        <x:v>11</x:v>
      </x:c>
      <x:c r="E1291" t="str">
        <x:f>TEXT(B1291,"mmm")</x:f>
        <x:v>Nov</x:v>
      </x:c>
      <x:c r="F1291" t="str">
        <x:f>"Q"&amp;ROUNDUP(D1291/3,0)</x:f>
        <x:v>Q4</x:v>
      </x:c>
      <x:c r="G1291" s="23" t="n">
        <x:v>50.46</x:v>
      </x:c>
      <x:c r="H1291" s="23" t="n">
        <x:v>42.86</x:v>
      </x:c>
      <x:c r="I1291" s="23" t="n">
        <x:v>46.7</x:v>
      </x:c>
      <x:c r="J1291" s="23" t="n">
        <x:f>G1291-H1291</x:f>
        <x:v>7.600000000000001</x:v>
      </x:c>
      <x:c r="K1291" t="str">
        <x:v>HINDCAST</x:v>
      </x:c>
      <x:c r="L1291" s="24" t="n">
        <x:v>17.4931</x:v>
      </x:c>
      <x:c r="M1291" s="24" t="n">
        <x:v>78.411</x:v>
      </x:c>
      <x:c r="N1291" t="str">
        <x:f>IF(I1291&gt;70,"70+ dB",IF(I1291&gt;55,"56-70 dB","41-55 dB"))</x:f>
        <x:v>41-55 dB</x:v>
      </x:c>
      <x:c r="O1291" t="str">
        <x:f>IF(I1291&gt;70,"High",IF(I1291&gt;55,"Moderate","Low"))</x:f>
        <x:v>Low</x:v>
      </x:c>
      <x:c r="P1291" t="str">
        <x:f>IF(I1291&gt;=70,"Yes","No")</x:f>
        <x:v>No</x:v>
      </x:c>
      <x:c r="Q1291" t="str">
        <x:f>TEXT(B1291,"yyyy-mm")</x:f>
        <x:v>2025-11</x:v>
      </x:c>
    </x:row>
    <x:row r="1292">
      <x:c r="A1292" t="str">
        <x:v>HYD08</x:v>
      </x:c>
      <x:c r="B1292" s="22" t="n">
        <x:f>DATE(C1292,D1292,1)</x:f>
        <x:v>45992</x:v>
      </x:c>
      <x:c r="C1292" t="n">
        <x:v>2025</x:v>
      </x:c>
      <x:c r="D1292" t="n">
        <x:v>12</x:v>
      </x:c>
      <x:c r="E1292" t="str">
        <x:f>TEXT(B1292,"mmm")</x:f>
        <x:v>Dec</x:v>
      </x:c>
      <x:c r="F1292" t="str">
        <x:f>"Q"&amp;ROUNDUP(D1292/3,0)</x:f>
        <x:v>Q4</x:v>
      </x:c>
      <x:c r="G1292" s="23" t="n">
        <x:v>49.68</x:v>
      </x:c>
      <x:c r="H1292" s="23" t="n">
        <x:v>45.93</x:v>
      </x:c>
      <x:c r="I1292" s="23" t="n">
        <x:v>47.8</x:v>
      </x:c>
      <x:c r="J1292" s="23" t="n">
        <x:f>G1292-H1292</x:f>
        <x:v>3.75</x:v>
      </x:c>
      <x:c r="K1292" t="str">
        <x:v>HINDCAST</x:v>
      </x:c>
      <x:c r="L1292" s="24" t="n">
        <x:v>17.4931</x:v>
      </x:c>
      <x:c r="M1292" s="24" t="n">
        <x:v>78.411</x:v>
      </x:c>
      <x:c r="N1292" t="str">
        <x:f>IF(I1292&gt;70,"70+ dB",IF(I1292&gt;55,"56-70 dB","41-55 dB"))</x:f>
        <x:v>41-55 dB</x:v>
      </x:c>
      <x:c r="O1292" t="str">
        <x:f>IF(I1292&gt;70,"High",IF(I1292&gt;55,"Moderate","Low"))</x:f>
        <x:v>Low</x:v>
      </x:c>
      <x:c r="P1292" t="str">
        <x:f>IF(I1292&gt;=70,"Yes","No")</x:f>
        <x:v>No</x:v>
      </x:c>
      <x:c r="Q1292" t="str">
        <x:f>TEXT(B1292,"yyyy-mm")</x:f>
        <x:v>2025-12</x:v>
      </x:c>
    </x:row>
    <x:row r="1293">
      <x:c r="A1293" t="str">
        <x:v>HYD09</x:v>
      </x:c>
      <x:c r="B1293" s="22" t="n">
        <x:f>DATE(C1293,D1293,1)</x:f>
        <x:v>42005</x:v>
      </x:c>
      <x:c r="C1293" t="n">
        <x:v>2015</x:v>
      </x:c>
      <x:c r="D1293" t="n">
        <x:v>1</x:v>
      </x:c>
      <x:c r="E1293" t="str">
        <x:f>TEXT(B1293,"mmm")</x:f>
        <x:v>Jan</x:v>
      </x:c>
      <x:c r="F1293" t="str">
        <x:f>"Q"&amp;ROUNDUP(D1293/3,0)</x:f>
        <x:v>Q1</x:v>
      </x:c>
      <x:c r="G1293" s="23" t="n">
        <x:v>78</x:v>
      </x:c>
      <x:c r="H1293" s="23" t="n">
        <x:v>74</x:v>
      </x:c>
      <x:c r="I1293" s="23" t="n">
        <x:v>76</x:v>
      </x:c>
      <x:c r="J1293" s="23" t="n">
        <x:f>G1293-H1293</x:f>
        <x:v>4</x:v>
      </x:c>
      <x:c r="K1293" t="str">
        <x:v>OBSERVED</x:v>
      </x:c>
      <x:c r="L1293" s="24" t="n">
        <x:v>17.3871</x:v>
      </x:c>
      <x:c r="M1293" s="24" t="n">
        <x:v>78.4916</x:v>
      </x:c>
      <x:c r="N1293" t="str">
        <x:f>IF(I1293&gt;70,"70+ dB",IF(I1293&gt;55,"56-70 dB","41-55 dB"))</x:f>
        <x:v>70+ dB</x:v>
      </x:c>
      <x:c r="O1293" t="str">
        <x:f>IF(I1293&gt;70,"High",IF(I1293&gt;55,"Moderate","Low"))</x:f>
        <x:v>High</x:v>
      </x:c>
      <x:c r="P1293" t="str">
        <x:f>IF(I1293&gt;=70,"Yes","No")</x:f>
        <x:v>Yes</x:v>
      </x:c>
      <x:c r="Q1293" t="str">
        <x:f>TEXT(B1293,"yyyy-mm")</x:f>
        <x:v>2015-01</x:v>
      </x:c>
    </x:row>
    <x:row r="1294">
      <x:c r="A1294" t="str">
        <x:v>HYD09</x:v>
      </x:c>
      <x:c r="B1294" s="22" t="n">
        <x:f>DATE(C1294,D1294,1)</x:f>
        <x:v>42036</x:v>
      </x:c>
      <x:c r="C1294" t="n">
        <x:v>2015</x:v>
      </x:c>
      <x:c r="D1294" t="n">
        <x:v>2</x:v>
      </x:c>
      <x:c r="E1294" t="str">
        <x:f>TEXT(B1294,"mmm")</x:f>
        <x:v>Feb</x:v>
      </x:c>
      <x:c r="F1294" t="str">
        <x:f>"Q"&amp;ROUNDUP(D1294/3,0)</x:f>
        <x:v>Q1</x:v>
      </x:c>
      <x:c r="G1294" s="23" t="n">
        <x:v>78</x:v>
      </x:c>
      <x:c r="H1294" s="23" t="n">
        <x:v>75</x:v>
      </x:c>
      <x:c r="I1294" s="23" t="n">
        <x:v>76.5</x:v>
      </x:c>
      <x:c r="J1294" s="23" t="n">
        <x:f>G1294-H1294</x:f>
        <x:v>3</x:v>
      </x:c>
      <x:c r="K1294" t="str">
        <x:v>OBSERVED</x:v>
      </x:c>
      <x:c r="L1294" s="24" t="n">
        <x:v>17.3871</x:v>
      </x:c>
      <x:c r="M1294" s="24" t="n">
        <x:v>78.4916</x:v>
      </x:c>
      <x:c r="N1294" t="str">
        <x:f>IF(I1294&gt;70,"70+ dB",IF(I1294&gt;55,"56-70 dB","41-55 dB"))</x:f>
        <x:v>70+ dB</x:v>
      </x:c>
      <x:c r="O1294" t="str">
        <x:f>IF(I1294&gt;70,"High",IF(I1294&gt;55,"Moderate","Low"))</x:f>
        <x:v>High</x:v>
      </x:c>
      <x:c r="P1294" t="str">
        <x:f>IF(I1294&gt;=70,"Yes","No")</x:f>
        <x:v>Yes</x:v>
      </x:c>
      <x:c r="Q1294" t="str">
        <x:f>TEXT(B1294,"yyyy-mm")</x:f>
        <x:v>2015-02</x:v>
      </x:c>
    </x:row>
    <x:row r="1295">
      <x:c r="A1295" t="str">
        <x:v>HYD09</x:v>
      </x:c>
      <x:c r="B1295" s="22" t="n">
        <x:f>DATE(C1295,D1295,1)</x:f>
        <x:v>42064</x:v>
      </x:c>
      <x:c r="C1295" t="n">
        <x:v>2015</x:v>
      </x:c>
      <x:c r="D1295" t="n">
        <x:v>3</x:v>
      </x:c>
      <x:c r="E1295" t="str">
        <x:f>TEXT(B1295,"mmm")</x:f>
        <x:v>Mar</x:v>
      </x:c>
      <x:c r="F1295" t="str">
        <x:f>"Q"&amp;ROUNDUP(D1295/3,0)</x:f>
        <x:v>Q1</x:v>
      </x:c>
      <x:c r="G1295" s="23" t="n">
        <x:v>78</x:v>
      </x:c>
      <x:c r="H1295" s="23" t="n">
        <x:v>73</x:v>
      </x:c>
      <x:c r="I1295" s="23" t="n">
        <x:v>75.5</x:v>
      </x:c>
      <x:c r="J1295" s="23" t="n">
        <x:f>G1295-H1295</x:f>
        <x:v>5</x:v>
      </x:c>
      <x:c r="K1295" t="str">
        <x:v>OBSERVED</x:v>
      </x:c>
      <x:c r="L1295" s="24" t="n">
        <x:v>17.3871</x:v>
      </x:c>
      <x:c r="M1295" s="24" t="n">
        <x:v>78.4916</x:v>
      </x:c>
      <x:c r="N1295" t="str">
        <x:f>IF(I1295&gt;70,"70+ dB",IF(I1295&gt;55,"56-70 dB","41-55 dB"))</x:f>
        <x:v>70+ dB</x:v>
      </x:c>
      <x:c r="O1295" t="str">
        <x:f>IF(I1295&gt;70,"High",IF(I1295&gt;55,"Moderate","Low"))</x:f>
        <x:v>High</x:v>
      </x:c>
      <x:c r="P1295" t="str">
        <x:f>IF(I1295&gt;=70,"Yes","No")</x:f>
        <x:v>Yes</x:v>
      </x:c>
      <x:c r="Q1295" t="str">
        <x:f>TEXT(B1295,"yyyy-mm")</x:f>
        <x:v>2015-03</x:v>
      </x:c>
    </x:row>
    <x:row r="1296">
      <x:c r="A1296" t="str">
        <x:v>HYD09</x:v>
      </x:c>
      <x:c r="B1296" s="22" t="n">
        <x:f>DATE(C1296,D1296,1)</x:f>
        <x:v>42095</x:v>
      </x:c>
      <x:c r="C1296" t="n">
        <x:v>2015</x:v>
      </x:c>
      <x:c r="D1296" t="n">
        <x:v>4</x:v>
      </x:c>
      <x:c r="E1296" t="str">
        <x:f>TEXT(B1296,"mmm")</x:f>
        <x:v>Apr</x:v>
      </x:c>
      <x:c r="F1296" t="str">
        <x:f>"Q"&amp;ROUNDUP(D1296/3,0)</x:f>
        <x:v>Q2</x:v>
      </x:c>
      <x:c r="G1296" s="23" t="n">
        <x:v>79</x:v>
      </x:c>
      <x:c r="H1296" s="23" t="n">
        <x:v>73</x:v>
      </x:c>
      <x:c r="I1296" s="23" t="n">
        <x:v>76</x:v>
      </x:c>
      <x:c r="J1296" s="23" t="n">
        <x:f>G1296-H1296</x:f>
        <x:v>6</x:v>
      </x:c>
      <x:c r="K1296" t="str">
        <x:v>OBSERVED</x:v>
      </x:c>
      <x:c r="L1296" s="24" t="n">
        <x:v>17.3871</x:v>
      </x:c>
      <x:c r="M1296" s="24" t="n">
        <x:v>78.4916</x:v>
      </x:c>
      <x:c r="N1296" t="str">
        <x:f>IF(I1296&gt;70,"70+ dB",IF(I1296&gt;55,"56-70 dB","41-55 dB"))</x:f>
        <x:v>70+ dB</x:v>
      </x:c>
      <x:c r="O1296" t="str">
        <x:f>IF(I1296&gt;70,"High",IF(I1296&gt;55,"Moderate","Low"))</x:f>
        <x:v>High</x:v>
      </x:c>
      <x:c r="P1296" t="str">
        <x:f>IF(I1296&gt;=70,"Yes","No")</x:f>
        <x:v>Yes</x:v>
      </x:c>
      <x:c r="Q1296" t="str">
        <x:f>TEXT(B1296,"yyyy-mm")</x:f>
        <x:v>2015-04</x:v>
      </x:c>
    </x:row>
    <x:row r="1297">
      <x:c r="A1297" t="str">
        <x:v>HYD09</x:v>
      </x:c>
      <x:c r="B1297" s="22" t="n">
        <x:f>DATE(C1297,D1297,1)</x:f>
        <x:v>42125</x:v>
      </x:c>
      <x:c r="C1297" t="n">
        <x:v>2015</x:v>
      </x:c>
      <x:c r="D1297" t="n">
        <x:v>5</x:v>
      </x:c>
      <x:c r="E1297" t="str">
        <x:f>TEXT(B1297,"mmm")</x:f>
        <x:v>May</x:v>
      </x:c>
      <x:c r="F1297" t="str">
        <x:f>"Q"&amp;ROUNDUP(D1297/3,0)</x:f>
        <x:v>Q2</x:v>
      </x:c>
      <x:c r="G1297" s="23" t="n">
        <x:v>78</x:v>
      </x:c>
      <x:c r="H1297" s="23" t="n">
        <x:v>75</x:v>
      </x:c>
      <x:c r="I1297" s="23" t="n">
        <x:v>76.5</x:v>
      </x:c>
      <x:c r="J1297" s="23" t="n">
        <x:f>G1297-H1297</x:f>
        <x:v>3</x:v>
      </x:c>
      <x:c r="K1297" t="str">
        <x:v>OBSERVED</x:v>
      </x:c>
      <x:c r="L1297" s="24" t="n">
        <x:v>17.3871</x:v>
      </x:c>
      <x:c r="M1297" s="24" t="n">
        <x:v>78.4916</x:v>
      </x:c>
      <x:c r="N1297" t="str">
        <x:f>IF(I1297&gt;70,"70+ dB",IF(I1297&gt;55,"56-70 dB","41-55 dB"))</x:f>
        <x:v>70+ dB</x:v>
      </x:c>
      <x:c r="O1297" t="str">
        <x:f>IF(I1297&gt;70,"High",IF(I1297&gt;55,"Moderate","Low"))</x:f>
        <x:v>High</x:v>
      </x:c>
      <x:c r="P1297" t="str">
        <x:f>IF(I1297&gt;=70,"Yes","No")</x:f>
        <x:v>Yes</x:v>
      </x:c>
      <x:c r="Q1297" t="str">
        <x:f>TEXT(B1297,"yyyy-mm")</x:f>
        <x:v>2015-05</x:v>
      </x:c>
    </x:row>
    <x:row r="1298">
      <x:c r="A1298" t="str">
        <x:v>HYD09</x:v>
      </x:c>
      <x:c r="B1298" s="22" t="n">
        <x:f>DATE(C1298,D1298,1)</x:f>
        <x:v>42156</x:v>
      </x:c>
      <x:c r="C1298" t="n">
        <x:v>2015</x:v>
      </x:c>
      <x:c r="D1298" t="n">
        <x:v>6</x:v>
      </x:c>
      <x:c r="E1298" t="str">
        <x:f>TEXT(B1298,"mmm")</x:f>
        <x:v>Jun</x:v>
      </x:c>
      <x:c r="F1298" t="str">
        <x:f>"Q"&amp;ROUNDUP(D1298/3,0)</x:f>
        <x:v>Q2</x:v>
      </x:c>
      <x:c r="G1298" s="23" t="n">
        <x:v>80</x:v>
      </x:c>
      <x:c r="H1298" s="23" t="n">
        <x:v>76</x:v>
      </x:c>
      <x:c r="I1298" s="23" t="n">
        <x:v>78</x:v>
      </x:c>
      <x:c r="J1298" s="23" t="n">
        <x:f>G1298-H1298</x:f>
        <x:v>4</x:v>
      </x:c>
      <x:c r="K1298" t="str">
        <x:v>OBSERVED</x:v>
      </x:c>
      <x:c r="L1298" s="24" t="n">
        <x:v>17.3871</x:v>
      </x:c>
      <x:c r="M1298" s="24" t="n">
        <x:v>78.4916</x:v>
      </x:c>
      <x:c r="N1298" t="str">
        <x:f>IF(I1298&gt;70,"70+ dB",IF(I1298&gt;55,"56-70 dB","41-55 dB"))</x:f>
        <x:v>70+ dB</x:v>
      </x:c>
      <x:c r="O1298" t="str">
        <x:f>IF(I1298&gt;70,"High",IF(I1298&gt;55,"Moderate","Low"))</x:f>
        <x:v>High</x:v>
      </x:c>
      <x:c r="P1298" t="str">
        <x:f>IF(I1298&gt;=70,"Yes","No")</x:f>
        <x:v>Yes</x:v>
      </x:c>
      <x:c r="Q1298" t="str">
        <x:f>TEXT(B1298,"yyyy-mm")</x:f>
        <x:v>2015-06</x:v>
      </x:c>
    </x:row>
    <x:row r="1299">
      <x:c r="A1299" t="str">
        <x:v>HYD09</x:v>
      </x:c>
      <x:c r="B1299" s="22" t="n">
        <x:f>DATE(C1299,D1299,1)</x:f>
        <x:v>42186</x:v>
      </x:c>
      <x:c r="C1299" t="n">
        <x:v>2015</x:v>
      </x:c>
      <x:c r="D1299" t="n">
        <x:v>7</x:v>
      </x:c>
      <x:c r="E1299" t="str">
        <x:f>TEXT(B1299,"mmm")</x:f>
        <x:v>Jul</x:v>
      </x:c>
      <x:c r="F1299" t="str">
        <x:f>"Q"&amp;ROUNDUP(D1299/3,0)</x:f>
        <x:v>Q3</x:v>
      </x:c>
      <x:c r="G1299" s="23" t="n">
        <x:v>79</x:v>
      </x:c>
      <x:c r="H1299" s="23" t="n">
        <x:v>75</x:v>
      </x:c>
      <x:c r="I1299" s="23" t="n">
        <x:v>77</x:v>
      </x:c>
      <x:c r="J1299" s="23" t="n">
        <x:f>G1299-H1299</x:f>
        <x:v>4</x:v>
      </x:c>
      <x:c r="K1299" t="str">
        <x:v>OBSERVED</x:v>
      </x:c>
      <x:c r="L1299" s="24" t="n">
        <x:v>17.3871</x:v>
      </x:c>
      <x:c r="M1299" s="24" t="n">
        <x:v>78.4916</x:v>
      </x:c>
      <x:c r="N1299" t="str">
        <x:f>IF(I1299&gt;70,"70+ dB",IF(I1299&gt;55,"56-70 dB","41-55 dB"))</x:f>
        <x:v>70+ dB</x:v>
      </x:c>
      <x:c r="O1299" t="str">
        <x:f>IF(I1299&gt;70,"High",IF(I1299&gt;55,"Moderate","Low"))</x:f>
        <x:v>High</x:v>
      </x:c>
      <x:c r="P1299" t="str">
        <x:f>IF(I1299&gt;=70,"Yes","No")</x:f>
        <x:v>Yes</x:v>
      </x:c>
      <x:c r="Q1299" t="str">
        <x:f>TEXT(B1299,"yyyy-mm")</x:f>
        <x:v>2015-07</x:v>
      </x:c>
    </x:row>
    <x:row r="1300">
      <x:c r="A1300" t="str">
        <x:v>HYD09</x:v>
      </x:c>
      <x:c r="B1300" s="22" t="n">
        <x:f>DATE(C1300,D1300,1)</x:f>
        <x:v>42217</x:v>
      </x:c>
      <x:c r="C1300" t="n">
        <x:v>2015</x:v>
      </x:c>
      <x:c r="D1300" t="n">
        <x:v>8</x:v>
      </x:c>
      <x:c r="E1300" t="str">
        <x:f>TEXT(B1300,"mmm")</x:f>
        <x:v>Aug</x:v>
      </x:c>
      <x:c r="F1300" t="str">
        <x:f>"Q"&amp;ROUNDUP(D1300/3,0)</x:f>
        <x:v>Q3</x:v>
      </x:c>
      <x:c r="G1300" s="23" t="n">
        <x:v>80</x:v>
      </x:c>
      <x:c r="H1300" s="23" t="n">
        <x:v>76</x:v>
      </x:c>
      <x:c r="I1300" s="23" t="n">
        <x:v>78</x:v>
      </x:c>
      <x:c r="J1300" s="23" t="n">
        <x:f>G1300-H1300</x:f>
        <x:v>4</x:v>
      </x:c>
      <x:c r="K1300" t="str">
        <x:v>OBSERVED</x:v>
      </x:c>
      <x:c r="L1300" s="24" t="n">
        <x:v>17.3871</x:v>
      </x:c>
      <x:c r="M1300" s="24" t="n">
        <x:v>78.4916</x:v>
      </x:c>
      <x:c r="N1300" t="str">
        <x:f>IF(I1300&gt;70,"70+ dB",IF(I1300&gt;55,"56-70 dB","41-55 dB"))</x:f>
        <x:v>70+ dB</x:v>
      </x:c>
      <x:c r="O1300" t="str">
        <x:f>IF(I1300&gt;70,"High",IF(I1300&gt;55,"Moderate","Low"))</x:f>
        <x:v>High</x:v>
      </x:c>
      <x:c r="P1300" t="str">
        <x:f>IF(I1300&gt;=70,"Yes","No")</x:f>
        <x:v>Yes</x:v>
      </x:c>
      <x:c r="Q1300" t="str">
        <x:f>TEXT(B1300,"yyyy-mm")</x:f>
        <x:v>2015-08</x:v>
      </x:c>
    </x:row>
    <x:row r="1301">
      <x:c r="A1301" t="str">
        <x:v>HYD09</x:v>
      </x:c>
      <x:c r="B1301" s="22" t="n">
        <x:f>DATE(C1301,D1301,1)</x:f>
        <x:v>42248</x:v>
      </x:c>
      <x:c r="C1301" t="n">
        <x:v>2015</x:v>
      </x:c>
      <x:c r="D1301" t="n">
        <x:v>9</x:v>
      </x:c>
      <x:c r="E1301" t="str">
        <x:f>TEXT(B1301,"mmm")</x:f>
        <x:v>Sep</x:v>
      </x:c>
      <x:c r="F1301" t="str">
        <x:f>"Q"&amp;ROUNDUP(D1301/3,0)</x:f>
        <x:v>Q3</x:v>
      </x:c>
      <x:c r="G1301" s="23" t="n">
        <x:v>80</x:v>
      </x:c>
      <x:c r="H1301" s="23" t="n">
        <x:v>75</x:v>
      </x:c>
      <x:c r="I1301" s="23" t="n">
        <x:v>77.5</x:v>
      </x:c>
      <x:c r="J1301" s="23" t="n">
        <x:f>G1301-H1301</x:f>
        <x:v>5</x:v>
      </x:c>
      <x:c r="K1301" t="str">
        <x:v>OBSERVED</x:v>
      </x:c>
      <x:c r="L1301" s="24" t="n">
        <x:v>17.3871</x:v>
      </x:c>
      <x:c r="M1301" s="24" t="n">
        <x:v>78.4916</x:v>
      </x:c>
      <x:c r="N1301" t="str">
        <x:f>IF(I1301&gt;70,"70+ dB",IF(I1301&gt;55,"56-70 dB","41-55 dB"))</x:f>
        <x:v>70+ dB</x:v>
      </x:c>
      <x:c r="O1301" t="str">
        <x:f>IF(I1301&gt;70,"High",IF(I1301&gt;55,"Moderate","Low"))</x:f>
        <x:v>High</x:v>
      </x:c>
      <x:c r="P1301" t="str">
        <x:f>IF(I1301&gt;=70,"Yes","No")</x:f>
        <x:v>Yes</x:v>
      </x:c>
      <x:c r="Q1301" t="str">
        <x:f>TEXT(B1301,"yyyy-mm")</x:f>
        <x:v>2015-09</x:v>
      </x:c>
    </x:row>
    <x:row r="1302">
      <x:c r="A1302" t="str">
        <x:v>HYD09</x:v>
      </x:c>
      <x:c r="B1302" s="22" t="n">
        <x:f>DATE(C1302,D1302,1)</x:f>
        <x:v>42278</x:v>
      </x:c>
      <x:c r="C1302" t="n">
        <x:v>2015</x:v>
      </x:c>
      <x:c r="D1302" t="n">
        <x:v>10</x:v>
      </x:c>
      <x:c r="E1302" t="str">
        <x:f>TEXT(B1302,"mmm")</x:f>
        <x:v>Oct</x:v>
      </x:c>
      <x:c r="F1302" t="str">
        <x:f>"Q"&amp;ROUNDUP(D1302/3,0)</x:f>
        <x:v>Q4</x:v>
      </x:c>
      <x:c r="G1302" s="23" t="n">
        <x:v>79</x:v>
      </x:c>
      <x:c r="H1302" s="23" t="n">
        <x:v>76</x:v>
      </x:c>
      <x:c r="I1302" s="23" t="n">
        <x:v>77.5</x:v>
      </x:c>
      <x:c r="J1302" s="23" t="n">
        <x:f>G1302-H1302</x:f>
        <x:v>3</x:v>
      </x:c>
      <x:c r="K1302" t="str">
        <x:v>OBSERVED</x:v>
      </x:c>
      <x:c r="L1302" s="24" t="n">
        <x:v>17.3871</x:v>
      </x:c>
      <x:c r="M1302" s="24" t="n">
        <x:v>78.4916</x:v>
      </x:c>
      <x:c r="N1302" t="str">
        <x:f>IF(I1302&gt;70,"70+ dB",IF(I1302&gt;55,"56-70 dB","41-55 dB"))</x:f>
        <x:v>70+ dB</x:v>
      </x:c>
      <x:c r="O1302" t="str">
        <x:f>IF(I1302&gt;70,"High",IF(I1302&gt;55,"Moderate","Low"))</x:f>
        <x:v>High</x:v>
      </x:c>
      <x:c r="P1302" t="str">
        <x:f>IF(I1302&gt;=70,"Yes","No")</x:f>
        <x:v>Yes</x:v>
      </x:c>
      <x:c r="Q1302" t="str">
        <x:f>TEXT(B1302,"yyyy-mm")</x:f>
        <x:v>2015-10</x:v>
      </x:c>
    </x:row>
    <x:row r="1303">
      <x:c r="A1303" t="str">
        <x:v>HYD09</x:v>
      </x:c>
      <x:c r="B1303" s="22" t="n">
        <x:f>DATE(C1303,D1303,1)</x:f>
        <x:v>42309</x:v>
      </x:c>
      <x:c r="C1303" t="n">
        <x:v>2015</x:v>
      </x:c>
      <x:c r="D1303" t="n">
        <x:v>11</x:v>
      </x:c>
      <x:c r="E1303" t="str">
        <x:f>TEXT(B1303,"mmm")</x:f>
        <x:v>Nov</x:v>
      </x:c>
      <x:c r="F1303" t="str">
        <x:f>"Q"&amp;ROUNDUP(D1303/3,0)</x:f>
        <x:v>Q4</x:v>
      </x:c>
      <x:c r="G1303" s="23" t="n">
        <x:v>79</x:v>
      </x:c>
      <x:c r="H1303" s="23" t="n">
        <x:v>75</x:v>
      </x:c>
      <x:c r="I1303" s="23" t="n">
        <x:v>77</x:v>
      </x:c>
      <x:c r="J1303" s="23" t="n">
        <x:f>G1303-H1303</x:f>
        <x:v>4</x:v>
      </x:c>
      <x:c r="K1303" t="str">
        <x:v>OBSERVED</x:v>
      </x:c>
      <x:c r="L1303" s="24" t="n">
        <x:v>17.3871</x:v>
      </x:c>
      <x:c r="M1303" s="24" t="n">
        <x:v>78.4916</x:v>
      </x:c>
      <x:c r="N1303" t="str">
        <x:f>IF(I1303&gt;70,"70+ dB",IF(I1303&gt;55,"56-70 dB","41-55 dB"))</x:f>
        <x:v>70+ dB</x:v>
      </x:c>
      <x:c r="O1303" t="str">
        <x:f>IF(I1303&gt;70,"High",IF(I1303&gt;55,"Moderate","Low"))</x:f>
        <x:v>High</x:v>
      </x:c>
      <x:c r="P1303" t="str">
        <x:f>IF(I1303&gt;=70,"Yes","No")</x:f>
        <x:v>Yes</x:v>
      </x:c>
      <x:c r="Q1303" t="str">
        <x:f>TEXT(B1303,"yyyy-mm")</x:f>
        <x:v>2015-11</x:v>
      </x:c>
    </x:row>
    <x:row r="1304">
      <x:c r="A1304" t="str">
        <x:v>HYD09</x:v>
      </x:c>
      <x:c r="B1304" s="22" t="n">
        <x:f>DATE(C1304,D1304,1)</x:f>
        <x:v>42339</x:v>
      </x:c>
      <x:c r="C1304" t="n">
        <x:v>2015</x:v>
      </x:c>
      <x:c r="D1304" t="n">
        <x:v>12</x:v>
      </x:c>
      <x:c r="E1304" t="str">
        <x:f>TEXT(B1304,"mmm")</x:f>
        <x:v>Dec</x:v>
      </x:c>
      <x:c r="F1304" t="str">
        <x:f>"Q"&amp;ROUNDUP(D1304/3,0)</x:f>
        <x:v>Q4</x:v>
      </x:c>
      <x:c r="G1304" s="23" t="n">
        <x:v>80</x:v>
      </x:c>
      <x:c r="H1304" s="23" t="n">
        <x:v>75</x:v>
      </x:c>
      <x:c r="I1304" s="23" t="n">
        <x:v>77.5</x:v>
      </x:c>
      <x:c r="J1304" s="23" t="n">
        <x:f>G1304-H1304</x:f>
        <x:v>5</x:v>
      </x:c>
      <x:c r="K1304" t="str">
        <x:v>OBSERVED</x:v>
      </x:c>
      <x:c r="L1304" s="24" t="n">
        <x:v>17.3871</x:v>
      </x:c>
      <x:c r="M1304" s="24" t="n">
        <x:v>78.4916</x:v>
      </x:c>
      <x:c r="N1304" t="str">
        <x:f>IF(I1304&gt;70,"70+ dB",IF(I1304&gt;55,"56-70 dB","41-55 dB"))</x:f>
        <x:v>70+ dB</x:v>
      </x:c>
      <x:c r="O1304" t="str">
        <x:f>IF(I1304&gt;70,"High",IF(I1304&gt;55,"Moderate","Low"))</x:f>
        <x:v>High</x:v>
      </x:c>
      <x:c r="P1304" t="str">
        <x:f>IF(I1304&gt;=70,"Yes","No")</x:f>
        <x:v>Yes</x:v>
      </x:c>
      <x:c r="Q1304" t="str">
        <x:f>TEXT(B1304,"yyyy-mm")</x:f>
        <x:v>2015-12</x:v>
      </x:c>
    </x:row>
    <x:row r="1305">
      <x:c r="A1305" t="str">
        <x:v>HYD09</x:v>
      </x:c>
      <x:c r="B1305" s="22" t="n">
        <x:f>DATE(C1305,D1305,1)</x:f>
        <x:v>42370</x:v>
      </x:c>
      <x:c r="C1305" t="n">
        <x:v>2016</x:v>
      </x:c>
      <x:c r="D1305" t="n">
        <x:v>1</x:v>
      </x:c>
      <x:c r="E1305" t="str">
        <x:f>TEXT(B1305,"mmm")</x:f>
        <x:v>Jan</x:v>
      </x:c>
      <x:c r="F1305" t="str">
        <x:f>"Q"&amp;ROUNDUP(D1305/3,0)</x:f>
        <x:v>Q1</x:v>
      </x:c>
      <x:c r="G1305" s="23" t="n">
        <x:v>79</x:v>
      </x:c>
      <x:c r="H1305" s="23" t="n">
        <x:v>75</x:v>
      </x:c>
      <x:c r="I1305" s="23" t="n">
        <x:v>77</x:v>
      </x:c>
      <x:c r="J1305" s="23" t="n">
        <x:f>G1305-H1305</x:f>
        <x:v>4</x:v>
      </x:c>
      <x:c r="K1305" t="str">
        <x:v>OBSERVED</x:v>
      </x:c>
      <x:c r="L1305" s="24" t="n">
        <x:v>17.3871</x:v>
      </x:c>
      <x:c r="M1305" s="24" t="n">
        <x:v>78.4916</x:v>
      </x:c>
      <x:c r="N1305" t="str">
        <x:f>IF(I1305&gt;70,"70+ dB",IF(I1305&gt;55,"56-70 dB","41-55 dB"))</x:f>
        <x:v>70+ dB</x:v>
      </x:c>
      <x:c r="O1305" t="str">
        <x:f>IF(I1305&gt;70,"High",IF(I1305&gt;55,"Moderate","Low"))</x:f>
        <x:v>High</x:v>
      </x:c>
      <x:c r="P1305" t="str">
        <x:f>IF(I1305&gt;=70,"Yes","No")</x:f>
        <x:v>Yes</x:v>
      </x:c>
      <x:c r="Q1305" t="str">
        <x:f>TEXT(B1305,"yyyy-mm")</x:f>
        <x:v>2016-01</x:v>
      </x:c>
    </x:row>
    <x:row r="1306">
      <x:c r="A1306" t="str">
        <x:v>HYD09</x:v>
      </x:c>
      <x:c r="B1306" s="22" t="n">
        <x:f>DATE(C1306,D1306,1)</x:f>
        <x:v>42401</x:v>
      </x:c>
      <x:c r="C1306" t="n">
        <x:v>2016</x:v>
      </x:c>
      <x:c r="D1306" t="n">
        <x:v>2</x:v>
      </x:c>
      <x:c r="E1306" t="str">
        <x:f>TEXT(B1306,"mmm")</x:f>
        <x:v>Feb</x:v>
      </x:c>
      <x:c r="F1306" t="str">
        <x:f>"Q"&amp;ROUNDUP(D1306/3,0)</x:f>
        <x:v>Q1</x:v>
      </x:c>
      <x:c r="G1306" s="23" t="n">
        <x:v>79</x:v>
      </x:c>
      <x:c r="H1306" s="23" t="n">
        <x:v>75</x:v>
      </x:c>
      <x:c r="I1306" s="23" t="n">
        <x:v>77</x:v>
      </x:c>
      <x:c r="J1306" s="23" t="n">
        <x:f>G1306-H1306</x:f>
        <x:v>4</x:v>
      </x:c>
      <x:c r="K1306" t="str">
        <x:v>OBSERVED</x:v>
      </x:c>
      <x:c r="L1306" s="24" t="n">
        <x:v>17.3871</x:v>
      </x:c>
      <x:c r="M1306" s="24" t="n">
        <x:v>78.4916</x:v>
      </x:c>
      <x:c r="N1306" t="str">
        <x:f>IF(I1306&gt;70,"70+ dB",IF(I1306&gt;55,"56-70 dB","41-55 dB"))</x:f>
        <x:v>70+ dB</x:v>
      </x:c>
      <x:c r="O1306" t="str">
        <x:f>IF(I1306&gt;70,"High",IF(I1306&gt;55,"Moderate","Low"))</x:f>
        <x:v>High</x:v>
      </x:c>
      <x:c r="P1306" t="str">
        <x:f>IF(I1306&gt;=70,"Yes","No")</x:f>
        <x:v>Yes</x:v>
      </x:c>
      <x:c r="Q1306" t="str">
        <x:f>TEXT(B1306,"yyyy-mm")</x:f>
        <x:v>2016-02</x:v>
      </x:c>
    </x:row>
    <x:row r="1307">
      <x:c r="A1307" t="str">
        <x:v>HYD09</x:v>
      </x:c>
      <x:c r="B1307" s="22" t="n">
        <x:f>DATE(C1307,D1307,1)</x:f>
        <x:v>42430</x:v>
      </x:c>
      <x:c r="C1307" t="n">
        <x:v>2016</x:v>
      </x:c>
      <x:c r="D1307" t="n">
        <x:v>3</x:v>
      </x:c>
      <x:c r="E1307" t="str">
        <x:f>TEXT(B1307,"mmm")</x:f>
        <x:v>Mar</x:v>
      </x:c>
      <x:c r="F1307" t="str">
        <x:f>"Q"&amp;ROUNDUP(D1307/3,0)</x:f>
        <x:v>Q1</x:v>
      </x:c>
      <x:c r="G1307" s="23" t="n">
        <x:v>79</x:v>
      </x:c>
      <x:c r="H1307" s="23" t="n">
        <x:v>75</x:v>
      </x:c>
      <x:c r="I1307" s="23" t="n">
        <x:v>77</x:v>
      </x:c>
      <x:c r="J1307" s="23" t="n">
        <x:f>G1307-H1307</x:f>
        <x:v>4</x:v>
      </x:c>
      <x:c r="K1307" t="str">
        <x:v>OBSERVED</x:v>
      </x:c>
      <x:c r="L1307" s="24" t="n">
        <x:v>17.3871</x:v>
      </x:c>
      <x:c r="M1307" s="24" t="n">
        <x:v>78.4916</x:v>
      </x:c>
      <x:c r="N1307" t="str">
        <x:f>IF(I1307&gt;70,"70+ dB",IF(I1307&gt;55,"56-70 dB","41-55 dB"))</x:f>
        <x:v>70+ dB</x:v>
      </x:c>
      <x:c r="O1307" t="str">
        <x:f>IF(I1307&gt;70,"High",IF(I1307&gt;55,"Moderate","Low"))</x:f>
        <x:v>High</x:v>
      </x:c>
      <x:c r="P1307" t="str">
        <x:f>IF(I1307&gt;=70,"Yes","No")</x:f>
        <x:v>Yes</x:v>
      </x:c>
      <x:c r="Q1307" t="str">
        <x:f>TEXT(B1307,"yyyy-mm")</x:f>
        <x:v>2016-03</x:v>
      </x:c>
    </x:row>
    <x:row r="1308">
      <x:c r="A1308" t="str">
        <x:v>HYD09</x:v>
      </x:c>
      <x:c r="B1308" s="22" t="n">
        <x:f>DATE(C1308,D1308,1)</x:f>
        <x:v>42461</x:v>
      </x:c>
      <x:c r="C1308" t="n">
        <x:v>2016</x:v>
      </x:c>
      <x:c r="D1308" t="n">
        <x:v>4</x:v>
      </x:c>
      <x:c r="E1308" t="str">
        <x:f>TEXT(B1308,"mmm")</x:f>
        <x:v>Apr</x:v>
      </x:c>
      <x:c r="F1308" t="str">
        <x:f>"Q"&amp;ROUNDUP(D1308/3,0)</x:f>
        <x:v>Q2</x:v>
      </x:c>
      <x:c r="G1308" s="23" t="n">
        <x:v>79</x:v>
      </x:c>
      <x:c r="H1308" s="23" t="n">
        <x:v>75</x:v>
      </x:c>
      <x:c r="I1308" s="23" t="n">
        <x:v>77</x:v>
      </x:c>
      <x:c r="J1308" s="23" t="n">
        <x:f>G1308-H1308</x:f>
        <x:v>4</x:v>
      </x:c>
      <x:c r="K1308" t="str">
        <x:v>OBSERVED</x:v>
      </x:c>
      <x:c r="L1308" s="24" t="n">
        <x:v>17.3871</x:v>
      </x:c>
      <x:c r="M1308" s="24" t="n">
        <x:v>78.4916</x:v>
      </x:c>
      <x:c r="N1308" t="str">
        <x:f>IF(I1308&gt;70,"70+ dB",IF(I1308&gt;55,"56-70 dB","41-55 dB"))</x:f>
        <x:v>70+ dB</x:v>
      </x:c>
      <x:c r="O1308" t="str">
        <x:f>IF(I1308&gt;70,"High",IF(I1308&gt;55,"Moderate","Low"))</x:f>
        <x:v>High</x:v>
      </x:c>
      <x:c r="P1308" t="str">
        <x:f>IF(I1308&gt;=70,"Yes","No")</x:f>
        <x:v>Yes</x:v>
      </x:c>
      <x:c r="Q1308" t="str">
        <x:f>TEXT(B1308,"yyyy-mm")</x:f>
        <x:v>2016-04</x:v>
      </x:c>
    </x:row>
    <x:row r="1309">
      <x:c r="A1309" t="str">
        <x:v>HYD09</x:v>
      </x:c>
      <x:c r="B1309" s="22" t="n">
        <x:f>DATE(C1309,D1309,1)</x:f>
        <x:v>42491</x:v>
      </x:c>
      <x:c r="C1309" t="n">
        <x:v>2016</x:v>
      </x:c>
      <x:c r="D1309" t="n">
        <x:v>5</x:v>
      </x:c>
      <x:c r="E1309" t="str">
        <x:f>TEXT(B1309,"mmm")</x:f>
        <x:v>May</x:v>
      </x:c>
      <x:c r="F1309" t="str">
        <x:f>"Q"&amp;ROUNDUP(D1309/3,0)</x:f>
        <x:v>Q2</x:v>
      </x:c>
      <x:c r="G1309" s="23" t="n">
        <x:v>79</x:v>
      </x:c>
      <x:c r="H1309" s="23" t="n">
        <x:v>75</x:v>
      </x:c>
      <x:c r="I1309" s="23" t="n">
        <x:v>77</x:v>
      </x:c>
      <x:c r="J1309" s="23" t="n">
        <x:f>G1309-H1309</x:f>
        <x:v>4</x:v>
      </x:c>
      <x:c r="K1309" t="str">
        <x:v>OBSERVED</x:v>
      </x:c>
      <x:c r="L1309" s="24" t="n">
        <x:v>17.3871</x:v>
      </x:c>
      <x:c r="M1309" s="24" t="n">
        <x:v>78.4916</x:v>
      </x:c>
      <x:c r="N1309" t="str">
        <x:f>IF(I1309&gt;70,"70+ dB",IF(I1309&gt;55,"56-70 dB","41-55 dB"))</x:f>
        <x:v>70+ dB</x:v>
      </x:c>
      <x:c r="O1309" t="str">
        <x:f>IF(I1309&gt;70,"High",IF(I1309&gt;55,"Moderate","Low"))</x:f>
        <x:v>High</x:v>
      </x:c>
      <x:c r="P1309" t="str">
        <x:f>IF(I1309&gt;=70,"Yes","No")</x:f>
        <x:v>Yes</x:v>
      </x:c>
      <x:c r="Q1309" t="str">
        <x:f>TEXT(B1309,"yyyy-mm")</x:f>
        <x:v>2016-05</x:v>
      </x:c>
    </x:row>
    <x:row r="1310">
      <x:c r="A1310" t="str">
        <x:v>HYD09</x:v>
      </x:c>
      <x:c r="B1310" s="22" t="n">
        <x:f>DATE(C1310,D1310,1)</x:f>
        <x:v>42522</x:v>
      </x:c>
      <x:c r="C1310" t="n">
        <x:v>2016</x:v>
      </x:c>
      <x:c r="D1310" t="n">
        <x:v>6</x:v>
      </x:c>
      <x:c r="E1310" t="str">
        <x:f>TEXT(B1310,"mmm")</x:f>
        <x:v>Jun</x:v>
      </x:c>
      <x:c r="F1310" t="str">
        <x:f>"Q"&amp;ROUNDUP(D1310/3,0)</x:f>
        <x:v>Q2</x:v>
      </x:c>
      <x:c r="G1310" s="23" t="n">
        <x:v>80</x:v>
      </x:c>
      <x:c r="H1310" s="23" t="n">
        <x:v>75</x:v>
      </x:c>
      <x:c r="I1310" s="23" t="n">
        <x:v>77.5</x:v>
      </x:c>
      <x:c r="J1310" s="23" t="n">
        <x:f>G1310-H1310</x:f>
        <x:v>5</x:v>
      </x:c>
      <x:c r="K1310" t="str">
        <x:v>OBSERVED</x:v>
      </x:c>
      <x:c r="L1310" s="24" t="n">
        <x:v>17.3871</x:v>
      </x:c>
      <x:c r="M1310" s="24" t="n">
        <x:v>78.4916</x:v>
      </x:c>
      <x:c r="N1310" t="str">
        <x:f>IF(I1310&gt;70,"70+ dB",IF(I1310&gt;55,"56-70 dB","41-55 dB"))</x:f>
        <x:v>70+ dB</x:v>
      </x:c>
      <x:c r="O1310" t="str">
        <x:f>IF(I1310&gt;70,"High",IF(I1310&gt;55,"Moderate","Low"))</x:f>
        <x:v>High</x:v>
      </x:c>
      <x:c r="P1310" t="str">
        <x:f>IF(I1310&gt;=70,"Yes","No")</x:f>
        <x:v>Yes</x:v>
      </x:c>
      <x:c r="Q1310" t="str">
        <x:f>TEXT(B1310,"yyyy-mm")</x:f>
        <x:v>2016-06</x:v>
      </x:c>
    </x:row>
    <x:row r="1311">
      <x:c r="A1311" t="str">
        <x:v>HYD09</x:v>
      </x:c>
      <x:c r="B1311" s="22" t="n">
        <x:f>DATE(C1311,D1311,1)</x:f>
        <x:v>42552</x:v>
      </x:c>
      <x:c r="C1311" t="n">
        <x:v>2016</x:v>
      </x:c>
      <x:c r="D1311" t="n">
        <x:v>7</x:v>
      </x:c>
      <x:c r="E1311" t="str">
        <x:f>TEXT(B1311,"mmm")</x:f>
        <x:v>Jul</x:v>
      </x:c>
      <x:c r="F1311" t="str">
        <x:f>"Q"&amp;ROUNDUP(D1311/3,0)</x:f>
        <x:v>Q3</x:v>
      </x:c>
      <x:c r="G1311" s="23" t="n">
        <x:v>81</x:v>
      </x:c>
      <x:c r="H1311" s="23" t="n">
        <x:v>76</x:v>
      </x:c>
      <x:c r="I1311" s="23" t="n">
        <x:v>78.5</x:v>
      </x:c>
      <x:c r="J1311" s="23" t="n">
        <x:f>G1311-H1311</x:f>
        <x:v>5</x:v>
      </x:c>
      <x:c r="K1311" t="str">
        <x:v>OBSERVED</x:v>
      </x:c>
      <x:c r="L1311" s="24" t="n">
        <x:v>17.3871</x:v>
      </x:c>
      <x:c r="M1311" s="24" t="n">
        <x:v>78.4916</x:v>
      </x:c>
      <x:c r="N1311" t="str">
        <x:f>IF(I1311&gt;70,"70+ dB",IF(I1311&gt;55,"56-70 dB","41-55 dB"))</x:f>
        <x:v>70+ dB</x:v>
      </x:c>
      <x:c r="O1311" t="str">
        <x:f>IF(I1311&gt;70,"High",IF(I1311&gt;55,"Moderate","Low"))</x:f>
        <x:v>High</x:v>
      </x:c>
      <x:c r="P1311" t="str">
        <x:f>IF(I1311&gt;=70,"Yes","No")</x:f>
        <x:v>Yes</x:v>
      </x:c>
      <x:c r="Q1311" t="str">
        <x:f>TEXT(B1311,"yyyy-mm")</x:f>
        <x:v>2016-07</x:v>
      </x:c>
    </x:row>
    <x:row r="1312">
      <x:c r="A1312" t="str">
        <x:v>HYD09</x:v>
      </x:c>
      <x:c r="B1312" s="22" t="n">
        <x:f>DATE(C1312,D1312,1)</x:f>
        <x:v>42583</x:v>
      </x:c>
      <x:c r="C1312" t="n">
        <x:v>2016</x:v>
      </x:c>
      <x:c r="D1312" t="n">
        <x:v>8</x:v>
      </x:c>
      <x:c r="E1312" t="str">
        <x:f>TEXT(B1312,"mmm")</x:f>
        <x:v>Aug</x:v>
      </x:c>
      <x:c r="F1312" t="str">
        <x:f>"Q"&amp;ROUNDUP(D1312/3,0)</x:f>
        <x:v>Q3</x:v>
      </x:c>
      <x:c r="G1312" s="23" t="n">
        <x:v>81</x:v>
      </x:c>
      <x:c r="H1312" s="23" t="n">
        <x:v>76</x:v>
      </x:c>
      <x:c r="I1312" s="23" t="n">
        <x:v>78.5</x:v>
      </x:c>
      <x:c r="J1312" s="23" t="n">
        <x:f>G1312-H1312</x:f>
        <x:v>5</x:v>
      </x:c>
      <x:c r="K1312" t="str">
        <x:v>OBSERVED</x:v>
      </x:c>
      <x:c r="L1312" s="24" t="n">
        <x:v>17.3871</x:v>
      </x:c>
      <x:c r="M1312" s="24" t="n">
        <x:v>78.4916</x:v>
      </x:c>
      <x:c r="N1312" t="str">
        <x:f>IF(I1312&gt;70,"70+ dB",IF(I1312&gt;55,"56-70 dB","41-55 dB"))</x:f>
        <x:v>70+ dB</x:v>
      </x:c>
      <x:c r="O1312" t="str">
        <x:f>IF(I1312&gt;70,"High",IF(I1312&gt;55,"Moderate","Low"))</x:f>
        <x:v>High</x:v>
      </x:c>
      <x:c r="P1312" t="str">
        <x:f>IF(I1312&gt;=70,"Yes","No")</x:f>
        <x:v>Yes</x:v>
      </x:c>
      <x:c r="Q1312" t="str">
        <x:f>TEXT(B1312,"yyyy-mm")</x:f>
        <x:v>2016-08</x:v>
      </x:c>
    </x:row>
    <x:row r="1313">
      <x:c r="A1313" t="str">
        <x:v>HYD09</x:v>
      </x:c>
      <x:c r="B1313" s="22" t="n">
        <x:f>DATE(C1313,D1313,1)</x:f>
        <x:v>42614</x:v>
      </x:c>
      <x:c r="C1313" t="n">
        <x:v>2016</x:v>
      </x:c>
      <x:c r="D1313" t="n">
        <x:v>9</x:v>
      </x:c>
      <x:c r="E1313" t="str">
        <x:f>TEXT(B1313,"mmm")</x:f>
        <x:v>Sep</x:v>
      </x:c>
      <x:c r="F1313" t="str">
        <x:f>"Q"&amp;ROUNDUP(D1313/3,0)</x:f>
        <x:v>Q3</x:v>
      </x:c>
      <x:c r="G1313" s="23" t="n">
        <x:v>75</x:v>
      </x:c>
      <x:c r="H1313" s="23" t="n">
        <x:v>71</x:v>
      </x:c>
      <x:c r="I1313" s="23" t="n">
        <x:v>73</x:v>
      </x:c>
      <x:c r="J1313" s="23" t="n">
        <x:f>G1313-H1313</x:f>
        <x:v>4</x:v>
      </x:c>
      <x:c r="K1313" t="str">
        <x:v>OBSERVED</x:v>
      </x:c>
      <x:c r="L1313" s="24" t="n">
        <x:v>17.3871</x:v>
      </x:c>
      <x:c r="M1313" s="24" t="n">
        <x:v>78.4916</x:v>
      </x:c>
      <x:c r="N1313" t="str">
        <x:f>IF(I1313&gt;70,"70+ dB",IF(I1313&gt;55,"56-70 dB","41-55 dB"))</x:f>
        <x:v>70+ dB</x:v>
      </x:c>
      <x:c r="O1313" t="str">
        <x:f>IF(I1313&gt;70,"High",IF(I1313&gt;55,"Moderate","Low"))</x:f>
        <x:v>High</x:v>
      </x:c>
      <x:c r="P1313" t="str">
        <x:f>IF(I1313&gt;=70,"Yes","No")</x:f>
        <x:v>Yes</x:v>
      </x:c>
      <x:c r="Q1313" t="str">
        <x:f>TEXT(B1313,"yyyy-mm")</x:f>
        <x:v>2016-09</x:v>
      </x:c>
    </x:row>
    <x:row r="1314">
      <x:c r="A1314" t="str">
        <x:v>HYD09</x:v>
      </x:c>
      <x:c r="B1314" s="22" t="n">
        <x:f>DATE(C1314,D1314,1)</x:f>
        <x:v>42644</x:v>
      </x:c>
      <x:c r="C1314" t="n">
        <x:v>2016</x:v>
      </x:c>
      <x:c r="D1314" t="n">
        <x:v>10</x:v>
      </x:c>
      <x:c r="E1314" t="str">
        <x:f>TEXT(B1314,"mmm")</x:f>
        <x:v>Oct</x:v>
      </x:c>
      <x:c r="F1314" t="str">
        <x:f>"Q"&amp;ROUNDUP(D1314/3,0)</x:f>
        <x:v>Q4</x:v>
      </x:c>
      <x:c r="G1314" s="23" t="n">
        <x:v>75</x:v>
      </x:c>
      <x:c r="H1314" s="23" t="n">
        <x:v>72</x:v>
      </x:c>
      <x:c r="I1314" s="23" t="n">
        <x:v>73.5</x:v>
      </x:c>
      <x:c r="J1314" s="23" t="n">
        <x:f>G1314-H1314</x:f>
        <x:v>3</x:v>
      </x:c>
      <x:c r="K1314" t="str">
        <x:v>OBSERVED</x:v>
      </x:c>
      <x:c r="L1314" s="24" t="n">
        <x:v>17.3871</x:v>
      </x:c>
      <x:c r="M1314" s="24" t="n">
        <x:v>78.4916</x:v>
      </x:c>
      <x:c r="N1314" t="str">
        <x:f>IF(I1314&gt;70,"70+ dB",IF(I1314&gt;55,"56-70 dB","41-55 dB"))</x:f>
        <x:v>70+ dB</x:v>
      </x:c>
      <x:c r="O1314" t="str">
        <x:f>IF(I1314&gt;70,"High",IF(I1314&gt;55,"Moderate","Low"))</x:f>
        <x:v>High</x:v>
      </x:c>
      <x:c r="P1314" t="str">
        <x:f>IF(I1314&gt;=70,"Yes","No")</x:f>
        <x:v>Yes</x:v>
      </x:c>
      <x:c r="Q1314" t="str">
        <x:f>TEXT(B1314,"yyyy-mm")</x:f>
        <x:v>2016-10</x:v>
      </x:c>
    </x:row>
    <x:row r="1315">
      <x:c r="A1315" t="str">
        <x:v>HYD09</x:v>
      </x:c>
      <x:c r="B1315" s="22" t="n">
        <x:f>DATE(C1315,D1315,1)</x:f>
        <x:v>42675</x:v>
      </x:c>
      <x:c r="C1315" t="n">
        <x:v>2016</x:v>
      </x:c>
      <x:c r="D1315" t="n">
        <x:v>11</x:v>
      </x:c>
      <x:c r="E1315" t="str">
        <x:f>TEXT(B1315,"mmm")</x:f>
        <x:v>Nov</x:v>
      </x:c>
      <x:c r="F1315" t="str">
        <x:f>"Q"&amp;ROUNDUP(D1315/3,0)</x:f>
        <x:v>Q4</x:v>
      </x:c>
      <x:c r="G1315" s="23" t="n">
        <x:v>72</x:v>
      </x:c>
      <x:c r="H1315" s="23" t="n">
        <x:v>72</x:v>
      </x:c>
      <x:c r="I1315" s="23" t="n">
        <x:v>72</x:v>
      </x:c>
      <x:c r="J1315" s="23" t="n">
        <x:f>G1315-H1315</x:f>
        <x:v>0</x:v>
      </x:c>
      <x:c r="K1315" t="str">
        <x:v>OBSERVED</x:v>
      </x:c>
      <x:c r="L1315" s="24" t="n">
        <x:v>17.3871</x:v>
      </x:c>
      <x:c r="M1315" s="24" t="n">
        <x:v>78.4916</x:v>
      </x:c>
      <x:c r="N1315" t="str">
        <x:f>IF(I1315&gt;70,"70+ dB",IF(I1315&gt;55,"56-70 dB","41-55 dB"))</x:f>
        <x:v>70+ dB</x:v>
      </x:c>
      <x:c r="O1315" t="str">
        <x:f>IF(I1315&gt;70,"High",IF(I1315&gt;55,"Moderate","Low"))</x:f>
        <x:v>High</x:v>
      </x:c>
      <x:c r="P1315" t="str">
        <x:f>IF(I1315&gt;=70,"Yes","No")</x:f>
        <x:v>Yes</x:v>
      </x:c>
      <x:c r="Q1315" t="str">
        <x:f>TEXT(B1315,"yyyy-mm")</x:f>
        <x:v>2016-11</x:v>
      </x:c>
    </x:row>
    <x:row r="1316">
      <x:c r="A1316" t="str">
        <x:v>HYD09</x:v>
      </x:c>
      <x:c r="B1316" s="22" t="n">
        <x:f>DATE(C1316,D1316,1)</x:f>
        <x:v>42705</x:v>
      </x:c>
      <x:c r="C1316" t="n">
        <x:v>2016</x:v>
      </x:c>
      <x:c r="D1316" t="n">
        <x:v>12</x:v>
      </x:c>
      <x:c r="E1316" t="str">
        <x:f>TEXT(B1316,"mmm")</x:f>
        <x:v>Dec</x:v>
      </x:c>
      <x:c r="F1316" t="str">
        <x:f>"Q"&amp;ROUNDUP(D1316/3,0)</x:f>
        <x:v>Q4</x:v>
      </x:c>
      <x:c r="G1316" s="23" t="n">
        <x:v>73</x:v>
      </x:c>
      <x:c r="H1316" s="23" t="n">
        <x:v>72</x:v>
      </x:c>
      <x:c r="I1316" s="23" t="n">
        <x:v>72.5</x:v>
      </x:c>
      <x:c r="J1316" s="23" t="n">
        <x:f>G1316-H1316</x:f>
        <x:v>1</x:v>
      </x:c>
      <x:c r="K1316" t="str">
        <x:v>OBSERVED</x:v>
      </x:c>
      <x:c r="L1316" s="24" t="n">
        <x:v>17.3871</x:v>
      </x:c>
      <x:c r="M1316" s="24" t="n">
        <x:v>78.4916</x:v>
      </x:c>
      <x:c r="N1316" t="str">
        <x:f>IF(I1316&gt;70,"70+ dB",IF(I1316&gt;55,"56-70 dB","41-55 dB"))</x:f>
        <x:v>70+ dB</x:v>
      </x:c>
      <x:c r="O1316" t="str">
        <x:f>IF(I1316&gt;70,"High",IF(I1316&gt;55,"Moderate","Low"))</x:f>
        <x:v>High</x:v>
      </x:c>
      <x:c r="P1316" t="str">
        <x:f>IF(I1316&gt;=70,"Yes","No")</x:f>
        <x:v>Yes</x:v>
      </x:c>
      <x:c r="Q1316" t="str">
        <x:f>TEXT(B1316,"yyyy-mm")</x:f>
        <x:v>2016-12</x:v>
      </x:c>
    </x:row>
    <x:row r="1317">
      <x:c r="A1317" t="str">
        <x:v>HYD09</x:v>
      </x:c>
      <x:c r="B1317" s="22" t="n">
        <x:f>DATE(C1317,D1317,1)</x:f>
        <x:v>42736</x:v>
      </x:c>
      <x:c r="C1317" t="n">
        <x:v>2017</x:v>
      </x:c>
      <x:c r="D1317" t="n">
        <x:v>1</x:v>
      </x:c>
      <x:c r="E1317" t="str">
        <x:f>TEXT(B1317,"mmm")</x:f>
        <x:v>Jan</x:v>
      </x:c>
      <x:c r="F1317" t="str">
        <x:f>"Q"&amp;ROUNDUP(D1317/3,0)</x:f>
        <x:v>Q1</x:v>
      </x:c>
      <x:c r="G1317" s="23" t="n">
        <x:v>72</x:v>
      </x:c>
      <x:c r="H1317" s="23" t="n">
        <x:v>72</x:v>
      </x:c>
      <x:c r="I1317" s="23" t="n">
        <x:v>72</x:v>
      </x:c>
      <x:c r="J1317" s="23" t="n">
        <x:f>G1317-H1317</x:f>
        <x:v>0</x:v>
      </x:c>
      <x:c r="K1317" t="str">
        <x:v>OBSERVED</x:v>
      </x:c>
      <x:c r="L1317" s="24" t="n">
        <x:v>17.3871</x:v>
      </x:c>
      <x:c r="M1317" s="24" t="n">
        <x:v>78.4916</x:v>
      </x:c>
      <x:c r="N1317" t="str">
        <x:f>IF(I1317&gt;70,"70+ dB",IF(I1317&gt;55,"56-70 dB","41-55 dB"))</x:f>
        <x:v>70+ dB</x:v>
      </x:c>
      <x:c r="O1317" t="str">
        <x:f>IF(I1317&gt;70,"High",IF(I1317&gt;55,"Moderate","Low"))</x:f>
        <x:v>High</x:v>
      </x:c>
      <x:c r="P1317" t="str">
        <x:f>IF(I1317&gt;=70,"Yes","No")</x:f>
        <x:v>Yes</x:v>
      </x:c>
      <x:c r="Q1317" t="str">
        <x:f>TEXT(B1317,"yyyy-mm")</x:f>
        <x:v>2017-01</x:v>
      </x:c>
    </x:row>
    <x:row r="1318">
      <x:c r="A1318" t="str">
        <x:v>HYD09</x:v>
      </x:c>
      <x:c r="B1318" s="22" t="n">
        <x:f>DATE(C1318,D1318,1)</x:f>
        <x:v>42767</x:v>
      </x:c>
      <x:c r="C1318" t="n">
        <x:v>2017</x:v>
      </x:c>
      <x:c r="D1318" t="n">
        <x:v>2</x:v>
      </x:c>
      <x:c r="E1318" t="str">
        <x:f>TEXT(B1318,"mmm")</x:f>
        <x:v>Feb</x:v>
      </x:c>
      <x:c r="F1318" t="str">
        <x:f>"Q"&amp;ROUNDUP(D1318/3,0)</x:f>
        <x:v>Q1</x:v>
      </x:c>
      <x:c r="G1318" s="23" t="n">
        <x:v>73</x:v>
      </x:c>
      <x:c r="H1318" s="23" t="n">
        <x:v>72</x:v>
      </x:c>
      <x:c r="I1318" s="23" t="n">
        <x:v>72.5</x:v>
      </x:c>
      <x:c r="J1318" s="23" t="n">
        <x:f>G1318-H1318</x:f>
        <x:v>1</x:v>
      </x:c>
      <x:c r="K1318" t="str">
        <x:v>OBSERVED</x:v>
      </x:c>
      <x:c r="L1318" s="24" t="n">
        <x:v>17.3871</x:v>
      </x:c>
      <x:c r="M1318" s="24" t="n">
        <x:v>78.4916</x:v>
      </x:c>
      <x:c r="N1318" t="str">
        <x:f>IF(I1318&gt;70,"70+ dB",IF(I1318&gt;55,"56-70 dB","41-55 dB"))</x:f>
        <x:v>70+ dB</x:v>
      </x:c>
      <x:c r="O1318" t="str">
        <x:f>IF(I1318&gt;70,"High",IF(I1318&gt;55,"Moderate","Low"))</x:f>
        <x:v>High</x:v>
      </x:c>
      <x:c r="P1318" t="str">
        <x:f>IF(I1318&gt;=70,"Yes","No")</x:f>
        <x:v>Yes</x:v>
      </x:c>
      <x:c r="Q1318" t="str">
        <x:f>TEXT(B1318,"yyyy-mm")</x:f>
        <x:v>2017-02</x:v>
      </x:c>
    </x:row>
    <x:row r="1319">
      <x:c r="A1319" t="str">
        <x:v>HYD09</x:v>
      </x:c>
      <x:c r="B1319" s="22" t="n">
        <x:f>DATE(C1319,D1319,1)</x:f>
        <x:v>42795</x:v>
      </x:c>
      <x:c r="C1319" t="n">
        <x:v>2017</x:v>
      </x:c>
      <x:c r="D1319" t="n">
        <x:v>3</x:v>
      </x:c>
      <x:c r="E1319" t="str">
        <x:f>TEXT(B1319,"mmm")</x:f>
        <x:v>Mar</x:v>
      </x:c>
      <x:c r="F1319" t="str">
        <x:f>"Q"&amp;ROUNDUP(D1319/3,0)</x:f>
        <x:v>Q1</x:v>
      </x:c>
      <x:c r="G1319" s="23" t="n">
        <x:v>73</x:v>
      </x:c>
      <x:c r="H1319" s="23" t="n">
        <x:v>73</x:v>
      </x:c>
      <x:c r="I1319" s="23" t="n">
        <x:v>73</x:v>
      </x:c>
      <x:c r="J1319" s="23" t="n">
        <x:f>G1319-H1319</x:f>
        <x:v>0</x:v>
      </x:c>
      <x:c r="K1319" t="str">
        <x:v>OBSERVED</x:v>
      </x:c>
      <x:c r="L1319" s="24" t="n">
        <x:v>17.3871</x:v>
      </x:c>
      <x:c r="M1319" s="24" t="n">
        <x:v>78.4916</x:v>
      </x:c>
      <x:c r="N1319" t="str">
        <x:f>IF(I1319&gt;70,"70+ dB",IF(I1319&gt;55,"56-70 dB","41-55 dB"))</x:f>
        <x:v>70+ dB</x:v>
      </x:c>
      <x:c r="O1319" t="str">
        <x:f>IF(I1319&gt;70,"High",IF(I1319&gt;55,"Moderate","Low"))</x:f>
        <x:v>High</x:v>
      </x:c>
      <x:c r="P1319" t="str">
        <x:f>IF(I1319&gt;=70,"Yes","No")</x:f>
        <x:v>Yes</x:v>
      </x:c>
      <x:c r="Q1319" t="str">
        <x:f>TEXT(B1319,"yyyy-mm")</x:f>
        <x:v>2017-03</x:v>
      </x:c>
    </x:row>
    <x:row r="1320">
      <x:c r="A1320" t="str">
        <x:v>HYD09</x:v>
      </x:c>
      <x:c r="B1320" s="22" t="n">
        <x:f>DATE(C1320,D1320,1)</x:f>
        <x:v>42826</x:v>
      </x:c>
      <x:c r="C1320" t="n">
        <x:v>2017</x:v>
      </x:c>
      <x:c r="D1320" t="n">
        <x:v>4</x:v>
      </x:c>
      <x:c r="E1320" t="str">
        <x:f>TEXT(B1320,"mmm")</x:f>
        <x:v>Apr</x:v>
      </x:c>
      <x:c r="F1320" t="str">
        <x:f>"Q"&amp;ROUNDUP(D1320/3,0)</x:f>
        <x:v>Q2</x:v>
      </x:c>
      <x:c r="G1320" s="23" t="n">
        <x:v>74</x:v>
      </x:c>
      <x:c r="H1320" s="23" t="n">
        <x:v>73</x:v>
      </x:c>
      <x:c r="I1320" s="23" t="n">
        <x:v>73.5</x:v>
      </x:c>
      <x:c r="J1320" s="23" t="n">
        <x:f>G1320-H1320</x:f>
        <x:v>1</x:v>
      </x:c>
      <x:c r="K1320" t="str">
        <x:v>OBSERVED</x:v>
      </x:c>
      <x:c r="L1320" s="24" t="n">
        <x:v>17.3871</x:v>
      </x:c>
      <x:c r="M1320" s="24" t="n">
        <x:v>78.4916</x:v>
      </x:c>
      <x:c r="N1320" t="str">
        <x:f>IF(I1320&gt;70,"70+ dB",IF(I1320&gt;55,"56-70 dB","41-55 dB"))</x:f>
        <x:v>70+ dB</x:v>
      </x:c>
      <x:c r="O1320" t="str">
        <x:f>IF(I1320&gt;70,"High",IF(I1320&gt;55,"Moderate","Low"))</x:f>
        <x:v>High</x:v>
      </x:c>
      <x:c r="P1320" t="str">
        <x:f>IF(I1320&gt;=70,"Yes","No")</x:f>
        <x:v>Yes</x:v>
      </x:c>
      <x:c r="Q1320" t="str">
        <x:f>TEXT(B1320,"yyyy-mm")</x:f>
        <x:v>2017-04</x:v>
      </x:c>
    </x:row>
    <x:row r="1321">
      <x:c r="A1321" t="str">
        <x:v>HYD09</x:v>
      </x:c>
      <x:c r="B1321" s="22" t="n">
        <x:f>DATE(C1321,D1321,1)</x:f>
        <x:v>42856</x:v>
      </x:c>
      <x:c r="C1321" t="n">
        <x:v>2017</x:v>
      </x:c>
      <x:c r="D1321" t="n">
        <x:v>5</x:v>
      </x:c>
      <x:c r="E1321" t="str">
        <x:f>TEXT(B1321,"mmm")</x:f>
        <x:v>May</x:v>
      </x:c>
      <x:c r="F1321" t="str">
        <x:f>"Q"&amp;ROUNDUP(D1321/3,0)</x:f>
        <x:v>Q2</x:v>
      </x:c>
      <x:c r="G1321" s="23" t="n">
        <x:v>74</x:v>
      </x:c>
      <x:c r="H1321" s="23" t="n">
        <x:v>73</x:v>
      </x:c>
      <x:c r="I1321" s="23" t="n">
        <x:v>73.5</x:v>
      </x:c>
      <x:c r="J1321" s="23" t="n">
        <x:f>G1321-H1321</x:f>
        <x:v>1</x:v>
      </x:c>
      <x:c r="K1321" t="str">
        <x:v>OBSERVED</x:v>
      </x:c>
      <x:c r="L1321" s="24" t="n">
        <x:v>17.3871</x:v>
      </x:c>
      <x:c r="M1321" s="24" t="n">
        <x:v>78.4916</x:v>
      </x:c>
      <x:c r="N1321" t="str">
        <x:f>IF(I1321&gt;70,"70+ dB",IF(I1321&gt;55,"56-70 dB","41-55 dB"))</x:f>
        <x:v>70+ dB</x:v>
      </x:c>
      <x:c r="O1321" t="str">
        <x:f>IF(I1321&gt;70,"High",IF(I1321&gt;55,"Moderate","Low"))</x:f>
        <x:v>High</x:v>
      </x:c>
      <x:c r="P1321" t="str">
        <x:f>IF(I1321&gt;=70,"Yes","No")</x:f>
        <x:v>Yes</x:v>
      </x:c>
      <x:c r="Q1321" t="str">
        <x:f>TEXT(B1321,"yyyy-mm")</x:f>
        <x:v>2017-05</x:v>
      </x:c>
    </x:row>
    <x:row r="1322">
      <x:c r="A1322" t="str">
        <x:v>HYD09</x:v>
      </x:c>
      <x:c r="B1322" s="22" t="n">
        <x:f>DATE(C1322,D1322,1)</x:f>
        <x:v>42887</x:v>
      </x:c>
      <x:c r="C1322" t="n">
        <x:v>2017</x:v>
      </x:c>
      <x:c r="D1322" t="n">
        <x:v>6</x:v>
      </x:c>
      <x:c r="E1322" t="str">
        <x:f>TEXT(B1322,"mmm")</x:f>
        <x:v>Jun</x:v>
      </x:c>
      <x:c r="F1322" t="str">
        <x:f>"Q"&amp;ROUNDUP(D1322/3,0)</x:f>
        <x:v>Q2</x:v>
      </x:c>
      <x:c r="G1322" s="23" t="n">
        <x:v>73</x:v>
      </x:c>
      <x:c r="H1322" s="23" t="n">
        <x:v>73</x:v>
      </x:c>
      <x:c r="I1322" s="23" t="n">
        <x:v>73</x:v>
      </x:c>
      <x:c r="J1322" s="23" t="n">
        <x:f>G1322-H1322</x:f>
        <x:v>0</x:v>
      </x:c>
      <x:c r="K1322" t="str">
        <x:v>OBSERVED</x:v>
      </x:c>
      <x:c r="L1322" s="24" t="n">
        <x:v>17.3871</x:v>
      </x:c>
      <x:c r="M1322" s="24" t="n">
        <x:v>78.4916</x:v>
      </x:c>
      <x:c r="N1322" t="str">
        <x:f>IF(I1322&gt;70,"70+ dB",IF(I1322&gt;55,"56-70 dB","41-55 dB"))</x:f>
        <x:v>70+ dB</x:v>
      </x:c>
      <x:c r="O1322" t="str">
        <x:f>IF(I1322&gt;70,"High",IF(I1322&gt;55,"Moderate","Low"))</x:f>
        <x:v>High</x:v>
      </x:c>
      <x:c r="P1322" t="str">
        <x:f>IF(I1322&gt;=70,"Yes","No")</x:f>
        <x:v>Yes</x:v>
      </x:c>
      <x:c r="Q1322" t="str">
        <x:f>TEXT(B1322,"yyyy-mm")</x:f>
        <x:v>2017-06</x:v>
      </x:c>
    </x:row>
    <x:row r="1323">
      <x:c r="A1323" t="str">
        <x:v>HYD09</x:v>
      </x:c>
      <x:c r="B1323" s="22" t="n">
        <x:f>DATE(C1323,D1323,1)</x:f>
        <x:v>42917</x:v>
      </x:c>
      <x:c r="C1323" t="n">
        <x:v>2017</x:v>
      </x:c>
      <x:c r="D1323" t="n">
        <x:v>7</x:v>
      </x:c>
      <x:c r="E1323" t="str">
        <x:f>TEXT(B1323,"mmm")</x:f>
        <x:v>Jul</x:v>
      </x:c>
      <x:c r="F1323" t="str">
        <x:f>"Q"&amp;ROUNDUP(D1323/3,0)</x:f>
        <x:v>Q3</x:v>
      </x:c>
      <x:c r="G1323" s="23" t="n">
        <x:v>73</x:v>
      </x:c>
      <x:c r="H1323" s="23" t="n">
        <x:v>73</x:v>
      </x:c>
      <x:c r="I1323" s="23" t="n">
        <x:v>73</x:v>
      </x:c>
      <x:c r="J1323" s="23" t="n">
        <x:f>G1323-H1323</x:f>
        <x:v>0</x:v>
      </x:c>
      <x:c r="K1323" t="str">
        <x:v>OBSERVED</x:v>
      </x:c>
      <x:c r="L1323" s="24" t="n">
        <x:v>17.3871</x:v>
      </x:c>
      <x:c r="M1323" s="24" t="n">
        <x:v>78.4916</x:v>
      </x:c>
      <x:c r="N1323" t="str">
        <x:f>IF(I1323&gt;70,"70+ dB",IF(I1323&gt;55,"56-70 dB","41-55 dB"))</x:f>
        <x:v>70+ dB</x:v>
      </x:c>
      <x:c r="O1323" t="str">
        <x:f>IF(I1323&gt;70,"High",IF(I1323&gt;55,"Moderate","Low"))</x:f>
        <x:v>High</x:v>
      </x:c>
      <x:c r="P1323" t="str">
        <x:f>IF(I1323&gt;=70,"Yes","No")</x:f>
        <x:v>Yes</x:v>
      </x:c>
      <x:c r="Q1323" t="str">
        <x:f>TEXT(B1323,"yyyy-mm")</x:f>
        <x:v>2017-07</x:v>
      </x:c>
    </x:row>
    <x:row r="1324">
      <x:c r="A1324" t="str">
        <x:v>HYD09</x:v>
      </x:c>
      <x:c r="B1324" s="22" t="n">
        <x:f>DATE(C1324,D1324,1)</x:f>
        <x:v>42948</x:v>
      </x:c>
      <x:c r="C1324" t="n">
        <x:v>2017</x:v>
      </x:c>
      <x:c r="D1324" t="n">
        <x:v>8</x:v>
      </x:c>
      <x:c r="E1324" t="str">
        <x:f>TEXT(B1324,"mmm")</x:f>
        <x:v>Aug</x:v>
      </x:c>
      <x:c r="F1324" t="str">
        <x:f>"Q"&amp;ROUNDUP(D1324/3,0)</x:f>
        <x:v>Q3</x:v>
      </x:c>
      <x:c r="G1324" s="23" t="n">
        <x:v>73</x:v>
      </x:c>
      <x:c r="H1324" s="23" t="n">
        <x:v>73</x:v>
      </x:c>
      <x:c r="I1324" s="23" t="n">
        <x:v>73</x:v>
      </x:c>
      <x:c r="J1324" s="23" t="n">
        <x:f>G1324-H1324</x:f>
        <x:v>0</x:v>
      </x:c>
      <x:c r="K1324" t="str">
        <x:v>OBSERVED</x:v>
      </x:c>
      <x:c r="L1324" s="24" t="n">
        <x:v>17.3871</x:v>
      </x:c>
      <x:c r="M1324" s="24" t="n">
        <x:v>78.4916</x:v>
      </x:c>
      <x:c r="N1324" t="str">
        <x:f>IF(I1324&gt;70,"70+ dB",IF(I1324&gt;55,"56-70 dB","41-55 dB"))</x:f>
        <x:v>70+ dB</x:v>
      </x:c>
      <x:c r="O1324" t="str">
        <x:f>IF(I1324&gt;70,"High",IF(I1324&gt;55,"Moderate","Low"))</x:f>
        <x:v>High</x:v>
      </x:c>
      <x:c r="P1324" t="str">
        <x:f>IF(I1324&gt;=70,"Yes","No")</x:f>
        <x:v>Yes</x:v>
      </x:c>
      <x:c r="Q1324" t="str">
        <x:f>TEXT(B1324,"yyyy-mm")</x:f>
        <x:v>2017-08</x:v>
      </x:c>
    </x:row>
    <x:row r="1325">
      <x:c r="A1325" t="str">
        <x:v>HYD09</x:v>
      </x:c>
      <x:c r="B1325" s="22" t="n">
        <x:f>DATE(C1325,D1325,1)</x:f>
        <x:v>42979</x:v>
      </x:c>
      <x:c r="C1325" t="n">
        <x:v>2017</x:v>
      </x:c>
      <x:c r="D1325" t="n">
        <x:v>9</x:v>
      </x:c>
      <x:c r="E1325" t="str">
        <x:f>TEXT(B1325,"mmm")</x:f>
        <x:v>Sep</x:v>
      </x:c>
      <x:c r="F1325" t="str">
        <x:f>"Q"&amp;ROUNDUP(D1325/3,0)</x:f>
        <x:v>Q3</x:v>
      </x:c>
      <x:c r="G1325" s="23" t="n">
        <x:v>72</x:v>
      </x:c>
      <x:c r="H1325" s="23" t="n">
        <x:v>72</x:v>
      </x:c>
      <x:c r="I1325" s="23" t="n">
        <x:v>72</x:v>
      </x:c>
      <x:c r="J1325" s="23" t="n">
        <x:f>G1325-H1325</x:f>
        <x:v>0</x:v>
      </x:c>
      <x:c r="K1325" t="str">
        <x:v>OBSERVED</x:v>
      </x:c>
      <x:c r="L1325" s="24" t="n">
        <x:v>17.3871</x:v>
      </x:c>
      <x:c r="M1325" s="24" t="n">
        <x:v>78.4916</x:v>
      </x:c>
      <x:c r="N1325" t="str">
        <x:f>IF(I1325&gt;70,"70+ dB",IF(I1325&gt;55,"56-70 dB","41-55 dB"))</x:f>
        <x:v>70+ dB</x:v>
      </x:c>
      <x:c r="O1325" t="str">
        <x:f>IF(I1325&gt;70,"High",IF(I1325&gt;55,"Moderate","Low"))</x:f>
        <x:v>High</x:v>
      </x:c>
      <x:c r="P1325" t="str">
        <x:f>IF(I1325&gt;=70,"Yes","No")</x:f>
        <x:v>Yes</x:v>
      </x:c>
      <x:c r="Q1325" t="str">
        <x:f>TEXT(B1325,"yyyy-mm")</x:f>
        <x:v>2017-09</x:v>
      </x:c>
    </x:row>
    <x:row r="1326">
      <x:c r="A1326" t="str">
        <x:v>HYD09</x:v>
      </x:c>
      <x:c r="B1326" s="22" t="n">
        <x:f>DATE(C1326,D1326,1)</x:f>
        <x:v>43009</x:v>
      </x:c>
      <x:c r="C1326" t="n">
        <x:v>2017</x:v>
      </x:c>
      <x:c r="D1326" t="n">
        <x:v>10</x:v>
      </x:c>
      <x:c r="E1326" t="str">
        <x:f>TEXT(B1326,"mmm")</x:f>
        <x:v>Oct</x:v>
      </x:c>
      <x:c r="F1326" t="str">
        <x:f>"Q"&amp;ROUNDUP(D1326/3,0)</x:f>
        <x:v>Q4</x:v>
      </x:c>
      <x:c r="G1326" s="23" t="n">
        <x:v>71</x:v>
      </x:c>
      <x:c r="H1326" s="23" t="n">
        <x:v>64</x:v>
      </x:c>
      <x:c r="I1326" s="23" t="n">
        <x:v>67.5</x:v>
      </x:c>
      <x:c r="J1326" s="23" t="n">
        <x:f>G1326-H1326</x:f>
        <x:v>7</x:v>
      </x:c>
      <x:c r="K1326" t="str">
        <x:v>OBSERVED</x:v>
      </x:c>
      <x:c r="L1326" s="24" t="n">
        <x:v>17.3871</x:v>
      </x:c>
      <x:c r="M1326" s="24" t="n">
        <x:v>78.4916</x:v>
      </x:c>
      <x:c r="N1326" t="str">
        <x:f>IF(I1326&gt;70,"70+ dB",IF(I1326&gt;55,"56-70 dB","41-55 dB"))</x:f>
        <x:v>56-70 dB</x:v>
      </x:c>
      <x:c r="O1326" t="str">
        <x:f>IF(I1326&gt;70,"High",IF(I1326&gt;55,"Moderate","Low"))</x:f>
        <x:v>Moderate</x:v>
      </x:c>
      <x:c r="P1326" t="str">
        <x:f>IF(I1326&gt;=70,"Yes","No")</x:f>
        <x:v>No</x:v>
      </x:c>
      <x:c r="Q1326" t="str">
        <x:f>TEXT(B1326,"yyyy-mm")</x:f>
        <x:v>2017-10</x:v>
      </x:c>
    </x:row>
    <x:row r="1327">
      <x:c r="A1327" t="str">
        <x:v>HYD09</x:v>
      </x:c>
      <x:c r="B1327" s="22" t="n">
        <x:f>DATE(C1327,D1327,1)</x:f>
        <x:v>43040</x:v>
      </x:c>
      <x:c r="C1327" t="n">
        <x:v>2017</x:v>
      </x:c>
      <x:c r="D1327" t="n">
        <x:v>11</x:v>
      </x:c>
      <x:c r="E1327" t="str">
        <x:f>TEXT(B1327,"mmm")</x:f>
        <x:v>Nov</x:v>
      </x:c>
      <x:c r="F1327" t="str">
        <x:f>"Q"&amp;ROUNDUP(D1327/3,0)</x:f>
        <x:v>Q4</x:v>
      </x:c>
      <x:c r="G1327" s="23" t="n">
        <x:v>78</x:v>
      </x:c>
      <x:c r="H1327" s="23" t="n">
        <x:v>80</x:v>
      </x:c>
      <x:c r="I1327" s="23" t="n">
        <x:v>79</x:v>
      </x:c>
      <x:c r="J1327" s="23" t="n">
        <x:f>G1327-H1327</x:f>
        <x:v>-2</x:v>
      </x:c>
      <x:c r="K1327" t="str">
        <x:v>OBSERVED</x:v>
      </x:c>
      <x:c r="L1327" s="24" t="n">
        <x:v>17.3871</x:v>
      </x:c>
      <x:c r="M1327" s="24" t="n">
        <x:v>78.4916</x:v>
      </x:c>
      <x:c r="N1327" t="str">
        <x:f>IF(I1327&gt;70,"70+ dB",IF(I1327&gt;55,"56-70 dB","41-55 dB"))</x:f>
        <x:v>70+ dB</x:v>
      </x:c>
      <x:c r="O1327" t="str">
        <x:f>IF(I1327&gt;70,"High",IF(I1327&gt;55,"Moderate","Low"))</x:f>
        <x:v>High</x:v>
      </x:c>
      <x:c r="P1327" t="str">
        <x:f>IF(I1327&gt;=70,"Yes","No")</x:f>
        <x:v>Yes</x:v>
      </x:c>
      <x:c r="Q1327" t="str">
        <x:f>TEXT(B1327,"yyyy-mm")</x:f>
        <x:v>2017-11</x:v>
      </x:c>
    </x:row>
    <x:row r="1328">
      <x:c r="A1328" t="str">
        <x:v>HYD09</x:v>
      </x:c>
      <x:c r="B1328" s="22" t="n">
        <x:f>DATE(C1328,D1328,1)</x:f>
        <x:v>43070</x:v>
      </x:c>
      <x:c r="C1328" t="n">
        <x:v>2017</x:v>
      </x:c>
      <x:c r="D1328" t="n">
        <x:v>12</x:v>
      </x:c>
      <x:c r="E1328" t="str">
        <x:f>TEXT(B1328,"mmm")</x:f>
        <x:v>Dec</x:v>
      </x:c>
      <x:c r="F1328" t="str">
        <x:f>"Q"&amp;ROUNDUP(D1328/3,0)</x:f>
        <x:v>Q4</x:v>
      </x:c>
      <x:c r="G1328" s="23" t="n">
        <x:v>88</x:v>
      </x:c>
      <x:c r="H1328" s="23" t="n">
        <x:v>85</x:v>
      </x:c>
      <x:c r="I1328" s="23" t="n">
        <x:v>86.5</x:v>
      </x:c>
      <x:c r="J1328" s="23" t="n">
        <x:f>G1328-H1328</x:f>
        <x:v>3</x:v>
      </x:c>
      <x:c r="K1328" t="str">
        <x:v>OBSERVED</x:v>
      </x:c>
      <x:c r="L1328" s="24" t="n">
        <x:v>17.3871</x:v>
      </x:c>
      <x:c r="M1328" s="24" t="n">
        <x:v>78.4916</x:v>
      </x:c>
      <x:c r="N1328" t="str">
        <x:f>IF(I1328&gt;70,"70+ dB",IF(I1328&gt;55,"56-70 dB","41-55 dB"))</x:f>
        <x:v>70+ dB</x:v>
      </x:c>
      <x:c r="O1328" t="str">
        <x:f>IF(I1328&gt;70,"High",IF(I1328&gt;55,"Moderate","Low"))</x:f>
        <x:v>High</x:v>
      </x:c>
      <x:c r="P1328" t="str">
        <x:f>IF(I1328&gt;=70,"Yes","No")</x:f>
        <x:v>Yes</x:v>
      </x:c>
      <x:c r="Q1328" t="str">
        <x:f>TEXT(B1328,"yyyy-mm")</x:f>
        <x:v>2017-12</x:v>
      </x:c>
    </x:row>
    <x:row r="1329">
      <x:c r="A1329" t="str">
        <x:v>HYD09</x:v>
      </x:c>
      <x:c r="B1329" s="22" t="n">
        <x:f>DATE(C1329,D1329,1)</x:f>
        <x:v>43101</x:v>
      </x:c>
      <x:c r="C1329" t="n">
        <x:v>2018</x:v>
      </x:c>
      <x:c r="D1329" t="n">
        <x:v>1</x:v>
      </x:c>
      <x:c r="E1329" t="str">
        <x:f>TEXT(B1329,"mmm")</x:f>
        <x:v>Jan</x:v>
      </x:c>
      <x:c r="F1329" t="str">
        <x:f>"Q"&amp;ROUNDUP(D1329/3,0)</x:f>
        <x:v>Q1</x:v>
      </x:c>
      <x:c r="G1329" s="23" t="n">
        <x:v>76</x:v>
      </x:c>
      <x:c r="H1329" s="23" t="n">
        <x:v>77</x:v>
      </x:c>
      <x:c r="I1329" s="23" t="n">
        <x:v>76.5</x:v>
      </x:c>
      <x:c r="J1329" s="23" t="n">
        <x:f>G1329-H1329</x:f>
        <x:v>-1</x:v>
      </x:c>
      <x:c r="K1329" t="str">
        <x:v>OBSERVED</x:v>
      </x:c>
      <x:c r="L1329" s="24" t="n">
        <x:v>17.3871</x:v>
      </x:c>
      <x:c r="M1329" s="24" t="n">
        <x:v>78.4916</x:v>
      </x:c>
      <x:c r="N1329" t="str">
        <x:f>IF(I1329&gt;70,"70+ dB",IF(I1329&gt;55,"56-70 dB","41-55 dB"))</x:f>
        <x:v>70+ dB</x:v>
      </x:c>
      <x:c r="O1329" t="str">
        <x:f>IF(I1329&gt;70,"High",IF(I1329&gt;55,"Moderate","Low"))</x:f>
        <x:v>High</x:v>
      </x:c>
      <x:c r="P1329" t="str">
        <x:f>IF(I1329&gt;=70,"Yes","No")</x:f>
        <x:v>Yes</x:v>
      </x:c>
      <x:c r="Q1329" t="str">
        <x:f>TEXT(B1329,"yyyy-mm")</x:f>
        <x:v>2018-01</x:v>
      </x:c>
    </x:row>
    <x:row r="1330">
      <x:c r="A1330" t="str">
        <x:v>HYD09</x:v>
      </x:c>
      <x:c r="B1330" s="22" t="n">
        <x:f>DATE(C1330,D1330,1)</x:f>
        <x:v>43132</x:v>
      </x:c>
      <x:c r="C1330" t="n">
        <x:v>2018</x:v>
      </x:c>
      <x:c r="D1330" t="n">
        <x:v>2</x:v>
      </x:c>
      <x:c r="E1330" t="str">
        <x:f>TEXT(B1330,"mmm")</x:f>
        <x:v>Feb</x:v>
      </x:c>
      <x:c r="F1330" t="str">
        <x:f>"Q"&amp;ROUNDUP(D1330/3,0)</x:f>
        <x:v>Q1</x:v>
      </x:c>
      <x:c r="G1330" s="23" t="n">
        <x:v>72</x:v>
      </x:c>
      <x:c r="H1330" s="23" t="n">
        <x:v>75</x:v>
      </x:c>
      <x:c r="I1330" s="23" t="n">
        <x:v>73.5</x:v>
      </x:c>
      <x:c r="J1330" s="23" t="n">
        <x:f>G1330-H1330</x:f>
        <x:v>-3</x:v>
      </x:c>
      <x:c r="K1330" t="str">
        <x:v>OBSERVED</x:v>
      </x:c>
      <x:c r="L1330" s="24" t="n">
        <x:v>17.3871</x:v>
      </x:c>
      <x:c r="M1330" s="24" t="n">
        <x:v>78.4916</x:v>
      </x:c>
      <x:c r="N1330" t="str">
        <x:f>IF(I1330&gt;70,"70+ dB",IF(I1330&gt;55,"56-70 dB","41-55 dB"))</x:f>
        <x:v>70+ dB</x:v>
      </x:c>
      <x:c r="O1330" t="str">
        <x:f>IF(I1330&gt;70,"High",IF(I1330&gt;55,"Moderate","Low"))</x:f>
        <x:v>High</x:v>
      </x:c>
      <x:c r="P1330" t="str">
        <x:f>IF(I1330&gt;=70,"Yes","No")</x:f>
        <x:v>Yes</x:v>
      </x:c>
      <x:c r="Q1330" t="str">
        <x:f>TEXT(B1330,"yyyy-mm")</x:f>
        <x:v>2018-02</x:v>
      </x:c>
    </x:row>
    <x:row r="1331">
      <x:c r="A1331" t="str">
        <x:v>HYD09</x:v>
      </x:c>
      <x:c r="B1331" s="22" t="n">
        <x:f>DATE(C1331,D1331,1)</x:f>
        <x:v>43160</x:v>
      </x:c>
      <x:c r="C1331" t="n">
        <x:v>2018</x:v>
      </x:c>
      <x:c r="D1331" t="n">
        <x:v>3</x:v>
      </x:c>
      <x:c r="E1331" t="str">
        <x:f>TEXT(B1331,"mmm")</x:f>
        <x:v>Mar</x:v>
      </x:c>
      <x:c r="F1331" t="str">
        <x:f>"Q"&amp;ROUNDUP(D1331/3,0)</x:f>
        <x:v>Q1</x:v>
      </x:c>
      <x:c r="G1331" s="23" t="n">
        <x:v>76</x:v>
      </x:c>
      <x:c r="H1331" s="23" t="n">
        <x:v>78</x:v>
      </x:c>
      <x:c r="I1331" s="23" t="n">
        <x:v>77</x:v>
      </x:c>
      <x:c r="J1331" s="23" t="n">
        <x:f>G1331-H1331</x:f>
        <x:v>-2</x:v>
      </x:c>
      <x:c r="K1331" t="str">
        <x:v>OBSERVED</x:v>
      </x:c>
      <x:c r="L1331" s="24" t="n">
        <x:v>17.3871</x:v>
      </x:c>
      <x:c r="M1331" s="24" t="n">
        <x:v>78.4916</x:v>
      </x:c>
      <x:c r="N1331" t="str">
        <x:f>IF(I1331&gt;70,"70+ dB",IF(I1331&gt;55,"56-70 dB","41-55 dB"))</x:f>
        <x:v>70+ dB</x:v>
      </x:c>
      <x:c r="O1331" t="str">
        <x:f>IF(I1331&gt;70,"High",IF(I1331&gt;55,"Moderate","Low"))</x:f>
        <x:v>High</x:v>
      </x:c>
      <x:c r="P1331" t="str">
        <x:f>IF(I1331&gt;=70,"Yes","No")</x:f>
        <x:v>Yes</x:v>
      </x:c>
      <x:c r="Q1331" t="str">
        <x:f>TEXT(B1331,"yyyy-mm")</x:f>
        <x:v>2018-03</x:v>
      </x:c>
    </x:row>
    <x:row r="1332">
      <x:c r="A1332" t="str">
        <x:v>HYD09</x:v>
      </x:c>
      <x:c r="B1332" s="22" t="n">
        <x:f>DATE(C1332,D1332,1)</x:f>
        <x:v>43191</x:v>
      </x:c>
      <x:c r="C1332" t="n">
        <x:v>2018</x:v>
      </x:c>
      <x:c r="D1332" t="n">
        <x:v>4</x:v>
      </x:c>
      <x:c r="E1332" t="str">
        <x:f>TEXT(B1332,"mmm")</x:f>
        <x:v>Apr</x:v>
      </x:c>
      <x:c r="F1332" t="str">
        <x:f>"Q"&amp;ROUNDUP(D1332/3,0)</x:f>
        <x:v>Q2</x:v>
      </x:c>
      <x:c r="G1332" s="23" t="n">
        <x:v>88</x:v>
      </x:c>
      <x:c r="H1332" s="23" t="n">
        <x:v>88</x:v>
      </x:c>
      <x:c r="I1332" s="23" t="n">
        <x:v>88</x:v>
      </x:c>
      <x:c r="J1332" s="23" t="n">
        <x:f>G1332-H1332</x:f>
        <x:v>0</x:v>
      </x:c>
      <x:c r="K1332" t="str">
        <x:v>OBSERVED</x:v>
      </x:c>
      <x:c r="L1332" s="24" t="n">
        <x:v>17.3871</x:v>
      </x:c>
      <x:c r="M1332" s="24" t="n">
        <x:v>78.4916</x:v>
      </x:c>
      <x:c r="N1332" t="str">
        <x:f>IF(I1332&gt;70,"70+ dB",IF(I1332&gt;55,"56-70 dB","41-55 dB"))</x:f>
        <x:v>70+ dB</x:v>
      </x:c>
      <x:c r="O1332" t="str">
        <x:f>IF(I1332&gt;70,"High",IF(I1332&gt;55,"Moderate","Low"))</x:f>
        <x:v>High</x:v>
      </x:c>
      <x:c r="P1332" t="str">
        <x:f>IF(I1332&gt;=70,"Yes","No")</x:f>
        <x:v>Yes</x:v>
      </x:c>
      <x:c r="Q1332" t="str">
        <x:f>TEXT(B1332,"yyyy-mm")</x:f>
        <x:v>2018-04</x:v>
      </x:c>
    </x:row>
    <x:row r="1333">
      <x:c r="A1333" t="str">
        <x:v>HYD09</x:v>
      </x:c>
      <x:c r="B1333" s="22" t="n">
        <x:f>DATE(C1333,D1333,1)</x:f>
        <x:v>43221</x:v>
      </x:c>
      <x:c r="C1333" t="n">
        <x:v>2018</x:v>
      </x:c>
      <x:c r="D1333" t="n">
        <x:v>5</x:v>
      </x:c>
      <x:c r="E1333" t="str">
        <x:f>TEXT(B1333,"mmm")</x:f>
        <x:v>May</x:v>
      </x:c>
      <x:c r="F1333" t="str">
        <x:f>"Q"&amp;ROUNDUP(D1333/3,0)</x:f>
        <x:v>Q2</x:v>
      </x:c>
      <x:c r="G1333" s="23" t="n">
        <x:v>76</x:v>
      </x:c>
      <x:c r="H1333" s="23" t="n">
        <x:v>76</x:v>
      </x:c>
      <x:c r="I1333" s="23" t="n">
        <x:v>76</x:v>
      </x:c>
      <x:c r="J1333" s="23" t="n">
        <x:f>G1333-H1333</x:f>
        <x:v>0</x:v>
      </x:c>
      <x:c r="K1333" t="str">
        <x:v>OBSERVED</x:v>
      </x:c>
      <x:c r="L1333" s="24" t="n">
        <x:v>17.3871</x:v>
      </x:c>
      <x:c r="M1333" s="24" t="n">
        <x:v>78.4916</x:v>
      </x:c>
      <x:c r="N1333" t="str">
        <x:f>IF(I1333&gt;70,"70+ dB",IF(I1333&gt;55,"56-70 dB","41-55 dB"))</x:f>
        <x:v>70+ dB</x:v>
      </x:c>
      <x:c r="O1333" t="str">
        <x:f>IF(I1333&gt;70,"High",IF(I1333&gt;55,"Moderate","Low"))</x:f>
        <x:v>High</x:v>
      </x:c>
      <x:c r="P1333" t="str">
        <x:f>IF(I1333&gt;=70,"Yes","No")</x:f>
        <x:v>Yes</x:v>
      </x:c>
      <x:c r="Q1333" t="str">
        <x:f>TEXT(B1333,"yyyy-mm")</x:f>
        <x:v>2018-05</x:v>
      </x:c>
    </x:row>
    <x:row r="1334">
      <x:c r="A1334" t="str">
        <x:v>HYD09</x:v>
      </x:c>
      <x:c r="B1334" s="22" t="n">
        <x:f>DATE(C1334,D1334,1)</x:f>
        <x:v>43252</x:v>
      </x:c>
      <x:c r="C1334" t="n">
        <x:v>2018</x:v>
      </x:c>
      <x:c r="D1334" t="n">
        <x:v>6</x:v>
      </x:c>
      <x:c r="E1334" t="str">
        <x:f>TEXT(B1334,"mmm")</x:f>
        <x:v>Jun</x:v>
      </x:c>
      <x:c r="F1334" t="str">
        <x:f>"Q"&amp;ROUNDUP(D1334/3,0)</x:f>
        <x:v>Q2</x:v>
      </x:c>
      <x:c r="G1334" s="23" t="n">
        <x:v>76</x:v>
      </x:c>
      <x:c r="H1334" s="23" t="n">
        <x:v>77</x:v>
      </x:c>
      <x:c r="I1334" s="23" t="n">
        <x:v>76.5</x:v>
      </x:c>
      <x:c r="J1334" s="23" t="n">
        <x:f>G1334-H1334</x:f>
        <x:v>-1</x:v>
      </x:c>
      <x:c r="K1334" t="str">
        <x:v>OBSERVED</x:v>
      </x:c>
      <x:c r="L1334" s="24" t="n">
        <x:v>17.3871</x:v>
      </x:c>
      <x:c r="M1334" s="24" t="n">
        <x:v>78.4916</x:v>
      </x:c>
      <x:c r="N1334" t="str">
        <x:f>IF(I1334&gt;70,"70+ dB",IF(I1334&gt;55,"56-70 dB","41-55 dB"))</x:f>
        <x:v>70+ dB</x:v>
      </x:c>
      <x:c r="O1334" t="str">
        <x:f>IF(I1334&gt;70,"High",IF(I1334&gt;55,"Moderate","Low"))</x:f>
        <x:v>High</x:v>
      </x:c>
      <x:c r="P1334" t="str">
        <x:f>IF(I1334&gt;=70,"Yes","No")</x:f>
        <x:v>Yes</x:v>
      </x:c>
      <x:c r="Q1334" t="str">
        <x:f>TEXT(B1334,"yyyy-mm")</x:f>
        <x:v>2018-06</x:v>
      </x:c>
    </x:row>
    <x:row r="1335">
      <x:c r="A1335" t="str">
        <x:v>HYD09</x:v>
      </x:c>
      <x:c r="B1335" s="22" t="n">
        <x:f>DATE(C1335,D1335,1)</x:f>
        <x:v>43282</x:v>
      </x:c>
      <x:c r="C1335" t="n">
        <x:v>2018</x:v>
      </x:c>
      <x:c r="D1335" t="n">
        <x:v>7</x:v>
      </x:c>
      <x:c r="E1335" t="str">
        <x:f>TEXT(B1335,"mmm")</x:f>
        <x:v>Jul</x:v>
      </x:c>
      <x:c r="F1335" t="str">
        <x:f>"Q"&amp;ROUNDUP(D1335/3,0)</x:f>
        <x:v>Q3</x:v>
      </x:c>
      <x:c r="G1335" s="23" t="n">
        <x:v>82</x:v>
      </x:c>
      <x:c r="H1335" s="23" t="n">
        <x:v>80</x:v>
      </x:c>
      <x:c r="I1335" s="23" t="n">
        <x:v>81</x:v>
      </x:c>
      <x:c r="J1335" s="23" t="n">
        <x:f>G1335-H1335</x:f>
        <x:v>2</x:v>
      </x:c>
      <x:c r="K1335" t="str">
        <x:v>OBSERVED</x:v>
      </x:c>
      <x:c r="L1335" s="24" t="n">
        <x:v>17.3871</x:v>
      </x:c>
      <x:c r="M1335" s="24" t="n">
        <x:v>78.4916</x:v>
      </x:c>
      <x:c r="N1335" t="str">
        <x:f>IF(I1335&gt;70,"70+ dB",IF(I1335&gt;55,"56-70 dB","41-55 dB"))</x:f>
        <x:v>70+ dB</x:v>
      </x:c>
      <x:c r="O1335" t="str">
        <x:f>IF(I1335&gt;70,"High",IF(I1335&gt;55,"Moderate","Low"))</x:f>
        <x:v>High</x:v>
      </x:c>
      <x:c r="P1335" t="str">
        <x:f>IF(I1335&gt;=70,"Yes","No")</x:f>
        <x:v>Yes</x:v>
      </x:c>
      <x:c r="Q1335" t="str">
        <x:f>TEXT(B1335,"yyyy-mm")</x:f>
        <x:v>2018-07</x:v>
      </x:c>
    </x:row>
    <x:row r="1336">
      <x:c r="A1336" t="str">
        <x:v>HYD09</x:v>
      </x:c>
      <x:c r="B1336" s="22" t="n">
        <x:f>DATE(C1336,D1336,1)</x:f>
        <x:v>43313</x:v>
      </x:c>
      <x:c r="C1336" t="n">
        <x:v>2018</x:v>
      </x:c>
      <x:c r="D1336" t="n">
        <x:v>8</x:v>
      </x:c>
      <x:c r="E1336" t="str">
        <x:f>TEXT(B1336,"mmm")</x:f>
        <x:v>Aug</x:v>
      </x:c>
      <x:c r="F1336" t="str">
        <x:f>"Q"&amp;ROUNDUP(D1336/3,0)</x:f>
        <x:v>Q3</x:v>
      </x:c>
      <x:c r="G1336" s="23" t="n">
        <x:v>77</x:v>
      </x:c>
      <x:c r="H1336" s="23" t="n">
        <x:v>80</x:v>
      </x:c>
      <x:c r="I1336" s="23" t="n">
        <x:v>78.5</x:v>
      </x:c>
      <x:c r="J1336" s="23" t="n">
        <x:f>G1336-H1336</x:f>
        <x:v>-3</x:v>
      </x:c>
      <x:c r="K1336" t="str">
        <x:v>OBSERVED</x:v>
      </x:c>
      <x:c r="L1336" s="24" t="n">
        <x:v>17.3871</x:v>
      </x:c>
      <x:c r="M1336" s="24" t="n">
        <x:v>78.4916</x:v>
      </x:c>
      <x:c r="N1336" t="str">
        <x:f>IF(I1336&gt;70,"70+ dB",IF(I1336&gt;55,"56-70 dB","41-55 dB"))</x:f>
        <x:v>70+ dB</x:v>
      </x:c>
      <x:c r="O1336" t="str">
        <x:f>IF(I1336&gt;70,"High",IF(I1336&gt;55,"Moderate","Low"))</x:f>
        <x:v>High</x:v>
      </x:c>
      <x:c r="P1336" t="str">
        <x:f>IF(I1336&gt;=70,"Yes","No")</x:f>
        <x:v>Yes</x:v>
      </x:c>
      <x:c r="Q1336" t="str">
        <x:f>TEXT(B1336,"yyyy-mm")</x:f>
        <x:v>2018-08</x:v>
      </x:c>
    </x:row>
    <x:row r="1337">
      <x:c r="A1337" t="str">
        <x:v>HYD09</x:v>
      </x:c>
      <x:c r="B1337" s="22" t="n">
        <x:f>DATE(C1337,D1337,1)</x:f>
        <x:v>43344</x:v>
      </x:c>
      <x:c r="C1337" t="n">
        <x:v>2018</x:v>
      </x:c>
      <x:c r="D1337" t="n">
        <x:v>9</x:v>
      </x:c>
      <x:c r="E1337" t="str">
        <x:f>TEXT(B1337,"mmm")</x:f>
        <x:v>Sep</x:v>
      </x:c>
      <x:c r="F1337" t="str">
        <x:f>"Q"&amp;ROUNDUP(D1337/3,0)</x:f>
        <x:v>Q3</x:v>
      </x:c>
      <x:c r="G1337" s="23" t="n">
        <x:v>87</x:v>
      </x:c>
      <x:c r="H1337" s="23" t="n">
        <x:v>92</x:v>
      </x:c>
      <x:c r="I1337" s="23" t="n">
        <x:v>89.5</x:v>
      </x:c>
      <x:c r="J1337" s="23" t="n">
        <x:f>G1337-H1337</x:f>
        <x:v>-5</x:v>
      </x:c>
      <x:c r="K1337" t="str">
        <x:v>OBSERVED</x:v>
      </x:c>
      <x:c r="L1337" s="24" t="n">
        <x:v>17.3871</x:v>
      </x:c>
      <x:c r="M1337" s="24" t="n">
        <x:v>78.4916</x:v>
      </x:c>
      <x:c r="N1337" t="str">
        <x:f>IF(I1337&gt;70,"70+ dB",IF(I1337&gt;55,"56-70 dB","41-55 dB"))</x:f>
        <x:v>70+ dB</x:v>
      </x:c>
      <x:c r="O1337" t="str">
        <x:f>IF(I1337&gt;70,"High",IF(I1337&gt;55,"Moderate","Low"))</x:f>
        <x:v>High</x:v>
      </x:c>
      <x:c r="P1337" t="str">
        <x:f>IF(I1337&gt;=70,"Yes","No")</x:f>
        <x:v>Yes</x:v>
      </x:c>
      <x:c r="Q1337" t="str">
        <x:f>TEXT(B1337,"yyyy-mm")</x:f>
        <x:v>2018-09</x:v>
      </x:c>
    </x:row>
    <x:row r="1338">
      <x:c r="A1338" t="str">
        <x:v>HYD09</x:v>
      </x:c>
      <x:c r="B1338" s="22" t="n">
        <x:f>DATE(C1338,D1338,1)</x:f>
        <x:v>43374</x:v>
      </x:c>
      <x:c r="C1338" t="n">
        <x:v>2018</x:v>
      </x:c>
      <x:c r="D1338" t="n">
        <x:v>10</x:v>
      </x:c>
      <x:c r="E1338" t="str">
        <x:f>TEXT(B1338,"mmm")</x:f>
        <x:v>Oct</x:v>
      </x:c>
      <x:c r="F1338" t="str">
        <x:f>"Q"&amp;ROUNDUP(D1338/3,0)</x:f>
        <x:v>Q4</x:v>
      </x:c>
      <x:c r="G1338" s="23" t="n">
        <x:v>82</x:v>
      </x:c>
      <x:c r="H1338" s="23" t="n">
        <x:v>82</x:v>
      </x:c>
      <x:c r="I1338" s="23" t="n">
        <x:v>82</x:v>
      </x:c>
      <x:c r="J1338" s="23" t="n">
        <x:f>G1338-H1338</x:f>
        <x:v>0</x:v>
      </x:c>
      <x:c r="K1338" t="str">
        <x:v>OBSERVED</x:v>
      </x:c>
      <x:c r="L1338" s="24" t="n">
        <x:v>17.3871</x:v>
      </x:c>
      <x:c r="M1338" s="24" t="n">
        <x:v>78.4916</x:v>
      </x:c>
      <x:c r="N1338" t="str">
        <x:f>IF(I1338&gt;70,"70+ dB",IF(I1338&gt;55,"56-70 dB","41-55 dB"))</x:f>
        <x:v>70+ dB</x:v>
      </x:c>
      <x:c r="O1338" t="str">
        <x:f>IF(I1338&gt;70,"High",IF(I1338&gt;55,"Moderate","Low"))</x:f>
        <x:v>High</x:v>
      </x:c>
      <x:c r="P1338" t="str">
        <x:f>IF(I1338&gt;=70,"Yes","No")</x:f>
        <x:v>Yes</x:v>
      </x:c>
      <x:c r="Q1338" t="str">
        <x:f>TEXT(B1338,"yyyy-mm")</x:f>
        <x:v>2018-10</x:v>
      </x:c>
    </x:row>
    <x:row r="1339">
      <x:c r="A1339" t="str">
        <x:v>HYD09</x:v>
      </x:c>
      <x:c r="B1339" s="22" t="n">
        <x:f>DATE(C1339,D1339,1)</x:f>
        <x:v>43405</x:v>
      </x:c>
      <x:c r="C1339" t="n">
        <x:v>2018</x:v>
      </x:c>
      <x:c r="D1339" t="n">
        <x:v>11</x:v>
      </x:c>
      <x:c r="E1339" t="str">
        <x:f>TEXT(B1339,"mmm")</x:f>
        <x:v>Nov</x:v>
      </x:c>
      <x:c r="F1339" t="str">
        <x:f>"Q"&amp;ROUNDUP(D1339/3,0)</x:f>
        <x:v>Q4</x:v>
      </x:c>
      <x:c r="G1339" s="23" t="n">
        <x:v>82</x:v>
      </x:c>
      <x:c r="H1339" s="23" t="n">
        <x:v>82</x:v>
      </x:c>
      <x:c r="I1339" s="23" t="n">
        <x:v>82</x:v>
      </x:c>
      <x:c r="J1339" s="23" t="n">
        <x:f>G1339-H1339</x:f>
        <x:v>0</x:v>
      </x:c>
      <x:c r="K1339" t="str">
        <x:v>OBSERVED</x:v>
      </x:c>
      <x:c r="L1339" s="24" t="n">
        <x:v>17.3871</x:v>
      </x:c>
      <x:c r="M1339" s="24" t="n">
        <x:v>78.4916</x:v>
      </x:c>
      <x:c r="N1339" t="str">
        <x:f>IF(I1339&gt;70,"70+ dB",IF(I1339&gt;55,"56-70 dB","41-55 dB"))</x:f>
        <x:v>70+ dB</x:v>
      </x:c>
      <x:c r="O1339" t="str">
        <x:f>IF(I1339&gt;70,"High",IF(I1339&gt;55,"Moderate","Low"))</x:f>
        <x:v>High</x:v>
      </x:c>
      <x:c r="P1339" t="str">
        <x:f>IF(I1339&gt;=70,"Yes","No")</x:f>
        <x:v>Yes</x:v>
      </x:c>
      <x:c r="Q1339" t="str">
        <x:f>TEXT(B1339,"yyyy-mm")</x:f>
        <x:v>2018-11</x:v>
      </x:c>
    </x:row>
    <x:row r="1340">
      <x:c r="A1340" t="str">
        <x:v>HYD09</x:v>
      </x:c>
      <x:c r="B1340" s="22" t="n">
        <x:f>DATE(C1340,D1340,1)</x:f>
        <x:v>43435</x:v>
      </x:c>
      <x:c r="C1340" t="n">
        <x:v>2018</x:v>
      </x:c>
      <x:c r="D1340" t="n">
        <x:v>12</x:v>
      </x:c>
      <x:c r="E1340" t="str">
        <x:f>TEXT(B1340,"mmm")</x:f>
        <x:v>Dec</x:v>
      </x:c>
      <x:c r="F1340" t="str">
        <x:f>"Q"&amp;ROUNDUP(D1340/3,0)</x:f>
        <x:v>Q4</x:v>
      </x:c>
      <x:c r="G1340" s="23" t="n">
        <x:v>85</x:v>
      </x:c>
      <x:c r="H1340" s="23" t="n">
        <x:v>85</x:v>
      </x:c>
      <x:c r="I1340" s="23" t="n">
        <x:v>85</x:v>
      </x:c>
      <x:c r="J1340" s="23" t="n">
        <x:f>G1340-H1340</x:f>
        <x:v>0</x:v>
      </x:c>
      <x:c r="K1340" t="str">
        <x:v>OBSERVED</x:v>
      </x:c>
      <x:c r="L1340" s="24" t="n">
        <x:v>17.3871</x:v>
      </x:c>
      <x:c r="M1340" s="24" t="n">
        <x:v>78.4916</x:v>
      </x:c>
      <x:c r="N1340" t="str">
        <x:f>IF(I1340&gt;70,"70+ dB",IF(I1340&gt;55,"56-70 dB","41-55 dB"))</x:f>
        <x:v>70+ dB</x:v>
      </x:c>
      <x:c r="O1340" t="str">
        <x:f>IF(I1340&gt;70,"High",IF(I1340&gt;55,"Moderate","Low"))</x:f>
        <x:v>High</x:v>
      </x:c>
      <x:c r="P1340" t="str">
        <x:f>IF(I1340&gt;=70,"Yes","No")</x:f>
        <x:v>Yes</x:v>
      </x:c>
      <x:c r="Q1340" t="str">
        <x:f>TEXT(B1340,"yyyy-mm")</x:f>
        <x:v>2018-12</x:v>
      </x:c>
    </x:row>
    <x:row r="1341">
      <x:c r="A1341" t="str">
        <x:v>HYD09</x:v>
      </x:c>
      <x:c r="B1341" s="22" t="n">
        <x:f>DATE(C1341,D1341,1)</x:f>
        <x:v>43466</x:v>
      </x:c>
      <x:c r="C1341" t="n">
        <x:v>2019</x:v>
      </x:c>
      <x:c r="D1341" t="n">
        <x:v>1</x:v>
      </x:c>
      <x:c r="E1341" t="str">
        <x:f>TEXT(B1341,"mmm")</x:f>
        <x:v>Jan</x:v>
      </x:c>
      <x:c r="F1341" t="str">
        <x:f>"Q"&amp;ROUNDUP(D1341/3,0)</x:f>
        <x:v>Q1</x:v>
      </x:c>
      <x:c r="G1341" s="23" t="n">
        <x:v>79.53</x:v>
      </x:c>
      <x:c r="H1341" s="23" t="n">
        <x:v>82.8</x:v>
      </x:c>
      <x:c r="I1341" s="23" t="n">
        <x:v>81.2</x:v>
      </x:c>
      <x:c r="J1341" s="23" t="n">
        <x:f>G1341-H1341</x:f>
        <x:v>-3.269999999999996</x:v>
      </x:c>
      <x:c r="K1341" t="str">
        <x:v>HINDCAST</x:v>
      </x:c>
      <x:c r="L1341" s="24" t="n">
        <x:v>17.3871</x:v>
      </x:c>
      <x:c r="M1341" s="24" t="n">
        <x:v>78.4916</x:v>
      </x:c>
      <x:c r="N1341" t="str">
        <x:f>IF(I1341&gt;70,"70+ dB",IF(I1341&gt;55,"56-70 dB","41-55 dB"))</x:f>
        <x:v>70+ dB</x:v>
      </x:c>
      <x:c r="O1341" t="str">
        <x:f>IF(I1341&gt;70,"High",IF(I1341&gt;55,"Moderate","Low"))</x:f>
        <x:v>High</x:v>
      </x:c>
      <x:c r="P1341" t="str">
        <x:f>IF(I1341&gt;=70,"Yes","No")</x:f>
        <x:v>Yes</x:v>
      </x:c>
      <x:c r="Q1341" t="str">
        <x:f>TEXT(B1341,"yyyy-mm")</x:f>
        <x:v>2019-01</x:v>
      </x:c>
    </x:row>
    <x:row r="1342">
      <x:c r="A1342" t="str">
        <x:v>HYD09</x:v>
      </x:c>
      <x:c r="B1342" s="22" t="n">
        <x:f>DATE(C1342,D1342,1)</x:f>
        <x:v>43497</x:v>
      </x:c>
      <x:c r="C1342" t="n">
        <x:v>2019</x:v>
      </x:c>
      <x:c r="D1342" t="n">
        <x:v>2</x:v>
      </x:c>
      <x:c r="E1342" t="str">
        <x:f>TEXT(B1342,"mmm")</x:f>
        <x:v>Feb</x:v>
      </x:c>
      <x:c r="F1342" t="str">
        <x:f>"Q"&amp;ROUNDUP(D1342/3,0)</x:f>
        <x:v>Q1</x:v>
      </x:c>
      <x:c r="G1342" s="23" t="n">
        <x:v>78.44</x:v>
      </x:c>
      <x:c r="H1342" s="23" t="n">
        <x:v>82.26</x:v>
      </x:c>
      <x:c r="I1342" s="23" t="n">
        <x:v>80.4</x:v>
      </x:c>
      <x:c r="J1342" s="23" t="n">
        <x:f>G1342-H1342</x:f>
        <x:v>-3.8200000000000074</x:v>
      </x:c>
      <x:c r="K1342" t="str">
        <x:v>HINDCAST</x:v>
      </x:c>
      <x:c r="L1342" s="24" t="n">
        <x:v>17.3871</x:v>
      </x:c>
      <x:c r="M1342" s="24" t="n">
        <x:v>78.4916</x:v>
      </x:c>
      <x:c r="N1342" t="str">
        <x:f>IF(I1342&gt;70,"70+ dB",IF(I1342&gt;55,"56-70 dB","41-55 dB"))</x:f>
        <x:v>70+ dB</x:v>
      </x:c>
      <x:c r="O1342" t="str">
        <x:f>IF(I1342&gt;70,"High",IF(I1342&gt;55,"Moderate","Low"))</x:f>
        <x:v>High</x:v>
      </x:c>
      <x:c r="P1342" t="str">
        <x:f>IF(I1342&gt;=70,"Yes","No")</x:f>
        <x:v>Yes</x:v>
      </x:c>
      <x:c r="Q1342" t="str">
        <x:f>TEXT(B1342,"yyyy-mm")</x:f>
        <x:v>2019-02</x:v>
      </x:c>
    </x:row>
    <x:row r="1343">
      <x:c r="A1343" t="str">
        <x:v>HYD09</x:v>
      </x:c>
      <x:c r="B1343" s="22" t="n">
        <x:f>DATE(C1343,D1343,1)</x:f>
        <x:v>43525</x:v>
      </x:c>
      <x:c r="C1343" t="n">
        <x:v>2019</x:v>
      </x:c>
      <x:c r="D1343" t="n">
        <x:v>3</x:v>
      </x:c>
      <x:c r="E1343" t="str">
        <x:f>TEXT(B1343,"mmm")</x:f>
        <x:v>Mar</x:v>
      </x:c>
      <x:c r="F1343" t="str">
        <x:f>"Q"&amp;ROUNDUP(D1343/3,0)</x:f>
        <x:v>Q1</x:v>
      </x:c>
      <x:c r="G1343" s="23" t="n">
        <x:v>80.2</x:v>
      </x:c>
      <x:c r="H1343" s="23" t="n">
        <x:v>83.64</x:v>
      </x:c>
      <x:c r="I1343" s="23" t="n">
        <x:v>81.9</x:v>
      </x:c>
      <x:c r="J1343" s="23" t="n">
        <x:f>G1343-H1343</x:f>
        <x:v>-3.4399999999999977</x:v>
      </x:c>
      <x:c r="K1343" t="str">
        <x:v>HINDCAST</x:v>
      </x:c>
      <x:c r="L1343" s="24" t="n">
        <x:v>17.3871</x:v>
      </x:c>
      <x:c r="M1343" s="24" t="n">
        <x:v>78.4916</x:v>
      </x:c>
      <x:c r="N1343" t="str">
        <x:f>IF(I1343&gt;70,"70+ dB",IF(I1343&gt;55,"56-70 dB","41-55 dB"))</x:f>
        <x:v>70+ dB</x:v>
      </x:c>
      <x:c r="O1343" t="str">
        <x:f>IF(I1343&gt;70,"High",IF(I1343&gt;55,"Moderate","Low"))</x:f>
        <x:v>High</x:v>
      </x:c>
      <x:c r="P1343" t="str">
        <x:f>IF(I1343&gt;=70,"Yes","No")</x:f>
        <x:v>Yes</x:v>
      </x:c>
      <x:c r="Q1343" t="str">
        <x:f>TEXT(B1343,"yyyy-mm")</x:f>
        <x:v>2019-03</x:v>
      </x:c>
    </x:row>
    <x:row r="1344">
      <x:c r="A1344" t="str">
        <x:v>HYD09</x:v>
      </x:c>
      <x:c r="B1344" s="22" t="n">
        <x:f>DATE(C1344,D1344,1)</x:f>
        <x:v>43556</x:v>
      </x:c>
      <x:c r="C1344" t="n">
        <x:v>2019</x:v>
      </x:c>
      <x:c r="D1344" t="n">
        <x:v>4</x:v>
      </x:c>
      <x:c r="E1344" t="str">
        <x:f>TEXT(B1344,"mmm")</x:f>
        <x:v>Apr</x:v>
      </x:c>
      <x:c r="F1344" t="str">
        <x:f>"Q"&amp;ROUNDUP(D1344/3,0)</x:f>
        <x:v>Q2</x:v>
      </x:c>
      <x:c r="G1344" s="23" t="n">
        <x:v>86.08</x:v>
      </x:c>
      <x:c r="H1344" s="23" t="n">
        <x:v>86.65</x:v>
      </x:c>
      <x:c r="I1344" s="23" t="n">
        <x:v>86.4</x:v>
      </x:c>
      <x:c r="J1344" s="23" t="n">
        <x:f>G1344-H1344</x:f>
        <x:v>-0.5700000000000074</x:v>
      </x:c>
      <x:c r="K1344" t="str">
        <x:v>HINDCAST</x:v>
      </x:c>
      <x:c r="L1344" s="24" t="n">
        <x:v>17.3871</x:v>
      </x:c>
      <x:c r="M1344" s="24" t="n">
        <x:v>78.4916</x:v>
      </x:c>
      <x:c r="N1344" t="str">
        <x:f>IF(I1344&gt;70,"70+ dB",IF(I1344&gt;55,"56-70 dB","41-55 dB"))</x:f>
        <x:v>70+ dB</x:v>
      </x:c>
      <x:c r="O1344" t="str">
        <x:f>IF(I1344&gt;70,"High",IF(I1344&gt;55,"Moderate","Low"))</x:f>
        <x:v>High</x:v>
      </x:c>
      <x:c r="P1344" t="str">
        <x:f>IF(I1344&gt;=70,"Yes","No")</x:f>
        <x:v>Yes</x:v>
      </x:c>
      <x:c r="Q1344" t="str">
        <x:f>TEXT(B1344,"yyyy-mm")</x:f>
        <x:v>2019-04</x:v>
      </x:c>
    </x:row>
    <x:row r="1345">
      <x:c r="A1345" t="str">
        <x:v>HYD09</x:v>
      </x:c>
      <x:c r="B1345" s="22" t="n">
        <x:f>DATE(C1345,D1345,1)</x:f>
        <x:v>43586</x:v>
      </x:c>
      <x:c r="C1345" t="n">
        <x:v>2019</x:v>
      </x:c>
      <x:c r="D1345" t="n">
        <x:v>5</x:v>
      </x:c>
      <x:c r="E1345" t="str">
        <x:f>TEXT(B1345,"mmm")</x:f>
        <x:v>May</x:v>
      </x:c>
      <x:c r="F1345" t="str">
        <x:f>"Q"&amp;ROUNDUP(D1345/3,0)</x:f>
        <x:v>Q2</x:v>
      </x:c>
      <x:c r="G1345" s="23" t="n">
        <x:v>80.82</x:v>
      </x:c>
      <x:c r="H1345" s="23" t="n">
        <x:v>83.09</x:v>
      </x:c>
      <x:c r="I1345" s="23" t="n">
        <x:v>82</x:v>
      </x:c>
      <x:c r="J1345" s="23" t="n">
        <x:f>G1345-H1345</x:f>
        <x:v>-2.2700000000000102</x:v>
      </x:c>
      <x:c r="K1345" t="str">
        <x:v>HINDCAST</x:v>
      </x:c>
      <x:c r="L1345" s="24" t="n">
        <x:v>17.3871</x:v>
      </x:c>
      <x:c r="M1345" s="24" t="n">
        <x:v>78.4916</x:v>
      </x:c>
      <x:c r="N1345" t="str">
        <x:f>IF(I1345&gt;70,"70+ dB",IF(I1345&gt;55,"56-70 dB","41-55 dB"))</x:f>
        <x:v>70+ dB</x:v>
      </x:c>
      <x:c r="O1345" t="str">
        <x:f>IF(I1345&gt;70,"High",IF(I1345&gt;55,"Moderate","Low"))</x:f>
        <x:v>High</x:v>
      </x:c>
      <x:c r="P1345" t="str">
        <x:f>IF(I1345&gt;=70,"Yes","No")</x:f>
        <x:v>Yes</x:v>
      </x:c>
      <x:c r="Q1345" t="str">
        <x:f>TEXT(B1345,"yyyy-mm")</x:f>
        <x:v>2019-05</x:v>
      </x:c>
    </x:row>
    <x:row r="1346">
      <x:c r="A1346" t="str">
        <x:v>HYD09</x:v>
      </x:c>
      <x:c r="B1346" s="22" t="n">
        <x:f>DATE(C1346,D1346,1)</x:f>
        <x:v>43617</x:v>
      </x:c>
      <x:c r="C1346" t="n">
        <x:v>2019</x:v>
      </x:c>
      <x:c r="D1346" t="n">
        <x:v>6</x:v>
      </x:c>
      <x:c r="E1346" t="str">
        <x:f>TEXT(B1346,"mmm")</x:f>
        <x:v>Jun</x:v>
      </x:c>
      <x:c r="F1346" t="str">
        <x:f>"Q"&amp;ROUNDUP(D1346/3,0)</x:f>
        <x:v>Q2</x:v>
      </x:c>
      <x:c r="G1346" s="23" t="n">
        <x:v>80.15</x:v>
      </x:c>
      <x:c r="H1346" s="23" t="n">
        <x:v>83.42</x:v>
      </x:c>
      <x:c r="I1346" s="23" t="n">
        <x:v>81.8</x:v>
      </x:c>
      <x:c r="J1346" s="23" t="n">
        <x:f>G1346-H1346</x:f>
        <x:v>-3.269999999999996</x:v>
      </x:c>
      <x:c r="K1346" t="str">
        <x:v>HINDCAST</x:v>
      </x:c>
      <x:c r="L1346" s="24" t="n">
        <x:v>17.3871</x:v>
      </x:c>
      <x:c r="M1346" s="24" t="n">
        <x:v>78.4916</x:v>
      </x:c>
      <x:c r="N1346" t="str">
        <x:f>IF(I1346&gt;70,"70+ dB",IF(I1346&gt;55,"56-70 dB","41-55 dB"))</x:f>
        <x:v>70+ dB</x:v>
      </x:c>
      <x:c r="O1346" t="str">
        <x:f>IF(I1346&gt;70,"High",IF(I1346&gt;55,"Moderate","Low"))</x:f>
        <x:v>High</x:v>
      </x:c>
      <x:c r="P1346" t="str">
        <x:f>IF(I1346&gt;=70,"Yes","No")</x:f>
        <x:v>Yes</x:v>
      </x:c>
      <x:c r="Q1346" t="str">
        <x:f>TEXT(B1346,"yyyy-mm")</x:f>
        <x:v>2019-06</x:v>
      </x:c>
    </x:row>
    <x:row r="1347">
      <x:c r="A1347" t="str">
        <x:v>HYD09</x:v>
      </x:c>
      <x:c r="B1347" s="22" t="n">
        <x:f>DATE(C1347,D1347,1)</x:f>
        <x:v>43647</x:v>
      </x:c>
      <x:c r="C1347" t="n">
        <x:v>2019</x:v>
      </x:c>
      <x:c r="D1347" t="n">
        <x:v>7</x:v>
      </x:c>
      <x:c r="E1347" t="str">
        <x:f>TEXT(B1347,"mmm")</x:f>
        <x:v>Jul</x:v>
      </x:c>
      <x:c r="F1347" t="str">
        <x:f>"Q"&amp;ROUNDUP(D1347/3,0)</x:f>
        <x:v>Q3</x:v>
      </x:c>
      <x:c r="G1347" s="23" t="n">
        <x:v>82.71</x:v>
      </x:c>
      <x:c r="H1347" s="23" t="n">
        <x:v>84.44</x:v>
      </x:c>
      <x:c r="I1347" s="23" t="n">
        <x:v>83.6</x:v>
      </x:c>
      <x:c r="J1347" s="23" t="n">
        <x:f>G1347-H1347</x:f>
        <x:v>-1.730000000000004</x:v>
      </x:c>
      <x:c r="K1347" t="str">
        <x:v>HINDCAST</x:v>
      </x:c>
      <x:c r="L1347" s="24" t="n">
        <x:v>17.3871</x:v>
      </x:c>
      <x:c r="M1347" s="24" t="n">
        <x:v>78.4916</x:v>
      </x:c>
      <x:c r="N1347" t="str">
        <x:f>IF(I1347&gt;70,"70+ dB",IF(I1347&gt;55,"56-70 dB","41-55 dB"))</x:f>
        <x:v>70+ dB</x:v>
      </x:c>
      <x:c r="O1347" t="str">
        <x:f>IF(I1347&gt;70,"High",IF(I1347&gt;55,"Moderate","Low"))</x:f>
        <x:v>High</x:v>
      </x:c>
      <x:c r="P1347" t="str">
        <x:f>IF(I1347&gt;=70,"Yes","No")</x:f>
        <x:v>Yes</x:v>
      </x:c>
      <x:c r="Q1347" t="str">
        <x:f>TEXT(B1347,"yyyy-mm")</x:f>
        <x:v>2019-07</x:v>
      </x:c>
    </x:row>
    <x:row r="1348">
      <x:c r="A1348" t="str">
        <x:v>HYD09</x:v>
      </x:c>
      <x:c r="B1348" s="22" t="n">
        <x:f>DATE(C1348,D1348,1)</x:f>
        <x:v>43678</x:v>
      </x:c>
      <x:c r="C1348" t="n">
        <x:v>2019</x:v>
      </x:c>
      <x:c r="D1348" t="n">
        <x:v>8</x:v>
      </x:c>
      <x:c r="E1348" t="str">
        <x:f>TEXT(B1348,"mmm")</x:f>
        <x:v>Aug</x:v>
      </x:c>
      <x:c r="F1348" t="str">
        <x:f>"Q"&amp;ROUNDUP(D1348/3,0)</x:f>
        <x:v>Q3</x:v>
      </x:c>
      <x:c r="G1348" s="23" t="n">
        <x:v>80.53</x:v>
      </x:c>
      <x:c r="H1348" s="23" t="n">
        <x:v>84.47</x:v>
      </x:c>
      <x:c r="I1348" s="23" t="n">
        <x:v>82.5</x:v>
      </x:c>
      <x:c r="J1348" s="23" t="n">
        <x:f>G1348-H1348</x:f>
        <x:v>-3.9399999999999977</x:v>
      </x:c>
      <x:c r="K1348" t="str">
        <x:v>HINDCAST</x:v>
      </x:c>
      <x:c r="L1348" s="24" t="n">
        <x:v>17.3871</x:v>
      </x:c>
      <x:c r="M1348" s="24" t="n">
        <x:v>78.4916</x:v>
      </x:c>
      <x:c r="N1348" t="str">
        <x:f>IF(I1348&gt;70,"70+ dB",IF(I1348&gt;55,"56-70 dB","41-55 dB"))</x:f>
        <x:v>70+ dB</x:v>
      </x:c>
      <x:c r="O1348" t="str">
        <x:f>IF(I1348&gt;70,"High",IF(I1348&gt;55,"Moderate","Low"))</x:f>
        <x:v>High</x:v>
      </x:c>
      <x:c r="P1348" t="str">
        <x:f>IF(I1348&gt;=70,"Yes","No")</x:f>
        <x:v>Yes</x:v>
      </x:c>
      <x:c r="Q1348" t="str">
        <x:f>TEXT(B1348,"yyyy-mm")</x:f>
        <x:v>2019-08</x:v>
      </x:c>
    </x:row>
    <x:row r="1349">
      <x:c r="A1349" t="str">
        <x:v>HYD09</x:v>
      </x:c>
      <x:c r="B1349" s="22" t="n">
        <x:f>DATE(C1349,D1349,1)</x:f>
        <x:v>43709</x:v>
      </x:c>
      <x:c r="C1349" t="n">
        <x:v>2019</x:v>
      </x:c>
      <x:c r="D1349" t="n">
        <x:v>9</x:v>
      </x:c>
      <x:c r="E1349" t="str">
        <x:f>TEXT(B1349,"mmm")</x:f>
        <x:v>Sep</x:v>
      </x:c>
      <x:c r="F1349" t="str">
        <x:f>"Q"&amp;ROUNDUP(D1349/3,0)</x:f>
        <x:v>Q3</x:v>
      </x:c>
      <x:c r="G1349" s="23" t="n">
        <x:v>84.67</x:v>
      </x:c>
      <x:c r="H1349" s="23" t="n">
        <x:v>86.8</x:v>
      </x:c>
      <x:c r="I1349" s="23" t="n">
        <x:v>85.7</x:v>
      </x:c>
      <x:c r="J1349" s="23" t="n">
        <x:f>G1349-H1349</x:f>
        <x:v>-2.1299999999999955</x:v>
      </x:c>
      <x:c r="K1349" t="str">
        <x:v>HINDCAST</x:v>
      </x:c>
      <x:c r="L1349" s="24" t="n">
        <x:v>17.3871</x:v>
      </x:c>
      <x:c r="M1349" s="24" t="n">
        <x:v>78.4916</x:v>
      </x:c>
      <x:c r="N1349" t="str">
        <x:f>IF(I1349&gt;70,"70+ dB",IF(I1349&gt;55,"56-70 dB","41-55 dB"))</x:f>
        <x:v>70+ dB</x:v>
      </x:c>
      <x:c r="O1349" t="str">
        <x:f>IF(I1349&gt;70,"High",IF(I1349&gt;55,"Moderate","Low"))</x:f>
        <x:v>High</x:v>
      </x:c>
      <x:c r="P1349" t="str">
        <x:f>IF(I1349&gt;=70,"Yes","No")</x:f>
        <x:v>Yes</x:v>
      </x:c>
      <x:c r="Q1349" t="str">
        <x:f>TEXT(B1349,"yyyy-mm")</x:f>
        <x:v>2019-09</x:v>
      </x:c>
    </x:row>
    <x:row r="1350">
      <x:c r="A1350" t="str">
        <x:v>HYD09</x:v>
      </x:c>
      <x:c r="B1350" s="22" t="n">
        <x:f>DATE(C1350,D1350,1)</x:f>
        <x:v>43739</x:v>
      </x:c>
      <x:c r="C1350" t="n">
        <x:v>2019</x:v>
      </x:c>
      <x:c r="D1350" t="n">
        <x:v>10</x:v>
      </x:c>
      <x:c r="E1350" t="str">
        <x:f>TEXT(B1350,"mmm")</x:f>
        <x:v>Oct</x:v>
      </x:c>
      <x:c r="F1350" t="str">
        <x:f>"Q"&amp;ROUNDUP(D1350/3,0)</x:f>
        <x:v>Q4</x:v>
      </x:c>
      <x:c r="G1350" s="23" t="n">
        <x:v>81.85</x:v>
      </x:c>
      <x:c r="H1350" s="23" t="n">
        <x:v>79.75</x:v>
      </x:c>
      <x:c r="I1350" s="23" t="n">
        <x:v>80.8</x:v>
      </x:c>
      <x:c r="J1350" s="23" t="n">
        <x:f>G1350-H1350</x:f>
        <x:v>2.0999999999999943</x:v>
      </x:c>
      <x:c r="K1350" t="str">
        <x:v>HINDCAST</x:v>
      </x:c>
      <x:c r="L1350" s="24" t="n">
        <x:v>17.3871</x:v>
      </x:c>
      <x:c r="M1350" s="24" t="n">
        <x:v>78.4916</x:v>
      </x:c>
      <x:c r="N1350" t="str">
        <x:f>IF(I1350&gt;70,"70+ dB",IF(I1350&gt;55,"56-70 dB","41-55 dB"))</x:f>
        <x:v>70+ dB</x:v>
      </x:c>
      <x:c r="O1350" t="str">
        <x:f>IF(I1350&gt;70,"High",IF(I1350&gt;55,"Moderate","Low"))</x:f>
        <x:v>High</x:v>
      </x:c>
      <x:c r="P1350" t="str">
        <x:f>IF(I1350&gt;=70,"Yes","No")</x:f>
        <x:v>Yes</x:v>
      </x:c>
      <x:c r="Q1350" t="str">
        <x:f>TEXT(B1350,"yyyy-mm")</x:f>
        <x:v>2019-10</x:v>
      </x:c>
    </x:row>
    <x:row r="1351">
      <x:c r="A1351" t="str">
        <x:v>HYD09</x:v>
      </x:c>
      <x:c r="B1351" s="22" t="n">
        <x:f>DATE(C1351,D1351,1)</x:f>
        <x:v>43770</x:v>
      </x:c>
      <x:c r="C1351" t="n">
        <x:v>2019</x:v>
      </x:c>
      <x:c r="D1351" t="n">
        <x:v>11</x:v>
      </x:c>
      <x:c r="E1351" t="str">
        <x:f>TEXT(B1351,"mmm")</x:f>
        <x:v>Nov</x:v>
      </x:c>
      <x:c r="F1351" t="str">
        <x:f>"Q"&amp;ROUNDUP(D1351/3,0)</x:f>
        <x:v>Q4</x:v>
      </x:c>
      <x:c r="G1351" s="23" t="n">
        <x:v>86.37</x:v>
      </x:c>
      <x:c r="H1351" s="23" t="n">
        <x:v>88.15</x:v>
      </x:c>
      <x:c r="I1351" s="23" t="n">
        <x:v>87.3</x:v>
      </x:c>
      <x:c r="J1351" s="23" t="n">
        <x:f>G1351-H1351</x:f>
        <x:v>-1.7800000000000011</x:v>
      </x:c>
      <x:c r="K1351" t="str">
        <x:v>HINDCAST</x:v>
      </x:c>
      <x:c r="L1351" s="24" t="n">
        <x:v>17.3871</x:v>
      </x:c>
      <x:c r="M1351" s="24" t="n">
        <x:v>78.4916</x:v>
      </x:c>
      <x:c r="N1351" t="str">
        <x:f>IF(I1351&gt;70,"70+ dB",IF(I1351&gt;55,"56-70 dB","41-55 dB"))</x:f>
        <x:v>70+ dB</x:v>
      </x:c>
      <x:c r="O1351" t="str">
        <x:f>IF(I1351&gt;70,"High",IF(I1351&gt;55,"Moderate","Low"))</x:f>
        <x:v>High</x:v>
      </x:c>
      <x:c r="P1351" t="str">
        <x:f>IF(I1351&gt;=70,"Yes","No")</x:f>
        <x:v>Yes</x:v>
      </x:c>
      <x:c r="Q1351" t="str">
        <x:f>TEXT(B1351,"yyyy-mm")</x:f>
        <x:v>2019-11</x:v>
      </x:c>
    </x:row>
    <x:row r="1352">
      <x:c r="A1352" t="str">
        <x:v>HYD09</x:v>
      </x:c>
      <x:c r="B1352" s="22" t="n">
        <x:f>DATE(C1352,D1352,1)</x:f>
        <x:v>43800</x:v>
      </x:c>
      <x:c r="C1352" t="n">
        <x:v>2019</x:v>
      </x:c>
      <x:c r="D1352" t="n">
        <x:v>12</x:v>
      </x:c>
      <x:c r="E1352" t="str">
        <x:f>TEXT(B1352,"mmm")</x:f>
        <x:v>Dec</x:v>
      </x:c>
      <x:c r="F1352" t="str">
        <x:f>"Q"&amp;ROUNDUP(D1352/3,0)</x:f>
        <x:v>Q4</x:v>
      </x:c>
      <x:c r="G1352" s="23" t="n">
        <x:v>93.81</x:v>
      </x:c>
      <x:c r="H1352" s="23" t="n">
        <x:v>91.69</x:v>
      </x:c>
      <x:c r="I1352" s="23" t="n">
        <x:v>92.8</x:v>
      </x:c>
      <x:c r="J1352" s="23" t="n">
        <x:f>G1352-H1352</x:f>
        <x:v>2.1200000000000045</x:v>
      </x:c>
      <x:c r="K1352" t="str">
        <x:v>HINDCAST</x:v>
      </x:c>
      <x:c r="L1352" s="24" t="n">
        <x:v>17.3871</x:v>
      </x:c>
      <x:c r="M1352" s="24" t="n">
        <x:v>78.4916</x:v>
      </x:c>
      <x:c r="N1352" t="str">
        <x:f>IF(I1352&gt;70,"70+ dB",IF(I1352&gt;55,"56-70 dB","41-55 dB"))</x:f>
        <x:v>70+ dB</x:v>
      </x:c>
      <x:c r="O1352" t="str">
        <x:f>IF(I1352&gt;70,"High",IF(I1352&gt;55,"Moderate","Low"))</x:f>
        <x:v>High</x:v>
      </x:c>
      <x:c r="P1352" t="str">
        <x:f>IF(I1352&gt;=70,"Yes","No")</x:f>
        <x:v>Yes</x:v>
      </x:c>
      <x:c r="Q1352" t="str">
        <x:f>TEXT(B1352,"yyyy-mm")</x:f>
        <x:v>2019-12</x:v>
      </x:c>
    </x:row>
    <x:row r="1353">
      <x:c r="A1353" t="str">
        <x:v>HYD09</x:v>
      </x:c>
      <x:c r="B1353" s="22" t="n">
        <x:f>DATE(C1353,D1353,1)</x:f>
        <x:v>43831</x:v>
      </x:c>
      <x:c r="C1353" t="n">
        <x:v>2020</x:v>
      </x:c>
      <x:c r="D1353" t="n">
        <x:v>1</x:v>
      </x:c>
      <x:c r="E1353" t="str">
        <x:f>TEXT(B1353,"mmm")</x:f>
        <x:v>Jan</x:v>
      </x:c>
      <x:c r="F1353" t="str">
        <x:f>"Q"&amp;ROUNDUP(D1353/3,0)</x:f>
        <x:v>Q1</x:v>
      </x:c>
      <x:c r="G1353" s="23" t="n">
        <x:v>84.05</x:v>
      </x:c>
      <x:c r="H1353" s="23" t="n">
        <x:v>86.82</x:v>
      </x:c>
      <x:c r="I1353" s="23" t="n">
        <x:v>85.4</x:v>
      </x:c>
      <x:c r="J1353" s="23" t="n">
        <x:f>G1353-H1353</x:f>
        <x:v>-2.769999999999996</x:v>
      </x:c>
      <x:c r="K1353" t="str">
        <x:v>HINDCAST</x:v>
      </x:c>
      <x:c r="L1353" s="24" t="n">
        <x:v>17.3871</x:v>
      </x:c>
      <x:c r="M1353" s="24" t="n">
        <x:v>78.4916</x:v>
      </x:c>
      <x:c r="N1353" t="str">
        <x:f>IF(I1353&gt;70,"70+ dB",IF(I1353&gt;55,"56-70 dB","41-55 dB"))</x:f>
        <x:v>70+ dB</x:v>
      </x:c>
      <x:c r="O1353" t="str">
        <x:f>IF(I1353&gt;70,"High",IF(I1353&gt;55,"Moderate","Low"))</x:f>
        <x:v>High</x:v>
      </x:c>
      <x:c r="P1353" t="str">
        <x:f>IF(I1353&gt;=70,"Yes","No")</x:f>
        <x:v>Yes</x:v>
      </x:c>
      <x:c r="Q1353" t="str">
        <x:f>TEXT(B1353,"yyyy-mm")</x:f>
        <x:v>2020-01</x:v>
      </x:c>
    </x:row>
    <x:row r="1354">
      <x:c r="A1354" t="str">
        <x:v>HYD09</x:v>
      </x:c>
      <x:c r="B1354" s="22" t="n">
        <x:f>DATE(C1354,D1354,1)</x:f>
        <x:v>43862</x:v>
      </x:c>
      <x:c r="C1354" t="n">
        <x:v>2020</x:v>
      </x:c>
      <x:c r="D1354" t="n">
        <x:v>2</x:v>
      </x:c>
      <x:c r="E1354" t="str">
        <x:f>TEXT(B1354,"mmm")</x:f>
        <x:v>Feb</x:v>
      </x:c>
      <x:c r="F1354" t="str">
        <x:f>"Q"&amp;ROUNDUP(D1354/3,0)</x:f>
        <x:v>Q1</x:v>
      </x:c>
      <x:c r="G1354" s="23" t="n">
        <x:v>81.04</x:v>
      </x:c>
      <x:c r="H1354" s="23" t="n">
        <x:v>85.62</x:v>
      </x:c>
      <x:c r="I1354" s="23" t="n">
        <x:v>83.3</x:v>
      </x:c>
      <x:c r="J1354" s="23" t="n">
        <x:f>G1354-H1354</x:f>
        <x:v>-4.579999999999998</x:v>
      </x:c>
      <x:c r="K1354" t="str">
        <x:v>HINDCAST</x:v>
      </x:c>
      <x:c r="L1354" s="24" t="n">
        <x:v>17.3871</x:v>
      </x:c>
      <x:c r="M1354" s="24" t="n">
        <x:v>78.4916</x:v>
      </x:c>
      <x:c r="N1354" t="str">
        <x:f>IF(I1354&gt;70,"70+ dB",IF(I1354&gt;55,"56-70 dB","41-55 dB"))</x:f>
        <x:v>70+ dB</x:v>
      </x:c>
      <x:c r="O1354" t="str">
        <x:f>IF(I1354&gt;70,"High",IF(I1354&gt;55,"Moderate","Low"))</x:f>
        <x:v>High</x:v>
      </x:c>
      <x:c r="P1354" t="str">
        <x:f>IF(I1354&gt;=70,"Yes","No")</x:f>
        <x:v>Yes</x:v>
      </x:c>
      <x:c r="Q1354" t="str">
        <x:f>TEXT(B1354,"yyyy-mm")</x:f>
        <x:v>2020-02</x:v>
      </x:c>
    </x:row>
    <x:row r="1355">
      <x:c r="A1355" t="str">
        <x:v>HYD09</x:v>
      </x:c>
      <x:c r="B1355" s="22" t="n">
        <x:f>DATE(C1355,D1355,1)</x:f>
        <x:v>43891</x:v>
      </x:c>
      <x:c r="C1355" t="n">
        <x:v>2020</x:v>
      </x:c>
      <x:c r="D1355" t="n">
        <x:v>3</x:v>
      </x:c>
      <x:c r="E1355" t="str">
        <x:f>TEXT(B1355,"mmm")</x:f>
        <x:v>Mar</x:v>
      </x:c>
      <x:c r="F1355" t="str">
        <x:f>"Q"&amp;ROUNDUP(D1355/3,0)</x:f>
        <x:v>Q1</x:v>
      </x:c>
      <x:c r="G1355" s="23" t="n">
        <x:v>84.29</x:v>
      </x:c>
      <x:c r="H1355" s="23" t="n">
        <x:v>87.72</x:v>
      </x:c>
      <x:c r="I1355" s="23" t="n">
        <x:v>86</x:v>
      </x:c>
      <x:c r="J1355" s="23" t="n">
        <x:f>G1355-H1355</x:f>
        <x:v>-3.4299999999999926</x:v>
      </x:c>
      <x:c r="K1355" t="str">
        <x:v>HINDCAST</x:v>
      </x:c>
      <x:c r="L1355" s="24" t="n">
        <x:v>17.3871</x:v>
      </x:c>
      <x:c r="M1355" s="24" t="n">
        <x:v>78.4916</x:v>
      </x:c>
      <x:c r="N1355" t="str">
        <x:f>IF(I1355&gt;70,"70+ dB",IF(I1355&gt;55,"56-70 dB","41-55 dB"))</x:f>
        <x:v>70+ dB</x:v>
      </x:c>
      <x:c r="O1355" t="str">
        <x:f>IF(I1355&gt;70,"High",IF(I1355&gt;55,"Moderate","Low"))</x:f>
        <x:v>High</x:v>
      </x:c>
      <x:c r="P1355" t="str">
        <x:f>IF(I1355&gt;=70,"Yes","No")</x:f>
        <x:v>Yes</x:v>
      </x:c>
      <x:c r="Q1355" t="str">
        <x:f>TEXT(B1355,"yyyy-mm")</x:f>
        <x:v>2020-03</x:v>
      </x:c>
    </x:row>
    <x:row r="1356">
      <x:c r="A1356" t="str">
        <x:v>HYD09</x:v>
      </x:c>
      <x:c r="B1356" s="22" t="n">
        <x:f>DATE(C1356,D1356,1)</x:f>
        <x:v>43922</x:v>
      </x:c>
      <x:c r="C1356" t="n">
        <x:v>2020</x:v>
      </x:c>
      <x:c r="D1356" t="n">
        <x:v>4</x:v>
      </x:c>
      <x:c r="E1356" t="str">
        <x:f>TEXT(B1356,"mmm")</x:f>
        <x:v>Apr</x:v>
      </x:c>
      <x:c r="F1356" t="str">
        <x:f>"Q"&amp;ROUNDUP(D1356/3,0)</x:f>
        <x:v>Q2</x:v>
      </x:c>
      <x:c r="G1356" s="23" t="n">
        <x:v>94.22</x:v>
      </x:c>
      <x:c r="H1356" s="23" t="n">
        <x:v>93.87</x:v>
      </x:c>
      <x:c r="I1356" s="23" t="n">
        <x:v>94</x:v>
      </x:c>
      <x:c r="J1356" s="23" t="n">
        <x:f>G1356-H1356</x:f>
        <x:v>0.3499999999999943</x:v>
      </x:c>
      <x:c r="K1356" t="str">
        <x:v>HINDCAST</x:v>
      </x:c>
      <x:c r="L1356" s="24" t="n">
        <x:v>17.3871</x:v>
      </x:c>
      <x:c r="M1356" s="24" t="n">
        <x:v>78.4916</x:v>
      </x:c>
      <x:c r="N1356" t="str">
        <x:f>IF(I1356&gt;70,"70+ dB",IF(I1356&gt;55,"56-70 dB","41-55 dB"))</x:f>
        <x:v>70+ dB</x:v>
      </x:c>
      <x:c r="O1356" t="str">
        <x:f>IF(I1356&gt;70,"High",IF(I1356&gt;55,"Moderate","Low"))</x:f>
        <x:v>High</x:v>
      </x:c>
      <x:c r="P1356" t="str">
        <x:f>IF(I1356&gt;=70,"Yes","No")</x:f>
        <x:v>Yes</x:v>
      </x:c>
      <x:c r="Q1356" t="str">
        <x:f>TEXT(B1356,"yyyy-mm")</x:f>
        <x:v>2020-04</x:v>
      </x:c>
    </x:row>
    <x:row r="1357">
      <x:c r="A1357" t="str">
        <x:v>HYD09</x:v>
      </x:c>
      <x:c r="B1357" s="22" t="n">
        <x:f>DATE(C1357,D1357,1)</x:f>
        <x:v>43952</x:v>
      </x:c>
      <x:c r="C1357" t="n">
        <x:v>2020</x:v>
      </x:c>
      <x:c r="D1357" t="n">
        <x:v>5</x:v>
      </x:c>
      <x:c r="E1357" t="str">
        <x:f>TEXT(B1357,"mmm")</x:f>
        <x:v>May</x:v>
      </x:c>
      <x:c r="F1357" t="str">
        <x:f>"Q"&amp;ROUNDUP(D1357/3,0)</x:f>
        <x:v>Q2</x:v>
      </x:c>
      <x:c r="G1357" s="23" t="n">
        <x:v>84.49</x:v>
      </x:c>
      <x:c r="H1357" s="23" t="n">
        <x:v>86.53</x:v>
      </x:c>
      <x:c r="I1357" s="23" t="n">
        <x:v>85.5</x:v>
      </x:c>
      <x:c r="J1357" s="23" t="n">
        <x:f>G1357-H1357</x:f>
        <x:v>-2.0400000000000063</x:v>
      </x:c>
      <x:c r="K1357" t="str">
        <x:v>HINDCAST</x:v>
      </x:c>
      <x:c r="L1357" s="24" t="n">
        <x:v>17.3871</x:v>
      </x:c>
      <x:c r="M1357" s="24" t="n">
        <x:v>78.4916</x:v>
      </x:c>
      <x:c r="N1357" t="str">
        <x:f>IF(I1357&gt;70,"70+ dB",IF(I1357&gt;55,"56-70 dB","41-55 dB"))</x:f>
        <x:v>70+ dB</x:v>
      </x:c>
      <x:c r="O1357" t="str">
        <x:f>IF(I1357&gt;70,"High",IF(I1357&gt;55,"Moderate","Low"))</x:f>
        <x:v>High</x:v>
      </x:c>
      <x:c r="P1357" t="str">
        <x:f>IF(I1357&gt;=70,"Yes","No")</x:f>
        <x:v>Yes</x:v>
      </x:c>
      <x:c r="Q1357" t="str">
        <x:f>TEXT(B1357,"yyyy-mm")</x:f>
        <x:v>2020-05</x:v>
      </x:c>
    </x:row>
    <x:row r="1358">
      <x:c r="A1358" t="str">
        <x:v>HYD09</x:v>
      </x:c>
      <x:c r="B1358" s="22" t="n">
        <x:f>DATE(C1358,D1358,1)</x:f>
        <x:v>43983</x:v>
      </x:c>
      <x:c r="C1358" t="n">
        <x:v>2020</x:v>
      </x:c>
      <x:c r="D1358" t="n">
        <x:v>6</x:v>
      </x:c>
      <x:c r="E1358" t="str">
        <x:f>TEXT(B1358,"mmm")</x:f>
        <x:v>Jun</x:v>
      </x:c>
      <x:c r="F1358" t="str">
        <x:f>"Q"&amp;ROUNDUP(D1358/3,0)</x:f>
        <x:v>Q2</x:v>
      </x:c>
      <x:c r="G1358" s="23" t="n">
        <x:v>84.27</x:v>
      </x:c>
      <x:c r="H1358" s="23" t="n">
        <x:v>87.15</x:v>
      </x:c>
      <x:c r="I1358" s="23" t="n">
        <x:v>85.7</x:v>
      </x:c>
      <x:c r="J1358" s="23" t="n">
        <x:f>G1358-H1358</x:f>
        <x:v>-2.8800000000000097</x:v>
      </x:c>
      <x:c r="K1358" t="str">
        <x:v>HINDCAST</x:v>
      </x:c>
      <x:c r="L1358" s="24" t="n">
        <x:v>17.3871</x:v>
      </x:c>
      <x:c r="M1358" s="24" t="n">
        <x:v>78.4916</x:v>
      </x:c>
      <x:c r="N1358" t="str">
        <x:f>IF(I1358&gt;70,"70+ dB",IF(I1358&gt;55,"56-70 dB","41-55 dB"))</x:f>
        <x:v>70+ dB</x:v>
      </x:c>
      <x:c r="O1358" t="str">
        <x:f>IF(I1358&gt;70,"High",IF(I1358&gt;55,"Moderate","Low"))</x:f>
        <x:v>High</x:v>
      </x:c>
      <x:c r="P1358" t="str">
        <x:f>IF(I1358&gt;=70,"Yes","No")</x:f>
        <x:v>Yes</x:v>
      </x:c>
      <x:c r="Q1358" t="str">
        <x:f>TEXT(B1358,"yyyy-mm")</x:f>
        <x:v>2020-06</x:v>
      </x:c>
    </x:row>
    <x:row r="1359">
      <x:c r="A1359" t="str">
        <x:v>HYD09</x:v>
      </x:c>
      <x:c r="B1359" s="22" t="n">
        <x:f>DATE(C1359,D1359,1)</x:f>
        <x:v>44013</x:v>
      </x:c>
      <x:c r="C1359" t="n">
        <x:v>2020</x:v>
      </x:c>
      <x:c r="D1359" t="n">
        <x:v>7</x:v>
      </x:c>
      <x:c r="E1359" t="str">
        <x:f>TEXT(B1359,"mmm")</x:f>
        <x:v>Jul</x:v>
      </x:c>
      <x:c r="F1359" t="str">
        <x:f>"Q"&amp;ROUNDUP(D1359/3,0)</x:f>
        <x:v>Q3</x:v>
      </x:c>
      <x:c r="G1359" s="23" t="n">
        <x:v>89.11</x:v>
      </x:c>
      <x:c r="H1359" s="23" t="n">
        <x:v>89.06</x:v>
      </x:c>
      <x:c r="I1359" s="23" t="n">
        <x:v>89.1</x:v>
      </x:c>
      <x:c r="J1359" s="23" t="n">
        <x:f>G1359-H1359</x:f>
        <x:v>0.04999999999999716</x:v>
      </x:c>
      <x:c r="K1359" t="str">
        <x:v>HINDCAST</x:v>
      </x:c>
      <x:c r="L1359" s="24" t="n">
        <x:v>17.3871</x:v>
      </x:c>
      <x:c r="M1359" s="24" t="n">
        <x:v>78.4916</x:v>
      </x:c>
      <x:c r="N1359" t="str">
        <x:f>IF(I1359&gt;70,"70+ dB",IF(I1359&gt;55,"56-70 dB","41-55 dB"))</x:f>
        <x:v>70+ dB</x:v>
      </x:c>
      <x:c r="O1359" t="str">
        <x:f>IF(I1359&gt;70,"High",IF(I1359&gt;55,"Moderate","Low"))</x:f>
        <x:v>High</x:v>
      </x:c>
      <x:c r="P1359" t="str">
        <x:f>IF(I1359&gt;=70,"Yes","No")</x:f>
        <x:v>Yes</x:v>
      </x:c>
      <x:c r="Q1359" t="str">
        <x:f>TEXT(B1359,"yyyy-mm")</x:f>
        <x:v>2020-07</x:v>
      </x:c>
    </x:row>
    <x:row r="1360">
      <x:c r="A1360" t="str">
        <x:v>HYD09</x:v>
      </x:c>
      <x:c r="B1360" s="22" t="n">
        <x:f>DATE(C1360,D1360,1)</x:f>
        <x:v>44044</x:v>
      </x:c>
      <x:c r="C1360" t="n">
        <x:v>2020</x:v>
      </x:c>
      <x:c r="D1360" t="n">
        <x:v>8</x:v>
      </x:c>
      <x:c r="E1360" t="str">
        <x:f>TEXT(B1360,"mmm")</x:f>
        <x:v>Aug</x:v>
      </x:c>
      <x:c r="F1360" t="str">
        <x:f>"Q"&amp;ROUNDUP(D1360/3,0)</x:f>
        <x:v>Q3</x:v>
      </x:c>
      <x:c r="G1360" s="23" t="n">
        <x:v>85.06</x:v>
      </x:c>
      <x:c r="H1360" s="23" t="n">
        <x:v>89.08</x:v>
      </x:c>
      <x:c r="I1360" s="23" t="n">
        <x:v>87.1</x:v>
      </x:c>
      <x:c r="J1360" s="23" t="n">
        <x:f>G1360-H1360</x:f>
        <x:v>-4.019999999999996</x:v>
      </x:c>
      <x:c r="K1360" t="str">
        <x:v>HINDCAST</x:v>
      </x:c>
      <x:c r="L1360" s="24" t="n">
        <x:v>17.3871</x:v>
      </x:c>
      <x:c r="M1360" s="24" t="n">
        <x:v>78.4916</x:v>
      </x:c>
      <x:c r="N1360" t="str">
        <x:f>IF(I1360&gt;70,"70+ dB",IF(I1360&gt;55,"56-70 dB","41-55 dB"))</x:f>
        <x:v>70+ dB</x:v>
      </x:c>
      <x:c r="O1360" t="str">
        <x:f>IF(I1360&gt;70,"High",IF(I1360&gt;55,"Moderate","Low"))</x:f>
        <x:v>High</x:v>
      </x:c>
      <x:c r="P1360" t="str">
        <x:f>IF(I1360&gt;=70,"Yes","No")</x:f>
        <x:v>Yes</x:v>
      </x:c>
      <x:c r="Q1360" t="str">
        <x:f>TEXT(B1360,"yyyy-mm")</x:f>
        <x:v>2020-08</x:v>
      </x:c>
    </x:row>
    <x:row r="1361">
      <x:c r="A1361" t="str">
        <x:v>HYD09</x:v>
      </x:c>
      <x:c r="B1361" s="22" t="n">
        <x:f>DATE(C1361,D1361,1)</x:f>
        <x:v>44075</x:v>
      </x:c>
      <x:c r="C1361" t="n">
        <x:v>2020</x:v>
      </x:c>
      <x:c r="D1361" t="n">
        <x:v>9</x:v>
      </x:c>
      <x:c r="E1361" t="str">
        <x:f>TEXT(B1361,"mmm")</x:f>
        <x:v>Sep</x:v>
      </x:c>
      <x:c r="F1361" t="str">
        <x:f>"Q"&amp;ROUNDUP(D1361/3,0)</x:f>
        <x:v>Q3</x:v>
      </x:c>
      <x:c r="G1361" s="23" t="n">
        <x:v>93.08</x:v>
      </x:c>
      <x:c r="H1361" s="23" t="n">
        <x:v>95.74</x:v>
      </x:c>
      <x:c r="I1361" s="23" t="n">
        <x:v>94.4</x:v>
      </x:c>
      <x:c r="J1361" s="23" t="n">
        <x:f>G1361-H1361</x:f>
        <x:v>-2.6599999999999966</x:v>
      </x:c>
      <x:c r="K1361" t="str">
        <x:v>HINDCAST</x:v>
      </x:c>
      <x:c r="L1361" s="24" t="n">
        <x:v>17.3871</x:v>
      </x:c>
      <x:c r="M1361" s="24" t="n">
        <x:v>78.4916</x:v>
      </x:c>
      <x:c r="N1361" t="str">
        <x:f>IF(I1361&gt;70,"70+ dB",IF(I1361&gt;55,"56-70 dB","41-55 dB"))</x:f>
        <x:v>70+ dB</x:v>
      </x:c>
      <x:c r="O1361" t="str">
        <x:f>IF(I1361&gt;70,"High",IF(I1361&gt;55,"Moderate","Low"))</x:f>
        <x:v>High</x:v>
      </x:c>
      <x:c r="P1361" t="str">
        <x:f>IF(I1361&gt;=70,"Yes","No")</x:f>
        <x:v>Yes</x:v>
      </x:c>
      <x:c r="Q1361" t="str">
        <x:f>TEXT(B1361,"yyyy-mm")</x:f>
        <x:v>2020-09</x:v>
      </x:c>
    </x:row>
    <x:row r="1362">
      <x:c r="A1362" t="str">
        <x:v>HYD09</x:v>
      </x:c>
      <x:c r="B1362" s="22" t="n">
        <x:f>DATE(C1362,D1362,1)</x:f>
        <x:v>44105</x:v>
      </x:c>
      <x:c r="C1362" t="n">
        <x:v>2020</x:v>
      </x:c>
      <x:c r="D1362" t="n">
        <x:v>10</x:v>
      </x:c>
      <x:c r="E1362" t="str">
        <x:f>TEXT(B1362,"mmm")</x:f>
        <x:v>Oct</x:v>
      </x:c>
      <x:c r="F1362" t="str">
        <x:f>"Q"&amp;ROUNDUP(D1362/3,0)</x:f>
        <x:v>Q4</x:v>
      </x:c>
      <x:c r="G1362" s="23" t="n">
        <x:v>88.82</x:v>
      </x:c>
      <x:c r="H1362" s="23" t="n">
        <x:v>87.37</x:v>
      </x:c>
      <x:c r="I1362" s="23" t="n">
        <x:v>88.1</x:v>
      </x:c>
      <x:c r="J1362" s="23" t="n">
        <x:f>G1362-H1362</x:f>
        <x:v>1.4499999999999886</x:v>
      </x:c>
      <x:c r="K1362" t="str">
        <x:v>HINDCAST</x:v>
      </x:c>
      <x:c r="L1362" s="24" t="n">
        <x:v>17.3871</x:v>
      </x:c>
      <x:c r="M1362" s="24" t="n">
        <x:v>78.4916</x:v>
      </x:c>
      <x:c r="N1362" t="str">
        <x:f>IF(I1362&gt;70,"70+ dB",IF(I1362&gt;55,"56-70 dB","41-55 dB"))</x:f>
        <x:v>70+ dB</x:v>
      </x:c>
      <x:c r="O1362" t="str">
        <x:f>IF(I1362&gt;70,"High",IF(I1362&gt;55,"Moderate","Low"))</x:f>
        <x:v>High</x:v>
      </x:c>
      <x:c r="P1362" t="str">
        <x:f>IF(I1362&gt;=70,"Yes","No")</x:f>
        <x:v>Yes</x:v>
      </x:c>
      <x:c r="Q1362" t="str">
        <x:f>TEXT(B1362,"yyyy-mm")</x:f>
        <x:v>2020-10</x:v>
      </x:c>
    </x:row>
    <x:row r="1363">
      <x:c r="A1363" t="str">
        <x:v>HYD09</x:v>
      </x:c>
      <x:c r="B1363" s="22" t="n">
        <x:f>DATE(C1363,D1363,1)</x:f>
        <x:v>44136</x:v>
      </x:c>
      <x:c r="C1363" t="n">
        <x:v>2020</x:v>
      </x:c>
      <x:c r="D1363" t="n">
        <x:v>11</x:v>
      </x:c>
      <x:c r="E1363" t="str">
        <x:f>TEXT(B1363,"mmm")</x:f>
        <x:v>Nov</x:v>
      </x:c>
      <x:c r="F1363" t="str">
        <x:f>"Q"&amp;ROUNDUP(D1363/3,0)</x:f>
        <x:v>Q4</x:v>
      </x:c>
      <x:c r="G1363" s="23" t="n">
        <x:v>90.34</x:v>
      </x:c>
      <x:c r="H1363" s="23" t="n">
        <x:v>92.01</x:v>
      </x:c>
      <x:c r="I1363" s="23" t="n">
        <x:v>91.2</x:v>
      </x:c>
      <x:c r="J1363" s="23" t="n">
        <x:f>G1363-H1363</x:f>
        <x:v>-1.6700000000000017</x:v>
      </x:c>
      <x:c r="K1363" t="str">
        <x:v>HINDCAST</x:v>
      </x:c>
      <x:c r="L1363" s="24" t="n">
        <x:v>17.3871</x:v>
      </x:c>
      <x:c r="M1363" s="24" t="n">
        <x:v>78.4916</x:v>
      </x:c>
      <x:c r="N1363" t="str">
        <x:f>IF(I1363&gt;70,"70+ dB",IF(I1363&gt;55,"56-70 dB","41-55 dB"))</x:f>
        <x:v>70+ dB</x:v>
      </x:c>
      <x:c r="O1363" t="str">
        <x:f>IF(I1363&gt;70,"High",IF(I1363&gt;55,"Moderate","Low"))</x:f>
        <x:v>High</x:v>
      </x:c>
      <x:c r="P1363" t="str">
        <x:f>IF(I1363&gt;=70,"Yes","No")</x:f>
        <x:v>Yes</x:v>
      </x:c>
      <x:c r="Q1363" t="str">
        <x:f>TEXT(B1363,"yyyy-mm")</x:f>
        <x:v>2020-11</x:v>
      </x:c>
    </x:row>
    <x:row r="1364">
      <x:c r="A1364" t="str">
        <x:v>HYD09</x:v>
      </x:c>
      <x:c r="B1364" s="22" t="n">
        <x:f>DATE(C1364,D1364,1)</x:f>
        <x:v>44166</x:v>
      </x:c>
      <x:c r="C1364" t="n">
        <x:v>2020</x:v>
      </x:c>
      <x:c r="D1364" t="n">
        <x:v>12</x:v>
      </x:c>
      <x:c r="E1364" t="str">
        <x:f>TEXT(B1364,"mmm")</x:f>
        <x:v>Dec</x:v>
      </x:c>
      <x:c r="F1364" t="str">
        <x:f>"Q"&amp;ROUNDUP(D1364/3,0)</x:f>
        <x:v>Q4</x:v>
      </x:c>
      <x:c r="G1364" s="23" t="n">
        <x:v>94.84</x:v>
      </x:c>
      <x:c r="H1364" s="23" t="n">
        <x:v>95.3</x:v>
      </x:c>
      <x:c r="I1364" s="23" t="n">
        <x:v>95.1</x:v>
      </x:c>
      <x:c r="J1364" s="23" t="n">
        <x:f>G1364-H1364</x:f>
        <x:v>-0.45999999999999375</x:v>
      </x:c>
      <x:c r="K1364" t="str">
        <x:v>HINDCAST</x:v>
      </x:c>
      <x:c r="L1364" s="24" t="n">
        <x:v>17.3871</x:v>
      </x:c>
      <x:c r="M1364" s="24" t="n">
        <x:v>78.4916</x:v>
      </x:c>
      <x:c r="N1364" t="str">
        <x:f>IF(I1364&gt;70,"70+ dB",IF(I1364&gt;55,"56-70 dB","41-55 dB"))</x:f>
        <x:v>70+ dB</x:v>
      </x:c>
      <x:c r="O1364" t="str">
        <x:f>IF(I1364&gt;70,"High",IF(I1364&gt;55,"Moderate","Low"))</x:f>
        <x:v>High</x:v>
      </x:c>
      <x:c r="P1364" t="str">
        <x:f>IF(I1364&gt;=70,"Yes","No")</x:f>
        <x:v>Yes</x:v>
      </x:c>
      <x:c r="Q1364" t="str">
        <x:f>TEXT(B1364,"yyyy-mm")</x:f>
        <x:v>2020-12</x:v>
      </x:c>
    </x:row>
    <x:row r="1365">
      <x:c r="A1365" t="str">
        <x:v>HYD09</x:v>
      </x:c>
      <x:c r="B1365" s="22" t="n">
        <x:f>DATE(C1365,D1365,1)</x:f>
        <x:v>44197</x:v>
      </x:c>
      <x:c r="C1365" t="n">
        <x:v>2021</x:v>
      </x:c>
      <x:c r="D1365" t="n">
        <x:v>1</x:v>
      </x:c>
      <x:c r="E1365" t="str">
        <x:f>TEXT(B1365,"mmm")</x:f>
        <x:v>Jan</x:v>
      </x:c>
      <x:c r="F1365" t="str">
        <x:f>"Q"&amp;ROUNDUP(D1365/3,0)</x:f>
        <x:v>Q1</x:v>
      </x:c>
      <x:c r="G1365" s="23" t="n">
        <x:v>87.92</x:v>
      </x:c>
      <x:c r="H1365" s="23" t="n">
        <x:v>91.63</x:v>
      </x:c>
      <x:c r="I1365" s="23" t="n">
        <x:v>89.8</x:v>
      </x:c>
      <x:c r="J1365" s="23" t="n">
        <x:f>G1365-H1365</x:f>
        <x:v>-3.7099999999999937</x:v>
      </x:c>
      <x:c r="K1365" t="str">
        <x:v>HINDCAST</x:v>
      </x:c>
      <x:c r="L1365" s="24" t="n">
        <x:v>17.3871</x:v>
      </x:c>
      <x:c r="M1365" s="24" t="n">
        <x:v>78.4916</x:v>
      </x:c>
      <x:c r="N1365" t="str">
        <x:f>IF(I1365&gt;70,"70+ dB",IF(I1365&gt;55,"56-70 dB","41-55 dB"))</x:f>
        <x:v>70+ dB</x:v>
      </x:c>
      <x:c r="O1365" t="str">
        <x:f>IF(I1365&gt;70,"High",IF(I1365&gt;55,"Moderate","Low"))</x:f>
        <x:v>High</x:v>
      </x:c>
      <x:c r="P1365" t="str">
        <x:f>IF(I1365&gt;=70,"Yes","No")</x:f>
        <x:v>Yes</x:v>
      </x:c>
      <x:c r="Q1365" t="str">
        <x:f>TEXT(B1365,"yyyy-mm")</x:f>
        <x:v>2021-01</x:v>
      </x:c>
    </x:row>
    <x:row r="1366">
      <x:c r="A1366" t="str">
        <x:v>HYD09</x:v>
      </x:c>
      <x:c r="B1366" s="22" t="n">
        <x:f>DATE(C1366,D1366,1)</x:f>
        <x:v>44228</x:v>
      </x:c>
      <x:c r="C1366" t="n">
        <x:v>2021</x:v>
      </x:c>
      <x:c r="D1366" t="n">
        <x:v>2</x:v>
      </x:c>
      <x:c r="E1366" t="str">
        <x:f>TEXT(B1366,"mmm")</x:f>
        <x:v>Feb</x:v>
      </x:c>
      <x:c r="F1366" t="str">
        <x:f>"Q"&amp;ROUNDUP(D1366/3,0)</x:f>
        <x:v>Q1</x:v>
      </x:c>
      <x:c r="G1366" s="23" t="n">
        <x:v>86.19</x:v>
      </x:c>
      <x:c r="H1366" s="23" t="n">
        <x:v>90.72</x:v>
      </x:c>
      <x:c r="I1366" s="23" t="n">
        <x:v>88.5</x:v>
      </x:c>
      <x:c r="J1366" s="23" t="n">
        <x:f>G1366-H1366</x:f>
        <x:v>-4.530000000000001</x:v>
      </x:c>
      <x:c r="K1366" t="str">
        <x:v>HINDCAST</x:v>
      </x:c>
      <x:c r="L1366" s="24" t="n">
        <x:v>17.3871</x:v>
      </x:c>
      <x:c r="M1366" s="24" t="n">
        <x:v>78.4916</x:v>
      </x:c>
      <x:c r="N1366" t="str">
        <x:f>IF(I1366&gt;70,"70+ dB",IF(I1366&gt;55,"56-70 dB","41-55 dB"))</x:f>
        <x:v>70+ dB</x:v>
      </x:c>
      <x:c r="O1366" t="str">
        <x:f>IF(I1366&gt;70,"High",IF(I1366&gt;55,"Moderate","Low"))</x:f>
        <x:v>High</x:v>
      </x:c>
      <x:c r="P1366" t="str">
        <x:f>IF(I1366&gt;=70,"Yes","No")</x:f>
        <x:v>Yes</x:v>
      </x:c>
      <x:c r="Q1366" t="str">
        <x:f>TEXT(B1366,"yyyy-mm")</x:f>
        <x:v>2021-02</x:v>
      </x:c>
    </x:row>
    <x:row r="1367">
      <x:c r="A1367" t="str">
        <x:v>HYD09</x:v>
      </x:c>
      <x:c r="B1367" s="22" t="n">
        <x:f>DATE(C1367,D1367,1)</x:f>
        <x:v>44256</x:v>
      </x:c>
      <x:c r="C1367" t="n">
        <x:v>2021</x:v>
      </x:c>
      <x:c r="D1367" t="n">
        <x:v>3</x:v>
      </x:c>
      <x:c r="E1367" t="str">
        <x:f>TEXT(B1367,"mmm")</x:f>
        <x:v>Mar</x:v>
      </x:c>
      <x:c r="F1367" t="str">
        <x:f>"Q"&amp;ROUNDUP(D1367/3,0)</x:f>
        <x:v>Q1</x:v>
      </x:c>
      <x:c r="G1367" s="23" t="n">
        <x:v>88.45</x:v>
      </x:c>
      <x:c r="H1367" s="23" t="n">
        <x:v>92.51</x:v>
      </x:c>
      <x:c r="I1367" s="23" t="n">
        <x:v>90.5</x:v>
      </x:c>
      <x:c r="J1367" s="23" t="n">
        <x:f>G1367-H1367</x:f>
        <x:v>-4.060000000000002</x:v>
      </x:c>
      <x:c r="K1367" t="str">
        <x:v>HINDCAST</x:v>
      </x:c>
      <x:c r="L1367" s="24" t="n">
        <x:v>17.3871</x:v>
      </x:c>
      <x:c r="M1367" s="24" t="n">
        <x:v>78.4916</x:v>
      </x:c>
      <x:c r="N1367" t="str">
        <x:f>IF(I1367&gt;70,"70+ dB",IF(I1367&gt;55,"56-70 dB","41-55 dB"))</x:f>
        <x:v>70+ dB</x:v>
      </x:c>
      <x:c r="O1367" t="str">
        <x:f>IF(I1367&gt;70,"High",IF(I1367&gt;55,"Moderate","Low"))</x:f>
        <x:v>High</x:v>
      </x:c>
      <x:c r="P1367" t="str">
        <x:f>IF(I1367&gt;=70,"Yes","No")</x:f>
        <x:v>Yes</x:v>
      </x:c>
      <x:c r="Q1367" t="str">
        <x:f>TEXT(B1367,"yyyy-mm")</x:f>
        <x:v>2021-03</x:v>
      </x:c>
    </x:row>
    <x:row r="1368">
      <x:c r="A1368" t="str">
        <x:v>HYD09</x:v>
      </x:c>
      <x:c r="B1368" s="22" t="n">
        <x:f>DATE(C1368,D1368,1)</x:f>
        <x:v>44287</x:v>
      </x:c>
      <x:c r="C1368" t="n">
        <x:v>2021</x:v>
      </x:c>
      <x:c r="D1368" t="n">
        <x:v>4</x:v>
      </x:c>
      <x:c r="E1368" t="str">
        <x:f>TEXT(B1368,"mmm")</x:f>
        <x:v>Apr</x:v>
      </x:c>
      <x:c r="F1368" t="str">
        <x:f>"Q"&amp;ROUNDUP(D1368/3,0)</x:f>
        <x:v>Q2</x:v>
      </x:c>
      <x:c r="G1368" s="23" t="n">
        <x:v>95.7</x:v>
      </x:c>
      <x:c r="H1368" s="23" t="n">
        <x:v>97.25</x:v>
      </x:c>
      <x:c r="I1368" s="23" t="n">
        <x:v>96.5</x:v>
      </x:c>
      <x:c r="J1368" s="23" t="n">
        <x:f>G1368-H1368</x:f>
        <x:v>-1.5499999999999972</x:v>
      </x:c>
      <x:c r="K1368" t="str">
        <x:v>HINDCAST</x:v>
      </x:c>
      <x:c r="L1368" s="24" t="n">
        <x:v>17.3871</x:v>
      </x:c>
      <x:c r="M1368" s="24" t="n">
        <x:v>78.4916</x:v>
      </x:c>
      <x:c r="N1368" t="str">
        <x:f>IF(I1368&gt;70,"70+ dB",IF(I1368&gt;55,"56-70 dB","41-55 dB"))</x:f>
        <x:v>70+ dB</x:v>
      </x:c>
      <x:c r="O1368" t="str">
        <x:f>IF(I1368&gt;70,"High",IF(I1368&gt;55,"Moderate","Low"))</x:f>
        <x:v>High</x:v>
      </x:c>
      <x:c r="P1368" t="str">
        <x:f>IF(I1368&gt;=70,"Yes","No")</x:f>
        <x:v>Yes</x:v>
      </x:c>
      <x:c r="Q1368" t="str">
        <x:f>TEXT(B1368,"yyyy-mm")</x:f>
        <x:v>2021-04</x:v>
      </x:c>
    </x:row>
    <x:row r="1369">
      <x:c r="A1369" t="str">
        <x:v>HYD09</x:v>
      </x:c>
      <x:c r="B1369" s="22" t="n">
        <x:f>DATE(C1369,D1369,1)</x:f>
        <x:v>44317</x:v>
      </x:c>
      <x:c r="C1369" t="n">
        <x:v>2021</x:v>
      </x:c>
      <x:c r="D1369" t="n">
        <x:v>5</x:v>
      </x:c>
      <x:c r="E1369" t="str">
        <x:f>TEXT(B1369,"mmm")</x:f>
        <x:v>May</x:v>
      </x:c>
      <x:c r="F1369" t="str">
        <x:f>"Q"&amp;ROUNDUP(D1369/3,0)</x:f>
        <x:v>Q2</x:v>
      </x:c>
      <x:c r="G1369" s="23" t="n">
        <x:v>88.93</x:v>
      </x:c>
      <x:c r="H1369" s="23" t="n">
        <x:v>91.6</x:v>
      </x:c>
      <x:c r="I1369" s="23" t="n">
        <x:v>90.3</x:v>
      </x:c>
      <x:c r="J1369" s="23" t="n">
        <x:f>G1369-H1369</x:f>
        <x:v>-2.6699999999999875</x:v>
      </x:c>
      <x:c r="K1369" t="str">
        <x:v>HINDCAST</x:v>
      </x:c>
      <x:c r="L1369" s="24" t="n">
        <x:v>17.3871</x:v>
      </x:c>
      <x:c r="M1369" s="24" t="n">
        <x:v>78.4916</x:v>
      </x:c>
      <x:c r="N1369" t="str">
        <x:f>IF(I1369&gt;70,"70+ dB",IF(I1369&gt;55,"56-70 dB","41-55 dB"))</x:f>
        <x:v>70+ dB</x:v>
      </x:c>
      <x:c r="O1369" t="str">
        <x:f>IF(I1369&gt;70,"High",IF(I1369&gt;55,"Moderate","Low"))</x:f>
        <x:v>High</x:v>
      </x:c>
      <x:c r="P1369" t="str">
        <x:f>IF(I1369&gt;=70,"Yes","No")</x:f>
        <x:v>Yes</x:v>
      </x:c>
      <x:c r="Q1369" t="str">
        <x:f>TEXT(B1369,"yyyy-mm")</x:f>
        <x:v>2021-05</x:v>
      </x:c>
    </x:row>
    <x:row r="1370">
      <x:c r="A1370" t="str">
        <x:v>HYD09</x:v>
      </x:c>
      <x:c r="B1370" s="22" t="n">
        <x:f>DATE(C1370,D1370,1)</x:f>
        <x:v>44348</x:v>
      </x:c>
      <x:c r="C1370" t="n">
        <x:v>2021</x:v>
      </x:c>
      <x:c r="D1370" t="n">
        <x:v>6</x:v>
      </x:c>
      <x:c r="E1370" t="str">
        <x:f>TEXT(B1370,"mmm")</x:f>
        <x:v>Jun</x:v>
      </x:c>
      <x:c r="F1370" t="str">
        <x:f>"Q"&amp;ROUNDUP(D1370/3,0)</x:f>
        <x:v>Q2</x:v>
      </x:c>
      <x:c r="G1370" s="23" t="n">
        <x:v>88.41</x:v>
      </x:c>
      <x:c r="H1370" s="23" t="n">
        <x:v>92.09</x:v>
      </x:c>
      <x:c r="I1370" s="23" t="n">
        <x:v>90.2</x:v>
      </x:c>
      <x:c r="J1370" s="23" t="n">
        <x:f>G1370-H1370</x:f>
        <x:v>-3.680000000000007</x:v>
      </x:c>
      <x:c r="K1370" t="str">
        <x:v>HINDCAST</x:v>
      </x:c>
      <x:c r="L1370" s="24" t="n">
        <x:v>17.3871</x:v>
      </x:c>
      <x:c r="M1370" s="24" t="n">
        <x:v>78.4916</x:v>
      </x:c>
      <x:c r="N1370" t="str">
        <x:f>IF(I1370&gt;70,"70+ dB",IF(I1370&gt;55,"56-70 dB","41-55 dB"))</x:f>
        <x:v>70+ dB</x:v>
      </x:c>
      <x:c r="O1370" t="str">
        <x:f>IF(I1370&gt;70,"High",IF(I1370&gt;55,"Moderate","Low"))</x:f>
        <x:v>High</x:v>
      </x:c>
      <x:c r="P1370" t="str">
        <x:f>IF(I1370&gt;=70,"Yes","No")</x:f>
        <x:v>Yes</x:v>
      </x:c>
      <x:c r="Q1370" t="str">
        <x:f>TEXT(B1370,"yyyy-mm")</x:f>
        <x:v>2021-06</x:v>
      </x:c>
    </x:row>
    <x:row r="1371">
      <x:c r="A1371" t="str">
        <x:v>HYD09</x:v>
      </x:c>
      <x:c r="B1371" s="22" t="n">
        <x:f>DATE(C1371,D1371,1)</x:f>
        <x:v>44378</x:v>
      </x:c>
      <x:c r="C1371" t="n">
        <x:v>2021</x:v>
      </x:c>
      <x:c r="D1371" t="n">
        <x:v>7</x:v>
      </x:c>
      <x:c r="E1371" t="str">
        <x:f>TEXT(B1371,"mmm")</x:f>
        <x:v>Jul</x:v>
      </x:c>
      <x:c r="F1371" t="str">
        <x:f>"Q"&amp;ROUNDUP(D1371/3,0)</x:f>
        <x:v>Q3</x:v>
      </x:c>
      <x:c r="G1371" s="23" t="n">
        <x:v>91.74</x:v>
      </x:c>
      <x:c r="H1371" s="23" t="n">
        <x:v>93.6</x:v>
      </x:c>
      <x:c r="I1371" s="23" t="n">
        <x:v>92.7</x:v>
      </x:c>
      <x:c r="J1371" s="23" t="n">
        <x:f>G1371-H1371</x:f>
        <x:v>-1.8599999999999994</x:v>
      </x:c>
      <x:c r="K1371" t="str">
        <x:v>HINDCAST</x:v>
      </x:c>
      <x:c r="L1371" s="24" t="n">
        <x:v>17.3871</x:v>
      </x:c>
      <x:c r="M1371" s="24" t="n">
        <x:v>78.4916</x:v>
      </x:c>
      <x:c r="N1371" t="str">
        <x:f>IF(I1371&gt;70,"70+ dB",IF(I1371&gt;55,"56-70 dB","41-55 dB"))</x:f>
        <x:v>70+ dB</x:v>
      </x:c>
      <x:c r="O1371" t="str">
        <x:f>IF(I1371&gt;70,"High",IF(I1371&gt;55,"Moderate","Low"))</x:f>
        <x:v>High</x:v>
      </x:c>
      <x:c r="P1371" t="str">
        <x:f>IF(I1371&gt;=70,"Yes","No")</x:f>
        <x:v>Yes</x:v>
      </x:c>
      <x:c r="Q1371" t="str">
        <x:f>TEXT(B1371,"yyyy-mm")</x:f>
        <x:v>2021-07</x:v>
      </x:c>
    </x:row>
    <x:row r="1372">
      <x:c r="A1372" t="str">
        <x:v>HYD09</x:v>
      </x:c>
      <x:c r="B1372" s="22" t="n">
        <x:f>DATE(C1372,D1372,1)</x:f>
        <x:v>44409</x:v>
      </x:c>
      <x:c r="C1372" t="n">
        <x:v>2021</x:v>
      </x:c>
      <x:c r="D1372" t="n">
        <x:v>8</x:v>
      </x:c>
      <x:c r="E1372" t="str">
        <x:f>TEXT(B1372,"mmm")</x:f>
        <x:v>Aug</x:v>
      </x:c>
      <x:c r="F1372" t="str">
        <x:f>"Q"&amp;ROUNDUP(D1372/3,0)</x:f>
        <x:v>Q3</x:v>
      </x:c>
      <x:c r="G1372" s="23" t="n">
        <x:v>88.92</x:v>
      </x:c>
      <x:c r="H1372" s="23" t="n">
        <x:v>93.62</x:v>
      </x:c>
      <x:c r="I1372" s="23" t="n">
        <x:v>91.3</x:v>
      </x:c>
      <x:c r="J1372" s="23" t="n">
        <x:f>G1372-H1372</x:f>
        <x:v>-4.700000000000003</x:v>
      </x:c>
      <x:c r="K1372" t="str">
        <x:v>HINDCAST</x:v>
      </x:c>
      <x:c r="L1372" s="24" t="n">
        <x:v>17.3871</x:v>
      </x:c>
      <x:c r="M1372" s="24" t="n">
        <x:v>78.4916</x:v>
      </x:c>
      <x:c r="N1372" t="str">
        <x:f>IF(I1372&gt;70,"70+ dB",IF(I1372&gt;55,"56-70 dB","41-55 dB"))</x:f>
        <x:v>70+ dB</x:v>
      </x:c>
      <x:c r="O1372" t="str">
        <x:f>IF(I1372&gt;70,"High",IF(I1372&gt;55,"Moderate","Low"))</x:f>
        <x:v>High</x:v>
      </x:c>
      <x:c r="P1372" t="str">
        <x:f>IF(I1372&gt;=70,"Yes","No")</x:f>
        <x:v>Yes</x:v>
      </x:c>
      <x:c r="Q1372" t="str">
        <x:f>TEXT(B1372,"yyyy-mm")</x:f>
        <x:v>2021-08</x:v>
      </x:c>
    </x:row>
    <x:row r="1373">
      <x:c r="A1373" t="str">
        <x:v>HYD09</x:v>
      </x:c>
      <x:c r="B1373" s="22" t="n">
        <x:f>DATE(C1373,D1373,1)</x:f>
        <x:v>44440</x:v>
      </x:c>
      <x:c r="C1373" t="n">
        <x:v>2021</x:v>
      </x:c>
      <x:c r="D1373" t="n">
        <x:v>9</x:v>
      </x:c>
      <x:c r="E1373" t="str">
        <x:f>TEXT(B1373,"mmm")</x:f>
        <x:v>Sep</x:v>
      </x:c>
      <x:c r="F1373" t="str">
        <x:f>"Q"&amp;ROUNDUP(D1373/3,0)</x:f>
        <x:v>Q3</x:v>
      </x:c>
      <x:c r="G1373" s="23" t="n">
        <x:v>94.37</x:v>
      </x:c>
      <x:c r="H1373" s="23" t="n">
        <x:v>98.35</x:v>
      </x:c>
      <x:c r="I1373" s="23" t="n">
        <x:v>96.4</x:v>
      </x:c>
      <x:c r="J1373" s="23" t="n">
        <x:f>G1373-H1373</x:f>
        <x:v>-3.9799999999999898</x:v>
      </x:c>
      <x:c r="K1373" t="str">
        <x:v>HINDCAST</x:v>
      </x:c>
      <x:c r="L1373" s="24" t="n">
        <x:v>17.3871</x:v>
      </x:c>
      <x:c r="M1373" s="24" t="n">
        <x:v>78.4916</x:v>
      </x:c>
      <x:c r="N1373" t="str">
        <x:f>IF(I1373&gt;70,"70+ dB",IF(I1373&gt;55,"56-70 dB","41-55 dB"))</x:f>
        <x:v>70+ dB</x:v>
      </x:c>
      <x:c r="O1373" t="str">
        <x:f>IF(I1373&gt;70,"High",IF(I1373&gt;55,"Moderate","Low"))</x:f>
        <x:v>High</x:v>
      </x:c>
      <x:c r="P1373" t="str">
        <x:f>IF(I1373&gt;=70,"Yes","No")</x:f>
        <x:v>Yes</x:v>
      </x:c>
      <x:c r="Q1373" t="str">
        <x:f>TEXT(B1373,"yyyy-mm")</x:f>
        <x:v>2021-09</x:v>
      </x:c>
    </x:row>
    <x:row r="1374">
      <x:c r="A1374" t="str">
        <x:v>HYD09</x:v>
      </x:c>
      <x:c r="B1374" s="22" t="n">
        <x:f>DATE(C1374,D1374,1)</x:f>
        <x:v>44470</x:v>
      </x:c>
      <x:c r="C1374" t="n">
        <x:v>2021</x:v>
      </x:c>
      <x:c r="D1374" t="n">
        <x:v>10</x:v>
      </x:c>
      <x:c r="E1374" t="str">
        <x:f>TEXT(B1374,"mmm")</x:f>
        <x:v>Oct</x:v>
      </x:c>
      <x:c r="F1374" t="str">
        <x:f>"Q"&amp;ROUNDUP(D1374/3,0)</x:f>
        <x:v>Q4</x:v>
      </x:c>
      <x:c r="G1374" s="23" t="n">
        <x:v>91.07</x:v>
      </x:c>
      <x:c r="H1374" s="23" t="n">
        <x:v>90.56</x:v>
      </x:c>
      <x:c r="I1374" s="23" t="n">
        <x:v>90.8</x:v>
      </x:c>
      <x:c r="J1374" s="23" t="n">
        <x:f>G1374-H1374</x:f>
        <x:v>0.5099999999999909</x:v>
      </x:c>
      <x:c r="K1374" t="str">
        <x:v>HINDCAST</x:v>
      </x:c>
      <x:c r="L1374" s="24" t="n">
        <x:v>17.3871</x:v>
      </x:c>
      <x:c r="M1374" s="24" t="n">
        <x:v>78.4916</x:v>
      </x:c>
      <x:c r="N1374" t="str">
        <x:f>IF(I1374&gt;70,"70+ dB",IF(I1374&gt;55,"56-70 dB","41-55 dB"))</x:f>
        <x:v>70+ dB</x:v>
      </x:c>
      <x:c r="O1374" t="str">
        <x:f>IF(I1374&gt;70,"High",IF(I1374&gt;55,"Moderate","Low"))</x:f>
        <x:v>High</x:v>
      </x:c>
      <x:c r="P1374" t="str">
        <x:f>IF(I1374&gt;=70,"Yes","No")</x:f>
        <x:v>Yes</x:v>
      </x:c>
      <x:c r="Q1374" t="str">
        <x:f>TEXT(B1374,"yyyy-mm")</x:f>
        <x:v>2021-10</x:v>
      </x:c>
    </x:row>
    <x:row r="1375">
      <x:c r="A1375" t="str">
        <x:v>HYD09</x:v>
      </x:c>
      <x:c r="B1375" s="22" t="n">
        <x:f>DATE(C1375,D1375,1)</x:f>
        <x:v>44501</x:v>
      </x:c>
      <x:c r="C1375" t="n">
        <x:v>2021</x:v>
      </x:c>
      <x:c r="D1375" t="n">
        <x:v>11</x:v>
      </x:c>
      <x:c r="E1375" t="str">
        <x:f>TEXT(B1375,"mmm")</x:f>
        <x:v>Nov</x:v>
      </x:c>
      <x:c r="F1375" t="str">
        <x:f>"Q"&amp;ROUNDUP(D1375/3,0)</x:f>
        <x:v>Q4</x:v>
      </x:c>
      <x:c r="G1375" s="23" t="n">
        <x:v>94.58</x:v>
      </x:c>
      <x:c r="H1375" s="23" t="n">
        <x:v>96.89</x:v>
      </x:c>
      <x:c r="I1375" s="23" t="n">
        <x:v>95.7</x:v>
      </x:c>
      <x:c r="J1375" s="23" t="n">
        <x:f>G1375-H1375</x:f>
        <x:v>-2.3100000000000023</x:v>
      </x:c>
      <x:c r="K1375" t="str">
        <x:v>HINDCAST</x:v>
      </x:c>
      <x:c r="L1375" s="24" t="n">
        <x:v>17.3871</x:v>
      </x:c>
      <x:c r="M1375" s="24" t="n">
        <x:v>78.4916</x:v>
      </x:c>
      <x:c r="N1375" t="str">
        <x:f>IF(I1375&gt;70,"70+ dB",IF(I1375&gt;55,"56-70 dB","41-55 dB"))</x:f>
        <x:v>70+ dB</x:v>
      </x:c>
      <x:c r="O1375" t="str">
        <x:f>IF(I1375&gt;70,"High",IF(I1375&gt;55,"Moderate","Low"))</x:f>
        <x:v>High</x:v>
      </x:c>
      <x:c r="P1375" t="str">
        <x:f>IF(I1375&gt;=70,"Yes","No")</x:f>
        <x:v>Yes</x:v>
      </x:c>
      <x:c r="Q1375" t="str">
        <x:f>TEXT(B1375,"yyyy-mm")</x:f>
        <x:v>2021-11</x:v>
      </x:c>
    </x:row>
    <x:row r="1376">
      <x:c r="A1376" t="str">
        <x:v>HYD09</x:v>
      </x:c>
      <x:c r="B1376" s="22" t="n">
        <x:f>DATE(C1376,D1376,1)</x:f>
        <x:v>44531</x:v>
      </x:c>
      <x:c r="C1376" t="n">
        <x:v>2021</x:v>
      </x:c>
      <x:c r="D1376" t="n">
        <x:v>12</x:v>
      </x:c>
      <x:c r="E1376" t="str">
        <x:f>TEXT(B1376,"mmm")</x:f>
        <x:v>Dec</x:v>
      </x:c>
      <x:c r="F1376" t="str">
        <x:f>"Q"&amp;ROUNDUP(D1376/3,0)</x:f>
        <x:v>Q4</x:v>
      </x:c>
      <x:c r="G1376" s="23" t="n">
        <x:v>101.03</x:v>
      </x:c>
      <x:c r="H1376" s="23" t="n">
        <x:v>100.3</x:v>
      </x:c>
      <x:c r="I1376" s="23" t="n">
        <x:v>100.7</x:v>
      </x:c>
      <x:c r="J1376" s="23" t="n">
        <x:f>G1376-H1376</x:f>
        <x:v>0.730000000000004</x:v>
      </x:c>
      <x:c r="K1376" t="str">
        <x:v>HINDCAST</x:v>
      </x:c>
      <x:c r="L1376" s="24" t="n">
        <x:v>17.3871</x:v>
      </x:c>
      <x:c r="M1376" s="24" t="n">
        <x:v>78.4916</x:v>
      </x:c>
      <x:c r="N1376" t="str">
        <x:f>IF(I1376&gt;70,"70+ dB",IF(I1376&gt;55,"56-70 dB","41-55 dB"))</x:f>
        <x:v>70+ dB</x:v>
      </x:c>
      <x:c r="O1376" t="str">
        <x:f>IF(I1376&gt;70,"High",IF(I1376&gt;55,"Moderate","Low"))</x:f>
        <x:v>High</x:v>
      </x:c>
      <x:c r="P1376" t="str">
        <x:f>IF(I1376&gt;=70,"Yes","No")</x:f>
        <x:v>Yes</x:v>
      </x:c>
      <x:c r="Q1376" t="str">
        <x:f>TEXT(B1376,"yyyy-mm")</x:f>
        <x:v>2021-12</x:v>
      </x:c>
    </x:row>
    <x:row r="1377">
      <x:c r="A1377" t="str">
        <x:v>HYD09</x:v>
      </x:c>
      <x:c r="B1377" s="22" t="n">
        <x:f>DATE(C1377,D1377,1)</x:f>
        <x:v>44562</x:v>
      </x:c>
      <x:c r="C1377" t="n">
        <x:v>2022</x:v>
      </x:c>
      <x:c r="D1377" t="n">
        <x:v>1</x:v>
      </x:c>
      <x:c r="E1377" t="str">
        <x:f>TEXT(B1377,"mmm")</x:f>
        <x:v>Jan</x:v>
      </x:c>
      <x:c r="F1377" t="str">
        <x:f>"Q"&amp;ROUNDUP(D1377/3,0)</x:f>
        <x:v>Q1</x:v>
      </x:c>
      <x:c r="G1377" s="23" t="n">
        <x:v>92.23</x:v>
      </x:c>
      <x:c r="H1377" s="23" t="n">
        <x:v>96.09</x:v>
      </x:c>
      <x:c r="I1377" s="23" t="n">
        <x:v>94.2</x:v>
      </x:c>
      <x:c r="J1377" s="23" t="n">
        <x:f>G1377-H1377</x:f>
        <x:v>-3.8599999999999994</x:v>
      </x:c>
      <x:c r="K1377" t="str">
        <x:v>HINDCAST</x:v>
      </x:c>
      <x:c r="L1377" s="24" t="n">
        <x:v>17.3871</x:v>
      </x:c>
      <x:c r="M1377" s="24" t="n">
        <x:v>78.4916</x:v>
      </x:c>
      <x:c r="N1377" t="str">
        <x:f>IF(I1377&gt;70,"70+ dB",IF(I1377&gt;55,"56-70 dB","41-55 dB"))</x:f>
        <x:v>70+ dB</x:v>
      </x:c>
      <x:c r="O1377" t="str">
        <x:f>IF(I1377&gt;70,"High",IF(I1377&gt;55,"Moderate","Low"))</x:f>
        <x:v>High</x:v>
      </x:c>
      <x:c r="P1377" t="str">
        <x:f>IF(I1377&gt;=70,"Yes","No")</x:f>
        <x:v>Yes</x:v>
      </x:c>
      <x:c r="Q1377" t="str">
        <x:f>TEXT(B1377,"yyyy-mm")</x:f>
        <x:v>2022-01</x:v>
      </x:c>
    </x:row>
    <x:row r="1378">
      <x:c r="A1378" t="str">
        <x:v>HYD09</x:v>
      </x:c>
      <x:c r="B1378" s="22" t="n">
        <x:f>DATE(C1378,D1378,1)</x:f>
        <x:v>44593</x:v>
      </x:c>
      <x:c r="C1378" t="n">
        <x:v>2022</x:v>
      </x:c>
      <x:c r="D1378" t="n">
        <x:v>2</x:v>
      </x:c>
      <x:c r="E1378" t="str">
        <x:f>TEXT(B1378,"mmm")</x:f>
        <x:v>Feb</x:v>
      </x:c>
      <x:c r="F1378" t="str">
        <x:f>"Q"&amp;ROUNDUP(D1378/3,0)</x:f>
        <x:v>Q1</x:v>
      </x:c>
      <x:c r="G1378" s="23" t="n">
        <x:v>89.65</x:v>
      </x:c>
      <x:c r="H1378" s="23" t="n">
        <x:v>95.05</x:v>
      </x:c>
      <x:c r="I1378" s="23" t="n">
        <x:v>92.4</x:v>
      </x:c>
      <x:c r="J1378" s="23" t="n">
        <x:f>G1378-H1378</x:f>
        <x:v>-5.3999999999999915</x:v>
      </x:c>
      <x:c r="K1378" t="str">
        <x:v>HINDCAST</x:v>
      </x:c>
      <x:c r="L1378" s="24" t="n">
        <x:v>17.3871</x:v>
      </x:c>
      <x:c r="M1378" s="24" t="n">
        <x:v>78.4916</x:v>
      </x:c>
      <x:c r="N1378" t="str">
        <x:f>IF(I1378&gt;70,"70+ dB",IF(I1378&gt;55,"56-70 dB","41-55 dB"))</x:f>
        <x:v>70+ dB</x:v>
      </x:c>
      <x:c r="O1378" t="str">
        <x:f>IF(I1378&gt;70,"High",IF(I1378&gt;55,"Moderate","Low"))</x:f>
        <x:v>High</x:v>
      </x:c>
      <x:c r="P1378" t="str">
        <x:f>IF(I1378&gt;=70,"Yes","No")</x:f>
        <x:v>Yes</x:v>
      </x:c>
      <x:c r="Q1378" t="str">
        <x:f>TEXT(B1378,"yyyy-mm")</x:f>
        <x:v>2022-02</x:v>
      </x:c>
    </x:row>
    <x:row r="1379">
      <x:c r="A1379" t="str">
        <x:v>HYD09</x:v>
      </x:c>
      <x:c r="B1379" s="22" t="n">
        <x:f>DATE(C1379,D1379,1)</x:f>
        <x:v>44621</x:v>
      </x:c>
      <x:c r="C1379" t="n">
        <x:v>2022</x:v>
      </x:c>
      <x:c r="D1379" t="n">
        <x:v>3</x:v>
      </x:c>
      <x:c r="E1379" t="str">
        <x:f>TEXT(B1379,"mmm")</x:f>
        <x:v>Mar</x:v>
      </x:c>
      <x:c r="F1379" t="str">
        <x:f>"Q"&amp;ROUNDUP(D1379/3,0)</x:f>
        <x:v>Q1</x:v>
      </x:c>
      <x:c r="G1379" s="23" t="n">
        <x:v>92.56</x:v>
      </x:c>
      <x:c r="H1379" s="23" t="n">
        <x:v>96.98</x:v>
      </x:c>
      <x:c r="I1379" s="23" t="n">
        <x:v>94.8</x:v>
      </x:c>
      <x:c r="J1379" s="23" t="n">
        <x:f>G1379-H1379</x:f>
        <x:v>-4.420000000000002</x:v>
      </x:c>
      <x:c r="K1379" t="str">
        <x:v>HINDCAST</x:v>
      </x:c>
      <x:c r="L1379" s="24" t="n">
        <x:v>17.3871</x:v>
      </x:c>
      <x:c r="M1379" s="24" t="n">
        <x:v>78.4916</x:v>
      </x:c>
      <x:c r="N1379" t="str">
        <x:f>IF(I1379&gt;70,"70+ dB",IF(I1379&gt;55,"56-70 dB","41-55 dB"))</x:f>
        <x:v>70+ dB</x:v>
      </x:c>
      <x:c r="O1379" t="str">
        <x:f>IF(I1379&gt;70,"High",IF(I1379&gt;55,"Moderate","Low"))</x:f>
        <x:v>High</x:v>
      </x:c>
      <x:c r="P1379" t="str">
        <x:f>IF(I1379&gt;=70,"Yes","No")</x:f>
        <x:v>Yes</x:v>
      </x:c>
      <x:c r="Q1379" t="str">
        <x:f>TEXT(B1379,"yyyy-mm")</x:f>
        <x:v>2022-03</x:v>
      </x:c>
    </x:row>
    <x:row r="1380">
      <x:c r="A1380" t="str">
        <x:v>HYD09</x:v>
      </x:c>
      <x:c r="B1380" s="22" t="n">
        <x:f>DATE(C1380,D1380,1)</x:f>
        <x:v>44652</x:v>
      </x:c>
      <x:c r="C1380" t="n">
        <x:v>2022</x:v>
      </x:c>
      <x:c r="D1380" t="n">
        <x:v>4</x:v>
      </x:c>
      <x:c r="E1380" t="str">
        <x:f>TEXT(B1380,"mmm")</x:f>
        <x:v>Apr</x:v>
      </x:c>
      <x:c r="F1380" t="str">
        <x:f>"Q"&amp;ROUNDUP(D1380/3,0)</x:f>
        <x:v>Q2</x:v>
      </x:c>
      <x:c r="G1380" s="23" t="n">
        <x:v>101.58</x:v>
      </x:c>
      <x:c r="H1380" s="23" t="n">
        <x:v>102.34</x:v>
      </x:c>
      <x:c r="I1380" s="23" t="n">
        <x:v>102</x:v>
      </x:c>
      <x:c r="J1380" s="23" t="n">
        <x:f>G1380-H1380</x:f>
        <x:v>-0.7600000000000051</x:v>
      </x:c>
      <x:c r="K1380" t="str">
        <x:v>HINDCAST</x:v>
      </x:c>
      <x:c r="L1380" s="24" t="n">
        <x:v>17.3871</x:v>
      </x:c>
      <x:c r="M1380" s="24" t="n">
        <x:v>78.4916</x:v>
      </x:c>
      <x:c r="N1380" t="str">
        <x:f>IF(I1380&gt;70,"70+ dB",IF(I1380&gt;55,"56-70 dB","41-55 dB"))</x:f>
        <x:v>70+ dB</x:v>
      </x:c>
      <x:c r="O1380" t="str">
        <x:f>IF(I1380&gt;70,"High",IF(I1380&gt;55,"Moderate","Low"))</x:f>
        <x:v>High</x:v>
      </x:c>
      <x:c r="P1380" t="str">
        <x:f>IF(I1380&gt;=70,"Yes","No")</x:f>
        <x:v>Yes</x:v>
      </x:c>
      <x:c r="Q1380" t="str">
        <x:f>TEXT(B1380,"yyyy-mm")</x:f>
        <x:v>2022-04</x:v>
      </x:c>
    </x:row>
    <x:row r="1381">
      <x:c r="A1381" t="str">
        <x:v>HYD09</x:v>
      </x:c>
      <x:c r="B1381" s="22" t="n">
        <x:f>DATE(C1381,D1381,1)</x:f>
        <x:v>44682</x:v>
      </x:c>
      <x:c r="C1381" t="n">
        <x:v>2022</x:v>
      </x:c>
      <x:c r="D1381" t="n">
        <x:v>5</x:v>
      </x:c>
      <x:c r="E1381" t="str">
        <x:f>TEXT(B1381,"mmm")</x:f>
        <x:v>May</x:v>
      </x:c>
      <x:c r="F1381" t="str">
        <x:f>"Q"&amp;ROUNDUP(D1381/3,0)</x:f>
        <x:v>Q2</x:v>
      </x:c>
      <x:c r="G1381" s="23" t="n">
        <x:v>92.86</x:v>
      </x:c>
      <x:c r="H1381" s="23" t="n">
        <x:v>95.94</x:v>
      </x:c>
      <x:c r="I1381" s="23" t="n">
        <x:v>94.4</x:v>
      </x:c>
      <x:c r="J1381" s="23" t="n">
        <x:f>G1381-H1381</x:f>
        <x:v>-3.0799999999999983</x:v>
      </x:c>
      <x:c r="K1381" t="str">
        <x:v>HINDCAST</x:v>
      </x:c>
      <x:c r="L1381" s="24" t="n">
        <x:v>17.3871</x:v>
      </x:c>
      <x:c r="M1381" s="24" t="n">
        <x:v>78.4916</x:v>
      </x:c>
      <x:c r="N1381" t="str">
        <x:f>IF(I1381&gt;70,"70+ dB",IF(I1381&gt;55,"56-70 dB","41-55 dB"))</x:f>
        <x:v>70+ dB</x:v>
      </x:c>
      <x:c r="O1381" t="str">
        <x:f>IF(I1381&gt;70,"High",IF(I1381&gt;55,"Moderate","Low"))</x:f>
        <x:v>High</x:v>
      </x:c>
      <x:c r="P1381" t="str">
        <x:f>IF(I1381&gt;=70,"Yes","No")</x:f>
        <x:v>Yes</x:v>
      </x:c>
      <x:c r="Q1381" t="str">
        <x:f>TEXT(B1381,"yyyy-mm")</x:f>
        <x:v>2022-05</x:v>
      </x:c>
    </x:row>
    <x:row r="1382">
      <x:c r="A1382" t="str">
        <x:v>HYD09</x:v>
      </x:c>
      <x:c r="B1382" s="22" t="n">
        <x:f>DATE(C1382,D1382,1)</x:f>
        <x:v>44713</x:v>
      </x:c>
      <x:c r="C1382" t="n">
        <x:v>2022</x:v>
      </x:c>
      <x:c r="D1382" t="n">
        <x:v>6</x:v>
      </x:c>
      <x:c r="E1382" t="str">
        <x:f>TEXT(B1382,"mmm")</x:f>
        <x:v>Jun</x:v>
      </x:c>
      <x:c r="F1382" t="str">
        <x:f>"Q"&amp;ROUNDUP(D1382/3,0)</x:f>
        <x:v>Q2</x:v>
      </x:c>
      <x:c r="G1382" s="23" t="n">
        <x:v>92.53</x:v>
      </x:c>
      <x:c r="H1382" s="23" t="n">
        <x:v>96.49</x:v>
      </x:c>
      <x:c r="I1382" s="23" t="n">
        <x:v>94.5</x:v>
      </x:c>
      <x:c r="J1382" s="23" t="n">
        <x:f>G1382-H1382</x:f>
        <x:v>-3.9599999999999937</x:v>
      </x:c>
      <x:c r="K1382" t="str">
        <x:v>HINDCAST</x:v>
      </x:c>
      <x:c r="L1382" s="24" t="n">
        <x:v>17.3871</x:v>
      </x:c>
      <x:c r="M1382" s="24" t="n">
        <x:v>78.4916</x:v>
      </x:c>
      <x:c r="N1382" t="str">
        <x:f>IF(I1382&gt;70,"70+ dB",IF(I1382&gt;55,"56-70 dB","41-55 dB"))</x:f>
        <x:v>70+ dB</x:v>
      </x:c>
      <x:c r="O1382" t="str">
        <x:f>IF(I1382&gt;70,"High",IF(I1382&gt;55,"Moderate","Low"))</x:f>
        <x:v>High</x:v>
      </x:c>
      <x:c r="P1382" t="str">
        <x:f>IF(I1382&gt;=70,"Yes","No")</x:f>
        <x:v>Yes</x:v>
      </x:c>
      <x:c r="Q1382" t="str">
        <x:f>TEXT(B1382,"yyyy-mm")</x:f>
        <x:v>2022-06</x:v>
      </x:c>
    </x:row>
    <x:row r="1383">
      <x:c r="A1383" t="str">
        <x:v>HYD09</x:v>
      </x:c>
      <x:c r="B1383" s="22" t="n">
        <x:f>DATE(C1383,D1383,1)</x:f>
        <x:v>44743</x:v>
      </x:c>
      <x:c r="C1383" t="n">
        <x:v>2022</x:v>
      </x:c>
      <x:c r="D1383" t="n">
        <x:v>7</x:v>
      </x:c>
      <x:c r="E1383" t="str">
        <x:f>TEXT(B1383,"mmm")</x:f>
        <x:v>Jul</x:v>
      </x:c>
      <x:c r="F1383" t="str">
        <x:f>"Q"&amp;ROUNDUP(D1383/3,0)</x:f>
        <x:v>Q3</x:v>
      </x:c>
      <x:c r="G1383" s="23" t="n">
        <x:v>96.86</x:v>
      </x:c>
      <x:c r="H1383" s="23" t="n">
        <x:v>98.18</x:v>
      </x:c>
      <x:c r="I1383" s="23" t="n">
        <x:v>97.5</x:v>
      </x:c>
      <x:c r="J1383" s="23" t="n">
        <x:f>G1383-H1383</x:f>
        <x:v>-1.3200000000000074</x:v>
      </x:c>
      <x:c r="K1383" t="str">
        <x:v>HINDCAST</x:v>
      </x:c>
      <x:c r="L1383" s="24" t="n">
        <x:v>17.3871</x:v>
      </x:c>
      <x:c r="M1383" s="24" t="n">
        <x:v>78.4916</x:v>
      </x:c>
      <x:c r="N1383" t="str">
        <x:f>IF(I1383&gt;70,"70+ dB",IF(I1383&gt;55,"56-70 dB","41-55 dB"))</x:f>
        <x:v>70+ dB</x:v>
      </x:c>
      <x:c r="O1383" t="str">
        <x:f>IF(I1383&gt;70,"High",IF(I1383&gt;55,"Moderate","Low"))</x:f>
        <x:v>High</x:v>
      </x:c>
      <x:c r="P1383" t="str">
        <x:f>IF(I1383&gt;=70,"Yes","No")</x:f>
        <x:v>Yes</x:v>
      </x:c>
      <x:c r="Q1383" t="str">
        <x:f>TEXT(B1383,"yyyy-mm")</x:f>
        <x:v>2022-07</x:v>
      </x:c>
    </x:row>
    <x:row r="1384">
      <x:c r="A1384" t="str">
        <x:v>HYD09</x:v>
      </x:c>
      <x:c r="B1384" s="22" t="n">
        <x:f>DATE(C1384,D1384,1)</x:f>
        <x:v>44774</x:v>
      </x:c>
      <x:c r="C1384" t="n">
        <x:v>2022</x:v>
      </x:c>
      <x:c r="D1384" t="n">
        <x:v>8</x:v>
      </x:c>
      <x:c r="E1384" t="str">
        <x:f>TEXT(B1384,"mmm")</x:f>
        <x:v>Aug</x:v>
      </x:c>
      <x:c r="F1384" t="str">
        <x:f>"Q"&amp;ROUNDUP(D1384/3,0)</x:f>
        <x:v>Q3</x:v>
      </x:c>
      <x:c r="G1384" s="23" t="n">
        <x:v>93.23</x:v>
      </x:c>
      <x:c r="H1384" s="23" t="n">
        <x:v>98.2</x:v>
      </x:c>
      <x:c r="I1384" s="23" t="n">
        <x:v>95.7</x:v>
      </x:c>
      <x:c r="J1384" s="23" t="n">
        <x:f>G1384-H1384</x:f>
        <x:v>-4.969999999999999</x:v>
      </x:c>
      <x:c r="K1384" t="str">
        <x:v>HINDCAST</x:v>
      </x:c>
      <x:c r="L1384" s="24" t="n">
        <x:v>17.3871</x:v>
      </x:c>
      <x:c r="M1384" s="24" t="n">
        <x:v>78.4916</x:v>
      </x:c>
      <x:c r="N1384" t="str">
        <x:f>IF(I1384&gt;70,"70+ dB",IF(I1384&gt;55,"56-70 dB","41-55 dB"))</x:f>
        <x:v>70+ dB</x:v>
      </x:c>
      <x:c r="O1384" t="str">
        <x:f>IF(I1384&gt;70,"High",IF(I1384&gt;55,"Moderate","Low"))</x:f>
        <x:v>High</x:v>
      </x:c>
      <x:c r="P1384" t="str">
        <x:f>IF(I1384&gt;=70,"Yes","No")</x:f>
        <x:v>Yes</x:v>
      </x:c>
      <x:c r="Q1384" t="str">
        <x:f>TEXT(B1384,"yyyy-mm")</x:f>
        <x:v>2022-08</x:v>
      </x:c>
    </x:row>
    <x:row r="1385">
      <x:c r="A1385" t="str">
        <x:v>HYD09</x:v>
      </x:c>
      <x:c r="B1385" s="22" t="n">
        <x:f>DATE(C1385,D1385,1)</x:f>
        <x:v>44805</x:v>
      </x:c>
      <x:c r="C1385" t="n">
        <x:v>2022</x:v>
      </x:c>
      <x:c r="D1385" t="n">
        <x:v>9</x:v>
      </x:c>
      <x:c r="E1385" t="str">
        <x:f>TEXT(B1385,"mmm")</x:f>
        <x:v>Sep</x:v>
      </x:c>
      <x:c r="F1385" t="str">
        <x:f>"Q"&amp;ROUNDUP(D1385/3,0)</x:f>
        <x:v>Q3</x:v>
      </x:c>
      <x:c r="G1385" s="23" t="n">
        <x:v>100.38</x:v>
      </x:c>
      <x:c r="H1385" s="23" t="n">
        <x:v>103.79</x:v>
      </x:c>
      <x:c r="I1385" s="23" t="n">
        <x:v>102.1</x:v>
      </x:c>
      <x:c r="J1385" s="23" t="n">
        <x:f>G1385-H1385</x:f>
        <x:v>-3.410000000000011</x:v>
      </x:c>
      <x:c r="K1385" t="str">
        <x:v>HINDCAST</x:v>
      </x:c>
      <x:c r="L1385" s="24" t="n">
        <x:v>17.3871</x:v>
      </x:c>
      <x:c r="M1385" s="24" t="n">
        <x:v>78.4916</x:v>
      </x:c>
      <x:c r="N1385" t="str">
        <x:f>IF(I1385&gt;70,"70+ dB",IF(I1385&gt;55,"56-70 dB","41-55 dB"))</x:f>
        <x:v>70+ dB</x:v>
      </x:c>
      <x:c r="O1385" t="str">
        <x:f>IF(I1385&gt;70,"High",IF(I1385&gt;55,"Moderate","Low"))</x:f>
        <x:v>High</x:v>
      </x:c>
      <x:c r="P1385" t="str">
        <x:f>IF(I1385&gt;=70,"Yes","No")</x:f>
        <x:v>Yes</x:v>
      </x:c>
      <x:c r="Q1385" t="str">
        <x:f>TEXT(B1385,"yyyy-mm")</x:f>
        <x:v>2022-09</x:v>
      </x:c>
    </x:row>
    <x:row r="1386">
      <x:c r="A1386" t="str">
        <x:v>HYD09</x:v>
      </x:c>
      <x:c r="B1386" s="22" t="n">
        <x:f>DATE(C1386,D1386,1)</x:f>
        <x:v>44835</x:v>
      </x:c>
      <x:c r="C1386" t="n">
        <x:v>2022</x:v>
      </x:c>
      <x:c r="D1386" t="n">
        <x:v>10</x:v>
      </x:c>
      <x:c r="E1386" t="str">
        <x:f>TEXT(B1386,"mmm")</x:f>
        <x:v>Oct</x:v>
      </x:c>
      <x:c r="F1386" t="str">
        <x:f>"Q"&amp;ROUNDUP(D1386/3,0)</x:f>
        <x:v>Q4</x:v>
      </x:c>
      <x:c r="G1386" s="23" t="n">
        <x:v>96.44</x:v>
      </x:c>
      <x:c r="H1386" s="23" t="n">
        <x:v>95.74</x:v>
      </x:c>
      <x:c r="I1386" s="23" t="n">
        <x:v>96.1</x:v>
      </x:c>
      <x:c r="J1386" s="23" t="n">
        <x:f>G1386-H1386</x:f>
        <x:v>0.7000000000000028</x:v>
      </x:c>
      <x:c r="K1386" t="str">
        <x:v>HINDCAST</x:v>
      </x:c>
      <x:c r="L1386" s="24" t="n">
        <x:v>17.3871</x:v>
      </x:c>
      <x:c r="M1386" s="24" t="n">
        <x:v>78.4916</x:v>
      </x:c>
      <x:c r="N1386" t="str">
        <x:f>IF(I1386&gt;70,"70+ dB",IF(I1386&gt;55,"56-70 dB","41-55 dB"))</x:f>
        <x:v>70+ dB</x:v>
      </x:c>
      <x:c r="O1386" t="str">
        <x:f>IF(I1386&gt;70,"High",IF(I1386&gt;55,"Moderate","Low"))</x:f>
        <x:v>High</x:v>
      </x:c>
      <x:c r="P1386" t="str">
        <x:f>IF(I1386&gt;=70,"Yes","No")</x:f>
        <x:v>Yes</x:v>
      </x:c>
      <x:c r="Q1386" t="str">
        <x:f>TEXT(B1386,"yyyy-mm")</x:f>
        <x:v>2022-10</x:v>
      </x:c>
    </x:row>
    <x:row r="1387">
      <x:c r="A1387" t="str">
        <x:v>HYD09</x:v>
      </x:c>
      <x:c r="B1387" s="22" t="n">
        <x:f>DATE(C1387,D1387,1)</x:f>
        <x:v>44866</x:v>
      </x:c>
      <x:c r="C1387" t="n">
        <x:v>2022</x:v>
      </x:c>
      <x:c r="D1387" t="n">
        <x:v>11</x:v>
      </x:c>
      <x:c r="E1387" t="str">
        <x:f>TEXT(B1387,"mmm")</x:f>
        <x:v>Nov</x:v>
      </x:c>
      <x:c r="F1387" t="str">
        <x:f>"Q"&amp;ROUNDUP(D1387/3,0)</x:f>
        <x:v>Q4</x:v>
      </x:c>
      <x:c r="G1387" s="23" t="n">
        <x:v>98.64</x:v>
      </x:c>
      <x:c r="H1387" s="23" t="n">
        <x:v>101.31</x:v>
      </x:c>
      <x:c r="I1387" s="23" t="n">
        <x:v>100</x:v>
      </x:c>
      <x:c r="J1387" s="23" t="n">
        <x:f>G1387-H1387</x:f>
        <x:v>-2.6700000000000017</x:v>
      </x:c>
      <x:c r="K1387" t="str">
        <x:v>HINDCAST</x:v>
      </x:c>
      <x:c r="L1387" s="24" t="n">
        <x:v>17.3871</x:v>
      </x:c>
      <x:c r="M1387" s="24" t="n">
        <x:v>78.4916</x:v>
      </x:c>
      <x:c r="N1387" t="str">
        <x:f>IF(I1387&gt;70,"70+ dB",IF(I1387&gt;55,"56-70 dB","41-55 dB"))</x:f>
        <x:v>70+ dB</x:v>
      </x:c>
      <x:c r="O1387" t="str">
        <x:f>IF(I1387&gt;70,"High",IF(I1387&gt;55,"Moderate","Low"))</x:f>
        <x:v>High</x:v>
      </x:c>
      <x:c r="P1387" t="str">
        <x:f>IF(I1387&gt;=70,"Yes","No")</x:f>
        <x:v>Yes</x:v>
      </x:c>
      <x:c r="Q1387" t="str">
        <x:f>TEXT(B1387,"yyyy-mm")</x:f>
        <x:v>2022-11</x:v>
      </x:c>
    </x:row>
    <x:row r="1388">
      <x:c r="A1388" t="str">
        <x:v>HYD09</x:v>
      </x:c>
      <x:c r="B1388" s="22" t="n">
        <x:f>DATE(C1388,D1388,1)</x:f>
        <x:v>44896</x:v>
      </x:c>
      <x:c r="C1388" t="n">
        <x:v>2022</x:v>
      </x:c>
      <x:c r="D1388" t="n">
        <x:v>12</x:v>
      </x:c>
      <x:c r="E1388" t="str">
        <x:f>TEXT(B1388,"mmm")</x:f>
        <x:v>Dec</x:v>
      </x:c>
      <x:c r="F1388" t="str">
        <x:f>"Q"&amp;ROUNDUP(D1388/3,0)</x:f>
        <x:v>Q4</x:v>
      </x:c>
      <x:c r="G1388" s="23" t="n">
        <x:v>103.8</x:v>
      </x:c>
      <x:c r="H1388" s="23" t="n">
        <x:v>104.67</x:v>
      </x:c>
      <x:c r="I1388" s="23" t="n">
        <x:v>104.2</x:v>
      </x:c>
      <x:c r="J1388" s="23" t="n">
        <x:f>G1388-H1388</x:f>
        <x:v>-0.8700000000000045</x:v>
      </x:c>
      <x:c r="K1388" t="str">
        <x:v>HINDCAST</x:v>
      </x:c>
      <x:c r="L1388" s="24" t="n">
        <x:v>17.3871</x:v>
      </x:c>
      <x:c r="M1388" s="24" t="n">
        <x:v>78.4916</x:v>
      </x:c>
      <x:c r="N1388" t="str">
        <x:f>IF(I1388&gt;70,"70+ dB",IF(I1388&gt;55,"56-70 dB","41-55 dB"))</x:f>
        <x:v>70+ dB</x:v>
      </x:c>
      <x:c r="O1388" t="str">
        <x:f>IF(I1388&gt;70,"High",IF(I1388&gt;55,"Moderate","Low"))</x:f>
        <x:v>High</x:v>
      </x:c>
      <x:c r="P1388" t="str">
        <x:f>IF(I1388&gt;=70,"Yes","No")</x:f>
        <x:v>Yes</x:v>
      </x:c>
      <x:c r="Q1388" t="str">
        <x:f>TEXT(B1388,"yyyy-mm")</x:f>
        <x:v>2022-12</x:v>
      </x:c>
    </x:row>
    <x:row r="1389">
      <x:c r="A1389" t="str">
        <x:v>HYD09</x:v>
      </x:c>
      <x:c r="B1389" s="22" t="n">
        <x:f>DATE(C1389,D1389,1)</x:f>
        <x:v>44927</x:v>
      </x:c>
      <x:c r="C1389" t="n">
        <x:v>2023</x:v>
      </x:c>
      <x:c r="D1389" t="n">
        <x:v>1</x:v>
      </x:c>
      <x:c r="E1389" t="str">
        <x:f>TEXT(B1389,"mmm")</x:f>
        <x:v>Jan</x:v>
      </x:c>
      <x:c r="F1389" t="str">
        <x:f>"Q"&amp;ROUNDUP(D1389/3,0)</x:f>
        <x:v>Q1</x:v>
      </x:c>
      <x:c r="G1389" s="23" t="n">
        <x:v>96.24</x:v>
      </x:c>
      <x:c r="H1389" s="23" t="n">
        <x:v>100.7</x:v>
      </x:c>
      <x:c r="I1389" s="23" t="n">
        <x:v>98.5</x:v>
      </x:c>
      <x:c r="J1389" s="23" t="n">
        <x:f>G1389-H1389</x:f>
        <x:v>-4.460000000000008</x:v>
      </x:c>
      <x:c r="K1389" t="str">
        <x:v>HINDCAST</x:v>
      </x:c>
      <x:c r="L1389" s="24" t="n">
        <x:v>17.3871</x:v>
      </x:c>
      <x:c r="M1389" s="24" t="n">
        <x:v>78.4916</x:v>
      </x:c>
      <x:c r="N1389" t="str">
        <x:f>IF(I1389&gt;70,"70+ dB",IF(I1389&gt;55,"56-70 dB","41-55 dB"))</x:f>
        <x:v>70+ dB</x:v>
      </x:c>
      <x:c r="O1389" t="str">
        <x:f>IF(I1389&gt;70,"High",IF(I1389&gt;55,"Moderate","Low"))</x:f>
        <x:v>High</x:v>
      </x:c>
      <x:c r="P1389" t="str">
        <x:f>IF(I1389&gt;=70,"Yes","No")</x:f>
        <x:v>Yes</x:v>
      </x:c>
      <x:c r="Q1389" t="str">
        <x:f>TEXT(B1389,"yyyy-mm")</x:f>
        <x:v>2023-01</x:v>
      </x:c>
    </x:row>
    <x:row r="1390">
      <x:c r="A1390" t="str">
        <x:v>HYD09</x:v>
      </x:c>
      <x:c r="B1390" s="22" t="n">
        <x:f>DATE(C1390,D1390,1)</x:f>
        <x:v>44958</x:v>
      </x:c>
      <x:c r="C1390" t="n">
        <x:v>2023</x:v>
      </x:c>
      <x:c r="D1390" t="n">
        <x:v>2</x:v>
      </x:c>
      <x:c r="E1390" t="str">
        <x:f>TEXT(B1390,"mmm")</x:f>
        <x:v>Feb</x:v>
      </x:c>
      <x:c r="F1390" t="str">
        <x:f>"Q"&amp;ROUNDUP(D1390/3,0)</x:f>
        <x:v>Q1</x:v>
      </x:c>
      <x:c r="G1390" s="23" t="n">
        <x:v>94.22</x:v>
      </x:c>
      <x:c r="H1390" s="23" t="n">
        <x:v>99.72</x:v>
      </x:c>
      <x:c r="I1390" s="23" t="n">
        <x:v>97</x:v>
      </x:c>
      <x:c r="J1390" s="23" t="n">
        <x:f>G1390-H1390</x:f>
        <x:v>-5.5</x:v>
      </x:c>
      <x:c r="K1390" t="str">
        <x:v>HINDCAST</x:v>
      </x:c>
      <x:c r="L1390" s="24" t="n">
        <x:v>17.3871</x:v>
      </x:c>
      <x:c r="M1390" s="24" t="n">
        <x:v>78.4916</x:v>
      </x:c>
      <x:c r="N1390" t="str">
        <x:f>IF(I1390&gt;70,"70+ dB",IF(I1390&gt;55,"56-70 dB","41-55 dB"))</x:f>
        <x:v>70+ dB</x:v>
      </x:c>
      <x:c r="O1390" t="str">
        <x:f>IF(I1390&gt;70,"High",IF(I1390&gt;55,"Moderate","Low"))</x:f>
        <x:v>High</x:v>
      </x:c>
      <x:c r="P1390" t="str">
        <x:f>IF(I1390&gt;=70,"Yes","No")</x:f>
        <x:v>Yes</x:v>
      </x:c>
      <x:c r="Q1390" t="str">
        <x:f>TEXT(B1390,"yyyy-mm")</x:f>
        <x:v>2023-02</x:v>
      </x:c>
    </x:row>
    <x:row r="1391">
      <x:c r="A1391" t="str">
        <x:v>HYD09</x:v>
      </x:c>
      <x:c r="B1391" s="22" t="n">
        <x:f>DATE(C1391,D1391,1)</x:f>
        <x:v>44986</x:v>
      </x:c>
      <x:c r="C1391" t="n">
        <x:v>2023</x:v>
      </x:c>
      <x:c r="D1391" t="n">
        <x:v>3</x:v>
      </x:c>
      <x:c r="E1391" t="str">
        <x:f>TEXT(B1391,"mmm")</x:f>
        <x:v>Mar</x:v>
      </x:c>
      <x:c r="F1391" t="str">
        <x:f>"Q"&amp;ROUNDUP(D1391/3,0)</x:f>
        <x:v>Q1</x:v>
      </x:c>
      <x:c r="G1391" s="23" t="n">
        <x:v>96.7</x:v>
      </x:c>
      <x:c r="H1391" s="23" t="n">
        <x:v>101.58</x:v>
      </x:c>
      <x:c r="I1391" s="23" t="n">
        <x:v>99.1</x:v>
      </x:c>
      <x:c r="J1391" s="23" t="n">
        <x:f>G1391-H1391</x:f>
        <x:v>-4.8799999999999955</x:v>
      </x:c>
      <x:c r="K1391" t="str">
        <x:v>HINDCAST</x:v>
      </x:c>
      <x:c r="L1391" s="24" t="n">
        <x:v>17.3871</x:v>
      </x:c>
      <x:c r="M1391" s="24" t="n">
        <x:v>78.4916</x:v>
      </x:c>
      <x:c r="N1391" t="str">
        <x:f>IF(I1391&gt;70,"70+ dB",IF(I1391&gt;55,"56-70 dB","41-55 dB"))</x:f>
        <x:v>70+ dB</x:v>
      </x:c>
      <x:c r="O1391" t="str">
        <x:f>IF(I1391&gt;70,"High",IF(I1391&gt;55,"Moderate","Low"))</x:f>
        <x:v>High</x:v>
      </x:c>
      <x:c r="P1391" t="str">
        <x:f>IF(I1391&gt;=70,"Yes","No")</x:f>
        <x:v>Yes</x:v>
      </x:c>
      <x:c r="Q1391" t="str">
        <x:f>TEXT(B1391,"yyyy-mm")</x:f>
        <x:v>2023-03</x:v>
      </x:c>
    </x:row>
    <x:row r="1392">
      <x:c r="A1392" t="str">
        <x:v>HYD09</x:v>
      </x:c>
      <x:c r="B1392" s="22" t="n">
        <x:f>DATE(C1392,D1392,1)</x:f>
        <x:v>45017</x:v>
      </x:c>
      <x:c r="C1392" t="n">
        <x:v>2023</x:v>
      </x:c>
      <x:c r="D1392" t="n">
        <x:v>4</x:v>
      </x:c>
      <x:c r="E1392" t="str">
        <x:f>TEXT(B1392,"mmm")</x:f>
        <x:v>Apr</x:v>
      </x:c>
      <x:c r="F1392" t="str">
        <x:f>"Q"&amp;ROUNDUP(D1392/3,0)</x:f>
        <x:v>Q2</x:v>
      </x:c>
      <x:c r="G1392" s="23" t="n">
        <x:v>104.55</x:v>
      </x:c>
      <x:c r="H1392" s="23" t="n">
        <x:v>106.67</x:v>
      </x:c>
      <x:c r="I1392" s="23" t="n">
        <x:v>105.6</x:v>
      </x:c>
      <x:c r="J1392" s="23" t="n">
        <x:f>G1392-H1392</x:f>
        <x:v>-2.1200000000000045</x:v>
      </x:c>
      <x:c r="K1392" t="str">
        <x:v>HINDCAST</x:v>
      </x:c>
      <x:c r="L1392" s="24" t="n">
        <x:v>17.3871</x:v>
      </x:c>
      <x:c r="M1392" s="24" t="n">
        <x:v>78.4916</x:v>
      </x:c>
      <x:c r="N1392" t="str">
        <x:f>IF(I1392&gt;70,"70+ dB",IF(I1392&gt;55,"56-70 dB","41-55 dB"))</x:f>
        <x:v>70+ dB</x:v>
      </x:c>
      <x:c r="O1392" t="str">
        <x:f>IF(I1392&gt;70,"High",IF(I1392&gt;55,"Moderate","Low"))</x:f>
        <x:v>High</x:v>
      </x:c>
      <x:c r="P1392" t="str">
        <x:f>IF(I1392&gt;=70,"Yes","No")</x:f>
        <x:v>Yes</x:v>
      </x:c>
      <x:c r="Q1392" t="str">
        <x:f>TEXT(B1392,"yyyy-mm")</x:f>
        <x:v>2023-04</x:v>
      </x:c>
    </x:row>
    <x:row r="1393">
      <x:c r="A1393" t="str">
        <x:v>HYD09</x:v>
      </x:c>
      <x:c r="B1393" s="22" t="n">
        <x:f>DATE(C1393,D1393,1)</x:f>
        <x:v>45047</x:v>
      </x:c>
      <x:c r="C1393" t="n">
        <x:v>2023</x:v>
      </x:c>
      <x:c r="D1393" t="n">
        <x:v>5</x:v>
      </x:c>
      <x:c r="E1393" t="str">
        <x:f>TEXT(B1393,"mmm")</x:f>
        <x:v>May</x:v>
      </x:c>
      <x:c r="F1393" t="str">
        <x:f>"Q"&amp;ROUNDUP(D1393/3,0)</x:f>
        <x:v>Q2</x:v>
      </x:c>
      <x:c r="G1393" s="23" t="n">
        <x:v>97.12</x:v>
      </x:c>
      <x:c r="H1393" s="23" t="n">
        <x:v>100.6</x:v>
      </x:c>
      <x:c r="I1393" s="23" t="n">
        <x:v>98.9</x:v>
      </x:c>
      <x:c r="J1393" s="23" t="n">
        <x:f>G1393-H1393</x:f>
        <x:v>-3.4799999999999898</x:v>
      </x:c>
      <x:c r="K1393" t="str">
        <x:v>HINDCAST</x:v>
      </x:c>
      <x:c r="L1393" s="24" t="n">
        <x:v>17.3871</x:v>
      </x:c>
      <x:c r="M1393" s="24" t="n">
        <x:v>78.4916</x:v>
      </x:c>
      <x:c r="N1393" t="str">
        <x:f>IF(I1393&gt;70,"70+ dB",IF(I1393&gt;55,"56-70 dB","41-55 dB"))</x:f>
        <x:v>70+ dB</x:v>
      </x:c>
      <x:c r="O1393" t="str">
        <x:f>IF(I1393&gt;70,"High",IF(I1393&gt;55,"Moderate","Low"))</x:f>
        <x:v>High</x:v>
      </x:c>
      <x:c r="P1393" t="str">
        <x:f>IF(I1393&gt;=70,"Yes","No")</x:f>
        <x:v>Yes</x:v>
      </x:c>
      <x:c r="Q1393" t="str">
        <x:f>TEXT(B1393,"yyyy-mm")</x:f>
        <x:v>2023-05</x:v>
      </x:c>
    </x:row>
    <x:row r="1394">
      <x:c r="A1394" t="str">
        <x:v>HYD09</x:v>
      </x:c>
      <x:c r="B1394" s="22" t="n">
        <x:f>DATE(C1394,D1394,1)</x:f>
        <x:v>45078</x:v>
      </x:c>
      <x:c r="C1394" t="n">
        <x:v>2023</x:v>
      </x:c>
      <x:c r="D1394" t="n">
        <x:v>6</x:v>
      </x:c>
      <x:c r="E1394" t="str">
        <x:f>TEXT(B1394,"mmm")</x:f>
        <x:v>Jun</x:v>
      </x:c>
      <x:c r="F1394" t="str">
        <x:f>"Q"&amp;ROUNDUP(D1394/3,0)</x:f>
        <x:v>Q2</x:v>
      </x:c>
      <x:c r="G1394" s="23" t="n">
        <x:v>96.67</x:v>
      </x:c>
      <x:c r="H1394" s="23" t="n">
        <x:v>101.13</x:v>
      </x:c>
      <x:c r="I1394" s="23" t="n">
        <x:v>98.9</x:v>
      </x:c>
      <x:c r="J1394" s="23" t="n">
        <x:f>G1394-H1394</x:f>
        <x:v>-4.459999999999994</x:v>
      </x:c>
      <x:c r="K1394" t="str">
        <x:v>HINDCAST</x:v>
      </x:c>
      <x:c r="L1394" s="24" t="n">
        <x:v>17.3871</x:v>
      </x:c>
      <x:c r="M1394" s="24" t="n">
        <x:v>78.4916</x:v>
      </x:c>
      <x:c r="N1394" t="str">
        <x:f>IF(I1394&gt;70,"70+ dB",IF(I1394&gt;55,"56-70 dB","41-55 dB"))</x:f>
        <x:v>70+ dB</x:v>
      </x:c>
      <x:c r="O1394" t="str">
        <x:f>IF(I1394&gt;70,"High",IF(I1394&gt;55,"Moderate","Low"))</x:f>
        <x:v>High</x:v>
      </x:c>
      <x:c r="P1394" t="str">
        <x:f>IF(I1394&gt;=70,"Yes","No")</x:f>
        <x:v>Yes</x:v>
      </x:c>
      <x:c r="Q1394" t="str">
        <x:f>TEXT(B1394,"yyyy-mm")</x:f>
        <x:v>2023-06</x:v>
      </x:c>
    </x:row>
    <x:row r="1395">
      <x:c r="A1395" t="str">
        <x:v>HYD09</x:v>
      </x:c>
      <x:c r="B1395" s="22" t="n">
        <x:f>DATE(C1395,D1395,1)</x:f>
        <x:v>45108</x:v>
      </x:c>
      <x:c r="C1395" t="n">
        <x:v>2023</x:v>
      </x:c>
      <x:c r="D1395" t="n">
        <x:v>7</x:v>
      </x:c>
      <x:c r="E1395" t="str">
        <x:f>TEXT(B1395,"mmm")</x:f>
        <x:v>Jul</x:v>
      </x:c>
      <x:c r="F1395" t="str">
        <x:f>"Q"&amp;ROUNDUP(D1395/3,0)</x:f>
        <x:v>Q3</x:v>
      </x:c>
      <x:c r="G1395" s="23" t="n">
        <x:v>100.33</x:v>
      </x:c>
      <x:c r="H1395" s="23" t="n">
        <x:v>102.74</x:v>
      </x:c>
      <x:c r="I1395" s="23" t="n">
        <x:v>101.5</x:v>
      </x:c>
      <x:c r="J1395" s="23" t="n">
        <x:f>G1395-H1395</x:f>
        <x:v>-2.4099999999999966</x:v>
      </x:c>
      <x:c r="K1395" t="str">
        <x:v>HINDCAST</x:v>
      </x:c>
      <x:c r="L1395" s="24" t="n">
        <x:v>17.3871</x:v>
      </x:c>
      <x:c r="M1395" s="24" t="n">
        <x:v>78.4916</x:v>
      </x:c>
      <x:c r="N1395" t="str">
        <x:f>IF(I1395&gt;70,"70+ dB",IF(I1395&gt;55,"56-70 dB","41-55 dB"))</x:f>
        <x:v>70+ dB</x:v>
      </x:c>
      <x:c r="O1395" t="str">
        <x:f>IF(I1395&gt;70,"High",IF(I1395&gt;55,"Moderate","Low"))</x:f>
        <x:v>High</x:v>
      </x:c>
      <x:c r="P1395" t="str">
        <x:f>IF(I1395&gt;=70,"Yes","No")</x:f>
        <x:v>Yes</x:v>
      </x:c>
      <x:c r="Q1395" t="str">
        <x:f>TEXT(B1395,"yyyy-mm")</x:f>
        <x:v>2023-07</x:v>
      </x:c>
    </x:row>
    <x:row r="1396">
      <x:c r="A1396" t="str">
        <x:v>HYD09</x:v>
      </x:c>
      <x:c r="B1396" s="22" t="n">
        <x:f>DATE(C1396,D1396,1)</x:f>
        <x:v>45139</x:v>
      </x:c>
      <x:c r="C1396" t="n">
        <x:v>2023</x:v>
      </x:c>
      <x:c r="D1396" t="n">
        <x:v>8</x:v>
      </x:c>
      <x:c r="E1396" t="str">
        <x:f>TEXT(B1396,"mmm")</x:f>
        <x:v>Aug</x:v>
      </x:c>
      <x:c r="F1396" t="str">
        <x:f>"Q"&amp;ROUNDUP(D1396/3,0)</x:f>
        <x:v>Q3</x:v>
      </x:c>
      <x:c r="G1396" s="23" t="n">
        <x:v>97.24</x:v>
      </x:c>
      <x:c r="H1396" s="23" t="n">
        <x:v>102.76</x:v>
      </x:c>
      <x:c r="I1396" s="23" t="n">
        <x:v>100</x:v>
      </x:c>
      <x:c r="J1396" s="23" t="n">
        <x:f>G1396-H1396</x:f>
        <x:v>-5.52000000000001</x:v>
      </x:c>
      <x:c r="K1396" t="str">
        <x:v>HINDCAST</x:v>
      </x:c>
      <x:c r="L1396" s="24" t="n">
        <x:v>17.3871</x:v>
      </x:c>
      <x:c r="M1396" s="24" t="n">
        <x:v>78.4916</x:v>
      </x:c>
      <x:c r="N1396" t="str">
        <x:f>IF(I1396&gt;70,"70+ dB",IF(I1396&gt;55,"56-70 dB","41-55 dB"))</x:f>
        <x:v>70+ dB</x:v>
      </x:c>
      <x:c r="O1396" t="str">
        <x:f>IF(I1396&gt;70,"High",IF(I1396&gt;55,"Moderate","Low"))</x:f>
        <x:v>High</x:v>
      </x:c>
      <x:c r="P1396" t="str">
        <x:f>IF(I1396&gt;=70,"Yes","No")</x:f>
        <x:v>Yes</x:v>
      </x:c>
      <x:c r="Q1396" t="str">
        <x:f>TEXT(B1396,"yyyy-mm")</x:f>
        <x:v>2023-08</x:v>
      </x:c>
    </x:row>
    <x:row r="1397">
      <x:c r="A1397" t="str">
        <x:v>HYD09</x:v>
      </x:c>
      <x:c r="B1397" s="22" t="n">
        <x:f>DATE(C1397,D1397,1)</x:f>
        <x:v>45170</x:v>
      </x:c>
      <x:c r="C1397" t="n">
        <x:v>2023</x:v>
      </x:c>
      <x:c r="D1397" t="n">
        <x:v>9</x:v>
      </x:c>
      <x:c r="E1397" t="str">
        <x:f>TEXT(B1397,"mmm")</x:f>
        <x:v>Sep</x:v>
      </x:c>
      <x:c r="F1397" t="str">
        <x:f>"Q"&amp;ROUNDUP(D1397/3,0)</x:f>
        <x:v>Q3</x:v>
      </x:c>
      <x:c r="G1397" s="23" t="n">
        <x:v>103.27</x:v>
      </x:c>
      <x:c r="H1397" s="23" t="n">
        <x:v>107.97</x:v>
      </x:c>
      <x:c r="I1397" s="23" t="n">
        <x:v>105.6</x:v>
      </x:c>
      <x:c r="J1397" s="23" t="n">
        <x:f>G1397-H1397</x:f>
        <x:v>-4.700000000000003</x:v>
      </x:c>
      <x:c r="K1397" t="str">
        <x:v>HINDCAST</x:v>
      </x:c>
      <x:c r="L1397" s="24" t="n">
        <x:v>17.3871</x:v>
      </x:c>
      <x:c r="M1397" s="24" t="n">
        <x:v>78.4916</x:v>
      </x:c>
      <x:c r="N1397" t="str">
        <x:f>IF(I1397&gt;70,"70+ dB",IF(I1397&gt;55,"56-70 dB","41-55 dB"))</x:f>
        <x:v>70+ dB</x:v>
      </x:c>
      <x:c r="O1397" t="str">
        <x:f>IF(I1397&gt;70,"High",IF(I1397&gt;55,"Moderate","Low"))</x:f>
        <x:v>High</x:v>
      </x:c>
      <x:c r="P1397" t="str">
        <x:f>IF(I1397&gt;=70,"Yes","No")</x:f>
        <x:v>Yes</x:v>
      </x:c>
      <x:c r="Q1397" t="str">
        <x:f>TEXT(B1397,"yyyy-mm")</x:f>
        <x:v>2023-09</x:v>
      </x:c>
    </x:row>
    <x:row r="1398">
      <x:c r="A1398" t="str">
        <x:v>HYD09</x:v>
      </x:c>
      <x:c r="B1398" s="22" t="n">
        <x:f>DATE(C1398,D1398,1)</x:f>
        <x:v>45200</x:v>
      </x:c>
      <x:c r="C1398" t="n">
        <x:v>2023</x:v>
      </x:c>
      <x:c r="D1398" t="n">
        <x:v>10</x:v>
      </x:c>
      <x:c r="E1398" t="str">
        <x:f>TEXT(B1398,"mmm")</x:f>
        <x:v>Oct</x:v>
      </x:c>
      <x:c r="F1398" t="str">
        <x:f>"Q"&amp;ROUNDUP(D1398/3,0)</x:f>
        <x:v>Q4</x:v>
      </x:c>
      <x:c r="G1398" s="23" t="n">
        <x:v>99.75</x:v>
      </x:c>
      <x:c r="H1398" s="23" t="n">
        <x:v>100.03</x:v>
      </x:c>
      <x:c r="I1398" s="23" t="n">
        <x:v>99.9</x:v>
      </x:c>
      <x:c r="J1398" s="23" t="n">
        <x:f>G1398-H1398</x:f>
        <x:v>-0.28000000000000114</x:v>
      </x:c>
      <x:c r="K1398" t="str">
        <x:v>HINDCAST</x:v>
      </x:c>
      <x:c r="L1398" s="24" t="n">
        <x:v>17.3871</x:v>
      </x:c>
      <x:c r="M1398" s="24" t="n">
        <x:v>78.4916</x:v>
      </x:c>
      <x:c r="N1398" t="str">
        <x:f>IF(I1398&gt;70,"70+ dB",IF(I1398&gt;55,"56-70 dB","41-55 dB"))</x:f>
        <x:v>70+ dB</x:v>
      </x:c>
      <x:c r="O1398" t="str">
        <x:f>IF(I1398&gt;70,"High",IF(I1398&gt;55,"Moderate","Low"))</x:f>
        <x:v>High</x:v>
      </x:c>
      <x:c r="P1398" t="str">
        <x:f>IF(I1398&gt;=70,"Yes","No")</x:f>
        <x:v>Yes</x:v>
      </x:c>
      <x:c r="Q1398" t="str">
        <x:f>TEXT(B1398,"yyyy-mm")</x:f>
        <x:v>2023-10</x:v>
      </x:c>
    </x:row>
    <x:row r="1399">
      <x:c r="A1399" t="str">
        <x:v>HYD09</x:v>
      </x:c>
      <x:c r="B1399" s="22" t="n">
        <x:f>DATE(C1399,D1399,1)</x:f>
        <x:v>45231</x:v>
      </x:c>
      <x:c r="C1399" t="n">
        <x:v>2023</x:v>
      </x:c>
      <x:c r="D1399" t="n">
        <x:v>11</x:v>
      </x:c>
      <x:c r="E1399" t="str">
        <x:f>TEXT(B1399,"mmm")</x:f>
        <x:v>Nov</x:v>
      </x:c>
      <x:c r="F1399" t="str">
        <x:f>"Q"&amp;ROUNDUP(D1399/3,0)</x:f>
        <x:v>Q4</x:v>
      </x:c>
      <x:c r="G1399" s="23" t="n">
        <x:v>102.82</x:v>
      </x:c>
      <x:c r="H1399" s="23" t="n">
        <x:v>105.94</x:v>
      </x:c>
      <x:c r="I1399" s="23" t="n">
        <x:v>104.4</x:v>
      </x:c>
      <x:c r="J1399" s="23" t="n">
        <x:f>G1399-H1399</x:f>
        <x:v>-3.1200000000000045</x:v>
      </x:c>
      <x:c r="K1399" t="str">
        <x:v>HINDCAST</x:v>
      </x:c>
      <x:c r="L1399" s="24" t="n">
        <x:v>17.3871</x:v>
      </x:c>
      <x:c r="M1399" s="24" t="n">
        <x:v>78.4916</x:v>
      </x:c>
      <x:c r="N1399" t="str">
        <x:f>IF(I1399&gt;70,"70+ dB",IF(I1399&gt;55,"56-70 dB","41-55 dB"))</x:f>
        <x:v>70+ dB</x:v>
      </x:c>
      <x:c r="O1399" t="str">
        <x:f>IF(I1399&gt;70,"High",IF(I1399&gt;55,"Moderate","Low"))</x:f>
        <x:v>High</x:v>
      </x:c>
      <x:c r="P1399" t="str">
        <x:f>IF(I1399&gt;=70,"Yes","No")</x:f>
        <x:v>Yes</x:v>
      </x:c>
      <x:c r="Q1399" t="str">
        <x:f>TEXT(B1399,"yyyy-mm")</x:f>
        <x:v>2023-11</x:v>
      </x:c>
    </x:row>
    <x:row r="1400">
      <x:c r="A1400" t="str">
        <x:v>HYD09</x:v>
      </x:c>
      <x:c r="B1400" s="22" t="n">
        <x:f>DATE(C1400,D1400,1)</x:f>
        <x:v>45261</x:v>
      </x:c>
      <x:c r="C1400" t="n">
        <x:v>2023</x:v>
      </x:c>
      <x:c r="D1400" t="n">
        <x:v>12</x:v>
      </x:c>
      <x:c r="E1400" t="str">
        <x:f>TEXT(B1400,"mmm")</x:f>
        <x:v>Dec</x:v>
      </x:c>
      <x:c r="F1400" t="str">
        <x:f>"Q"&amp;ROUNDUP(D1400/3,0)</x:f>
        <x:v>Q4</x:v>
      </x:c>
      <x:c r="G1400" s="23" t="n">
        <x:v>108.83</x:v>
      </x:c>
      <x:c r="H1400" s="23" t="n">
        <x:v>109.32</x:v>
      </x:c>
      <x:c r="I1400" s="23" t="n">
        <x:v>109.1</x:v>
      </x:c>
      <x:c r="J1400" s="23" t="n">
        <x:f>G1400-H1400</x:f>
        <x:v>-0.4899999999999949</x:v>
      </x:c>
      <x:c r="K1400" t="str">
        <x:v>HINDCAST</x:v>
      </x:c>
      <x:c r="L1400" s="24" t="n">
        <x:v>17.3871</x:v>
      </x:c>
      <x:c r="M1400" s="24" t="n">
        <x:v>78.4916</x:v>
      </x:c>
      <x:c r="N1400" t="str">
        <x:f>IF(I1400&gt;70,"70+ dB",IF(I1400&gt;55,"56-70 dB","41-55 dB"))</x:f>
        <x:v>70+ dB</x:v>
      </x:c>
      <x:c r="O1400" t="str">
        <x:f>IF(I1400&gt;70,"High",IF(I1400&gt;55,"Moderate","Low"))</x:f>
        <x:v>High</x:v>
      </x:c>
      <x:c r="P1400" t="str">
        <x:f>IF(I1400&gt;=70,"Yes","No")</x:f>
        <x:v>Yes</x:v>
      </x:c>
      <x:c r="Q1400" t="str">
        <x:f>TEXT(B1400,"yyyy-mm")</x:f>
        <x:v>2023-12</x:v>
      </x:c>
    </x:row>
    <x:row r="1401">
      <x:c r="A1401" t="str">
        <x:v>HYD09</x:v>
      </x:c>
      <x:c r="B1401" s="22" t="n">
        <x:f>DATE(C1401,D1401,1)</x:f>
        <x:v>45292</x:v>
      </x:c>
      <x:c r="C1401" t="n">
        <x:v>2024</x:v>
      </x:c>
      <x:c r="D1401" t="n">
        <x:v>1</x:v>
      </x:c>
      <x:c r="E1401" t="str">
        <x:f>TEXT(B1401,"mmm")</x:f>
        <x:v>Jan</x:v>
      </x:c>
      <x:c r="F1401" t="str">
        <x:f>"Q"&amp;ROUNDUP(D1401/3,0)</x:f>
        <x:v>Q1</x:v>
      </x:c>
      <x:c r="G1401" s="23" t="n">
        <x:v>100.45</x:v>
      </x:c>
      <x:c r="H1401" s="23" t="n">
        <x:v>105.25</x:v>
      </x:c>
      <x:c r="I1401" s="23" t="n">
        <x:v>102.8</x:v>
      </x:c>
      <x:c r="J1401" s="23" t="n">
        <x:f>G1401-H1401</x:f>
        <x:v>-4.799999999999997</x:v>
      </x:c>
      <x:c r="K1401" t="str">
        <x:v>HINDCAST</x:v>
      </x:c>
      <x:c r="L1401" s="24" t="n">
        <x:v>17.3871</x:v>
      </x:c>
      <x:c r="M1401" s="24" t="n">
        <x:v>78.4916</x:v>
      </x:c>
      <x:c r="N1401" t="str">
        <x:f>IF(I1401&gt;70,"70+ dB",IF(I1401&gt;55,"56-70 dB","41-55 dB"))</x:f>
        <x:v>70+ dB</x:v>
      </x:c>
      <x:c r="O1401" t="str">
        <x:f>IF(I1401&gt;70,"High",IF(I1401&gt;55,"Moderate","Low"))</x:f>
        <x:v>High</x:v>
      </x:c>
      <x:c r="P1401" t="str">
        <x:f>IF(I1401&gt;=70,"Yes","No")</x:f>
        <x:v>Yes</x:v>
      </x:c>
      <x:c r="Q1401" t="str">
        <x:f>TEXT(B1401,"yyyy-mm")</x:f>
        <x:v>2024-01</x:v>
      </x:c>
    </x:row>
    <x:row r="1402">
      <x:c r="A1402" t="str">
        <x:v>HYD09</x:v>
      </x:c>
      <x:c r="B1402" s="22" t="n">
        <x:f>DATE(C1402,D1402,1)</x:f>
        <x:v>45323</x:v>
      </x:c>
      <x:c r="C1402" t="n">
        <x:v>2024</x:v>
      </x:c>
      <x:c r="D1402" t="n">
        <x:v>2</x:v>
      </x:c>
      <x:c r="E1402" t="str">
        <x:f>TEXT(B1402,"mmm")</x:f>
        <x:v>Feb</x:v>
      </x:c>
      <x:c r="F1402" t="str">
        <x:f>"Q"&amp;ROUNDUP(D1402/3,0)</x:f>
        <x:v>Q1</x:v>
      </x:c>
      <x:c r="G1402" s="23" t="n">
        <x:v>98.06</x:v>
      </x:c>
      <x:c r="H1402" s="23" t="n">
        <x:v>104.24</x:v>
      </x:c>
      <x:c r="I1402" s="23" t="n">
        <x:v>101.2</x:v>
      </x:c>
      <x:c r="J1402" s="23" t="n">
        <x:f>G1402-H1402</x:f>
        <x:v>-6.179999999999993</x:v>
      </x:c>
      <x:c r="K1402" t="str">
        <x:v>HINDCAST</x:v>
      </x:c>
      <x:c r="L1402" s="24" t="n">
        <x:v>17.3871</x:v>
      </x:c>
      <x:c r="M1402" s="24" t="n">
        <x:v>78.4916</x:v>
      </x:c>
      <x:c r="N1402" t="str">
        <x:f>IF(I1402&gt;70,"70+ dB",IF(I1402&gt;55,"56-70 dB","41-55 dB"))</x:f>
        <x:v>70+ dB</x:v>
      </x:c>
      <x:c r="O1402" t="str">
        <x:f>IF(I1402&gt;70,"High",IF(I1402&gt;55,"Moderate","Low"))</x:f>
        <x:v>High</x:v>
      </x:c>
      <x:c r="P1402" t="str">
        <x:f>IF(I1402&gt;=70,"Yes","No")</x:f>
        <x:v>Yes</x:v>
      </x:c>
      <x:c r="Q1402" t="str">
        <x:f>TEXT(B1402,"yyyy-mm")</x:f>
        <x:v>2024-02</x:v>
      </x:c>
    </x:row>
    <x:row r="1403">
      <x:c r="A1403" t="str">
        <x:v>HYD09</x:v>
      </x:c>
      <x:c r="B1403" s="22" t="n">
        <x:f>DATE(C1403,D1403,1)</x:f>
        <x:v>45352</x:v>
      </x:c>
      <x:c r="C1403" t="n">
        <x:v>2024</x:v>
      </x:c>
      <x:c r="D1403" t="n">
        <x:v>3</x:v>
      </x:c>
      <x:c r="E1403" t="str">
        <x:f>TEXT(B1403,"mmm")</x:f>
        <x:v>Mar</x:v>
      </x:c>
      <x:c r="F1403" t="str">
        <x:f>"Q"&amp;ROUNDUP(D1403/3,0)</x:f>
        <x:v>Q1</x:v>
      </x:c>
      <x:c r="G1403" s="23" t="n">
        <x:v>100.82</x:v>
      </x:c>
      <x:c r="H1403" s="23" t="n">
        <x:v>106.13</x:v>
      </x:c>
      <x:c r="I1403" s="23" t="n">
        <x:v>103.5</x:v>
      </x:c>
      <x:c r="J1403" s="23" t="n">
        <x:f>G1403-H1403</x:f>
        <x:v>-5.310000000000002</x:v>
      </x:c>
      <x:c r="K1403" t="str">
        <x:v>HINDCAST</x:v>
      </x:c>
      <x:c r="L1403" s="24" t="n">
        <x:v>17.3871</x:v>
      </x:c>
      <x:c r="M1403" s="24" t="n">
        <x:v>78.4916</x:v>
      </x:c>
      <x:c r="N1403" t="str">
        <x:f>IF(I1403&gt;70,"70+ dB",IF(I1403&gt;55,"56-70 dB","41-55 dB"))</x:f>
        <x:v>70+ dB</x:v>
      </x:c>
      <x:c r="O1403" t="str">
        <x:f>IF(I1403&gt;70,"High",IF(I1403&gt;55,"Moderate","Low"))</x:f>
        <x:v>High</x:v>
      </x:c>
      <x:c r="P1403" t="str">
        <x:f>IF(I1403&gt;=70,"Yes","No")</x:f>
        <x:v>Yes</x:v>
      </x:c>
      <x:c r="Q1403" t="str">
        <x:f>TEXT(B1403,"yyyy-mm")</x:f>
        <x:v>2024-03</x:v>
      </x:c>
    </x:row>
    <x:row r="1404">
      <x:c r="A1404" t="str">
        <x:v>HYD09</x:v>
      </x:c>
      <x:c r="B1404" s="22" t="n">
        <x:f>DATE(C1404,D1404,1)</x:f>
        <x:v>45383</x:v>
      </x:c>
      <x:c r="C1404" t="n">
        <x:v>2024</x:v>
      </x:c>
      <x:c r="D1404" t="n">
        <x:v>4</x:v>
      </x:c>
      <x:c r="E1404" t="str">
        <x:f>TEXT(B1404,"mmm")</x:f>
        <x:v>Apr</x:v>
      </x:c>
      <x:c r="F1404" t="str">
        <x:f>"Q"&amp;ROUNDUP(D1404/3,0)</x:f>
        <x:v>Q2</x:v>
      </x:c>
      <x:c r="G1404" s="23" t="n">
        <x:v>109.45</x:v>
      </x:c>
      <x:c r="H1404" s="23" t="n">
        <x:v>111.34</x:v>
      </x:c>
      <x:c r="I1404" s="23" t="n">
        <x:v>110.4</x:v>
      </x:c>
      <x:c r="J1404" s="23" t="n">
        <x:f>G1404-H1404</x:f>
        <x:v>-1.8900000000000006</x:v>
      </x:c>
      <x:c r="K1404" t="str">
        <x:v>HINDCAST</x:v>
      </x:c>
      <x:c r="L1404" s="24" t="n">
        <x:v>17.3871</x:v>
      </x:c>
      <x:c r="M1404" s="24" t="n">
        <x:v>78.4916</x:v>
      </x:c>
      <x:c r="N1404" t="str">
        <x:f>IF(I1404&gt;70,"70+ dB",IF(I1404&gt;55,"56-70 dB","41-55 dB"))</x:f>
        <x:v>70+ dB</x:v>
      </x:c>
      <x:c r="O1404" t="str">
        <x:f>IF(I1404&gt;70,"High",IF(I1404&gt;55,"Moderate","Low"))</x:f>
        <x:v>High</x:v>
      </x:c>
      <x:c r="P1404" t="str">
        <x:f>IF(I1404&gt;=70,"Yes","No")</x:f>
        <x:v>Yes</x:v>
      </x:c>
      <x:c r="Q1404" t="str">
        <x:f>TEXT(B1404,"yyyy-mm")</x:f>
        <x:v>2024-04</x:v>
      </x:c>
    </x:row>
    <x:row r="1405">
      <x:c r="A1405" t="str">
        <x:v>HYD09</x:v>
      </x:c>
      <x:c r="B1405" s="22" t="n">
        <x:f>DATE(C1405,D1405,1)</x:f>
        <x:v>45413</x:v>
      </x:c>
      <x:c r="C1405" t="n">
        <x:v>2024</x:v>
      </x:c>
      <x:c r="D1405" t="n">
        <x:v>5</x:v>
      </x:c>
      <x:c r="E1405" t="str">
        <x:f>TEXT(B1405,"mmm")</x:f>
        <x:v>May</x:v>
      </x:c>
      <x:c r="F1405" t="str">
        <x:f>"Q"&amp;ROUNDUP(D1405/3,0)</x:f>
        <x:v>Q2</x:v>
      </x:c>
      <x:c r="G1405" s="23" t="n">
        <x:v>101.16</x:v>
      </x:c>
      <x:c r="H1405" s="23" t="n">
        <x:v>105.13</x:v>
      </x:c>
      <x:c r="I1405" s="23" t="n">
        <x:v>103.1</x:v>
      </x:c>
      <x:c r="J1405" s="23" t="n">
        <x:f>G1405-H1405</x:f>
        <x:v>-3.969999999999999</x:v>
      </x:c>
      <x:c r="K1405" t="str">
        <x:v>HINDCAST</x:v>
      </x:c>
      <x:c r="L1405" s="24" t="n">
        <x:v>17.3871</x:v>
      </x:c>
      <x:c r="M1405" s="24" t="n">
        <x:v>78.4916</x:v>
      </x:c>
      <x:c r="N1405" t="str">
        <x:f>IF(I1405&gt;70,"70+ dB",IF(I1405&gt;55,"56-70 dB","41-55 dB"))</x:f>
        <x:v>70+ dB</x:v>
      </x:c>
      <x:c r="O1405" t="str">
        <x:f>IF(I1405&gt;70,"High",IF(I1405&gt;55,"Moderate","Low"))</x:f>
        <x:v>High</x:v>
      </x:c>
      <x:c r="P1405" t="str">
        <x:f>IF(I1405&gt;=70,"Yes","No")</x:f>
        <x:v>Yes</x:v>
      </x:c>
      <x:c r="Q1405" t="str">
        <x:f>TEXT(B1405,"yyyy-mm")</x:f>
        <x:v>2024-05</x:v>
      </x:c>
    </x:row>
    <x:row r="1406">
      <x:c r="A1406" t="str">
        <x:v>HYD09</x:v>
      </x:c>
      <x:c r="B1406" s="22" t="n">
        <x:f>DATE(C1406,D1406,1)</x:f>
        <x:v>45444</x:v>
      </x:c>
      <x:c r="C1406" t="n">
        <x:v>2024</x:v>
      </x:c>
      <x:c r="D1406" t="n">
        <x:v>6</x:v>
      </x:c>
      <x:c r="E1406" t="str">
        <x:f>TEXT(B1406,"mmm")</x:f>
        <x:v>Jun</x:v>
      </x:c>
      <x:c r="F1406" t="str">
        <x:f>"Q"&amp;ROUNDUP(D1406/3,0)</x:f>
        <x:v>Q2</x:v>
      </x:c>
      <x:c r="G1406" s="23" t="n">
        <x:v>100.8</x:v>
      </x:c>
      <x:c r="H1406" s="23" t="n">
        <x:v>105.67</x:v>
      </x:c>
      <x:c r="I1406" s="23" t="n">
        <x:v>103.2</x:v>
      </x:c>
      <x:c r="J1406" s="23" t="n">
        <x:f>G1406-H1406</x:f>
        <x:v>-4.8700000000000045</x:v>
      </x:c>
      <x:c r="K1406" t="str">
        <x:v>HINDCAST</x:v>
      </x:c>
      <x:c r="L1406" s="24" t="n">
        <x:v>17.3871</x:v>
      </x:c>
      <x:c r="M1406" s="24" t="n">
        <x:v>78.4916</x:v>
      </x:c>
      <x:c r="N1406" t="str">
        <x:f>IF(I1406&gt;70,"70+ dB",IF(I1406&gt;55,"56-70 dB","41-55 dB"))</x:f>
        <x:v>70+ dB</x:v>
      </x:c>
      <x:c r="O1406" t="str">
        <x:f>IF(I1406&gt;70,"High",IF(I1406&gt;55,"Moderate","Low"))</x:f>
        <x:v>High</x:v>
      </x:c>
      <x:c r="P1406" t="str">
        <x:f>IF(I1406&gt;=70,"Yes","No")</x:f>
        <x:v>Yes</x:v>
      </x:c>
      <x:c r="Q1406" t="str">
        <x:f>TEXT(B1406,"yyyy-mm")</x:f>
        <x:v>2024-06</x:v>
      </x:c>
    </x:row>
    <x:row r="1407">
      <x:c r="A1407" t="str">
        <x:v>HYD09</x:v>
      </x:c>
      <x:c r="B1407" s="22" t="n">
        <x:f>DATE(C1407,D1407,1)</x:f>
        <x:v>45474</x:v>
      </x:c>
      <x:c r="C1407" t="n">
        <x:v>2024</x:v>
      </x:c>
      <x:c r="D1407" t="n">
        <x:v>7</x:v>
      </x:c>
      <x:c r="E1407" t="str">
        <x:f>TEXT(B1407,"mmm")</x:f>
        <x:v>Jul</x:v>
      </x:c>
      <x:c r="F1407" t="str">
        <x:f>"Q"&amp;ROUNDUP(D1407/3,0)</x:f>
        <x:v>Q3</x:v>
      </x:c>
      <x:c r="G1407" s="23" t="n">
        <x:v>104.9</x:v>
      </x:c>
      <x:c r="H1407" s="23" t="n">
        <x:v>107.31</x:v>
      </x:c>
      <x:c r="I1407" s="23" t="n">
        <x:v>106.1</x:v>
      </x:c>
      <x:c r="J1407" s="23" t="n">
        <x:f>G1407-H1407</x:f>
        <x:v>-2.4099999999999966</x:v>
      </x:c>
      <x:c r="K1407" t="str">
        <x:v>HINDCAST</x:v>
      </x:c>
      <x:c r="L1407" s="24" t="n">
        <x:v>17.3871</x:v>
      </x:c>
      <x:c r="M1407" s="24" t="n">
        <x:v>78.4916</x:v>
      </x:c>
      <x:c r="N1407" t="str">
        <x:f>IF(I1407&gt;70,"70+ dB",IF(I1407&gt;55,"56-70 dB","41-55 dB"))</x:f>
        <x:v>70+ dB</x:v>
      </x:c>
      <x:c r="O1407" t="str">
        <x:f>IF(I1407&gt;70,"High",IF(I1407&gt;55,"Moderate","Low"))</x:f>
        <x:v>High</x:v>
      </x:c>
      <x:c r="P1407" t="str">
        <x:f>IF(I1407&gt;=70,"Yes","No")</x:f>
        <x:v>Yes</x:v>
      </x:c>
      <x:c r="Q1407" t="str">
        <x:f>TEXT(B1407,"yyyy-mm")</x:f>
        <x:v>2024-07</x:v>
      </x:c>
    </x:row>
    <x:row r="1408">
      <x:c r="A1408" t="str">
        <x:v>HYD09</x:v>
      </x:c>
      <x:c r="B1408" s="22" t="n">
        <x:f>DATE(C1408,D1408,1)</x:f>
        <x:v>45505</x:v>
      </x:c>
      <x:c r="C1408" t="n">
        <x:v>2024</x:v>
      </x:c>
      <x:c r="D1408" t="n">
        <x:v>8</x:v>
      </x:c>
      <x:c r="E1408" t="str">
        <x:f>TEXT(B1408,"mmm")</x:f>
        <x:v>Aug</x:v>
      </x:c>
      <x:c r="F1408" t="str">
        <x:f>"Q"&amp;ROUNDUP(D1408/3,0)</x:f>
        <x:v>Q3</x:v>
      </x:c>
      <x:c r="G1408" s="23" t="n">
        <x:v>101.45</x:v>
      </x:c>
      <x:c r="H1408" s="23" t="n">
        <x:v>107.33</x:v>
      </x:c>
      <x:c r="I1408" s="23" t="n">
        <x:v>104.4</x:v>
      </x:c>
      <x:c r="J1408" s="23" t="n">
        <x:f>G1408-H1408</x:f>
        <x:v>-5.8799999999999955</x:v>
      </x:c>
      <x:c r="K1408" t="str">
        <x:v>HINDCAST</x:v>
      </x:c>
      <x:c r="L1408" s="24" t="n">
        <x:v>17.3871</x:v>
      </x:c>
      <x:c r="M1408" s="24" t="n">
        <x:v>78.4916</x:v>
      </x:c>
      <x:c r="N1408" t="str">
        <x:f>IF(I1408&gt;70,"70+ dB",IF(I1408&gt;55,"56-70 dB","41-55 dB"))</x:f>
        <x:v>70+ dB</x:v>
      </x:c>
      <x:c r="O1408" t="str">
        <x:f>IF(I1408&gt;70,"High",IF(I1408&gt;55,"Moderate","Low"))</x:f>
        <x:v>High</x:v>
      </x:c>
      <x:c r="P1408" t="str">
        <x:f>IF(I1408&gt;=70,"Yes","No")</x:f>
        <x:v>Yes</x:v>
      </x:c>
      <x:c r="Q1408" t="str">
        <x:f>TEXT(B1408,"yyyy-mm")</x:f>
        <x:v>2024-08</x:v>
      </x:c>
    </x:row>
    <x:row r="1409">
      <x:c r="A1409" t="str">
        <x:v>HYD09</x:v>
      </x:c>
      <x:c r="B1409" s="22" t="n">
        <x:f>DATE(C1409,D1409,1)</x:f>
        <x:v>45536</x:v>
      </x:c>
      <x:c r="C1409" t="n">
        <x:v>2024</x:v>
      </x:c>
      <x:c r="D1409" t="n">
        <x:v>9</x:v>
      </x:c>
      <x:c r="E1409" t="str">
        <x:f>TEXT(B1409,"mmm")</x:f>
        <x:v>Sep</x:v>
      </x:c>
      <x:c r="F1409" t="str">
        <x:f>"Q"&amp;ROUNDUP(D1409/3,0)</x:f>
        <x:v>Q3</x:v>
      </x:c>
      <x:c r="G1409" s="23" t="n">
        <x:v>108.22</x:v>
      </x:c>
      <x:c r="H1409" s="23" t="n">
        <x:v>112.71</x:v>
      </x:c>
      <x:c r="I1409" s="23" t="n">
        <x:v>110.5</x:v>
      </x:c>
      <x:c r="J1409" s="23" t="n">
        <x:f>G1409-H1409</x:f>
        <x:v>-4.489999999999995</x:v>
      </x:c>
      <x:c r="K1409" t="str">
        <x:v>HINDCAST</x:v>
      </x:c>
      <x:c r="L1409" s="24" t="n">
        <x:v>17.3871</x:v>
      </x:c>
      <x:c r="M1409" s="24" t="n">
        <x:v>78.4916</x:v>
      </x:c>
      <x:c r="N1409" t="str">
        <x:f>IF(I1409&gt;70,"70+ dB",IF(I1409&gt;55,"56-70 dB","41-55 dB"))</x:f>
        <x:v>70+ dB</x:v>
      </x:c>
      <x:c r="O1409" t="str">
        <x:f>IF(I1409&gt;70,"High",IF(I1409&gt;55,"Moderate","Low"))</x:f>
        <x:v>High</x:v>
      </x:c>
      <x:c r="P1409" t="str">
        <x:f>IF(I1409&gt;=70,"Yes","No")</x:f>
        <x:v>Yes</x:v>
      </x:c>
      <x:c r="Q1409" t="str">
        <x:f>TEXT(B1409,"yyyy-mm")</x:f>
        <x:v>2024-09</x:v>
      </x:c>
    </x:row>
    <x:row r="1410">
      <x:c r="A1410" t="str">
        <x:v>HYD09</x:v>
      </x:c>
      <x:c r="B1410" s="22" t="n">
        <x:f>DATE(C1410,D1410,1)</x:f>
        <x:v>45566</x:v>
      </x:c>
      <x:c r="C1410" t="n">
        <x:v>2024</x:v>
      </x:c>
      <x:c r="D1410" t="n">
        <x:v>10</x:v>
      </x:c>
      <x:c r="E1410" t="str">
        <x:f>TEXT(B1410,"mmm")</x:f>
        <x:v>Oct</x:v>
      </x:c>
      <x:c r="F1410" t="str">
        <x:f>"Q"&amp;ROUNDUP(D1410/3,0)</x:f>
        <x:v>Q4</x:v>
      </x:c>
      <x:c r="G1410" s="23" t="n">
        <x:v>104.43</x:v>
      </x:c>
      <x:c r="H1410" s="23" t="n">
        <x:v>104.72</x:v>
      </x:c>
      <x:c r="I1410" s="23" t="n">
        <x:v>104.6</x:v>
      </x:c>
      <x:c r="J1410" s="23" t="n">
        <x:f>G1410-H1410</x:f>
        <x:v>-0.28999999999999204</x:v>
      </x:c>
      <x:c r="K1410" t="str">
        <x:v>HINDCAST</x:v>
      </x:c>
      <x:c r="L1410" s="24" t="n">
        <x:v>17.3871</x:v>
      </x:c>
      <x:c r="M1410" s="24" t="n">
        <x:v>78.4916</x:v>
      </x:c>
      <x:c r="N1410" t="str">
        <x:f>IF(I1410&gt;70,"70+ dB",IF(I1410&gt;55,"56-70 dB","41-55 dB"))</x:f>
        <x:v>70+ dB</x:v>
      </x:c>
      <x:c r="O1410" t="str">
        <x:f>IF(I1410&gt;70,"High",IF(I1410&gt;55,"Moderate","Low"))</x:f>
        <x:v>High</x:v>
      </x:c>
      <x:c r="P1410" t="str">
        <x:f>IF(I1410&gt;=70,"Yes","No")</x:f>
        <x:v>Yes</x:v>
      </x:c>
      <x:c r="Q1410" t="str">
        <x:f>TEXT(B1410,"yyyy-mm")</x:f>
        <x:v>2024-10</x:v>
      </x:c>
    </x:row>
    <x:row r="1411">
      <x:c r="A1411" t="str">
        <x:v>HYD09</x:v>
      </x:c>
      <x:c r="B1411" s="22" t="n">
        <x:f>DATE(C1411,D1411,1)</x:f>
        <x:v>45597</x:v>
      </x:c>
      <x:c r="C1411" t="n">
        <x:v>2024</x:v>
      </x:c>
      <x:c r="D1411" t="n">
        <x:v>11</x:v>
      </x:c>
      <x:c r="E1411" t="str">
        <x:f>TEXT(B1411,"mmm")</x:f>
        <x:v>Nov</x:v>
      </x:c>
      <x:c r="F1411" t="str">
        <x:f>"Q"&amp;ROUNDUP(D1411/3,0)</x:f>
        <x:v>Q4</x:v>
      </x:c>
      <x:c r="G1411" s="23" t="n">
        <x:v>106.92</x:v>
      </x:c>
      <x:c r="H1411" s="23" t="n">
        <x:v>110.48</x:v>
      </x:c>
      <x:c r="I1411" s="23" t="n">
        <x:v>108.7</x:v>
      </x:c>
      <x:c r="J1411" s="23" t="n">
        <x:f>G1411-H1411</x:f>
        <x:v>-3.5600000000000023</x:v>
      </x:c>
      <x:c r="K1411" t="str">
        <x:v>HINDCAST</x:v>
      </x:c>
      <x:c r="L1411" s="24" t="n">
        <x:v>17.3871</x:v>
      </x:c>
      <x:c r="M1411" s="24" t="n">
        <x:v>78.4916</x:v>
      </x:c>
      <x:c r="N1411" t="str">
        <x:f>IF(I1411&gt;70,"70+ dB",IF(I1411&gt;55,"56-70 dB","41-55 dB"))</x:f>
        <x:v>70+ dB</x:v>
      </x:c>
      <x:c r="O1411" t="str">
        <x:f>IF(I1411&gt;70,"High",IF(I1411&gt;55,"Moderate","Low"))</x:f>
        <x:v>High</x:v>
      </x:c>
      <x:c r="P1411" t="str">
        <x:f>IF(I1411&gt;=70,"Yes","No")</x:f>
        <x:v>Yes</x:v>
      </x:c>
      <x:c r="Q1411" t="str">
        <x:f>TEXT(B1411,"yyyy-mm")</x:f>
        <x:v>2024-11</x:v>
      </x:c>
    </x:row>
    <x:row r="1412">
      <x:c r="A1412" t="str">
        <x:v>HYD09</x:v>
      </x:c>
      <x:c r="B1412" s="22" t="n">
        <x:f>DATE(C1412,D1412,1)</x:f>
        <x:v>45627</x:v>
      </x:c>
      <x:c r="C1412" t="n">
        <x:v>2024</x:v>
      </x:c>
      <x:c r="D1412" t="n">
        <x:v>12</x:v>
      </x:c>
      <x:c r="E1412" t="str">
        <x:f>TEXT(B1412,"mmm")</x:f>
        <x:v>Dec</x:v>
      </x:c>
      <x:c r="F1412" t="str">
        <x:f>"Q"&amp;ROUNDUP(D1412/3,0)</x:f>
        <x:v>Q4</x:v>
      </x:c>
      <x:c r="G1412" s="23" t="n">
        <x:v>112.36</x:v>
      </x:c>
      <x:c r="H1412" s="23" t="n">
        <x:v>113.85</x:v>
      </x:c>
      <x:c r="I1412" s="23" t="n">
        <x:v>113.1</x:v>
      </x:c>
      <x:c r="J1412" s="23" t="n">
        <x:f>G1412-H1412</x:f>
        <x:v>-1.4899999999999949</x:v>
      </x:c>
      <x:c r="K1412" t="str">
        <x:v>HINDCAST</x:v>
      </x:c>
      <x:c r="L1412" s="24" t="n">
        <x:v>17.3871</x:v>
      </x:c>
      <x:c r="M1412" s="24" t="n">
        <x:v>78.4916</x:v>
      </x:c>
      <x:c r="N1412" t="str">
        <x:f>IF(I1412&gt;70,"70+ dB",IF(I1412&gt;55,"56-70 dB","41-55 dB"))</x:f>
        <x:v>70+ dB</x:v>
      </x:c>
      <x:c r="O1412" t="str">
        <x:f>IF(I1412&gt;70,"High",IF(I1412&gt;55,"Moderate","Low"))</x:f>
        <x:v>High</x:v>
      </x:c>
      <x:c r="P1412" t="str">
        <x:f>IF(I1412&gt;=70,"Yes","No")</x:f>
        <x:v>Yes</x:v>
      </x:c>
      <x:c r="Q1412" t="str">
        <x:f>TEXT(B1412,"yyyy-mm")</x:f>
        <x:v>2024-12</x:v>
      </x:c>
    </x:row>
    <x:row r="1413">
      <x:c r="A1413" t="str">
        <x:v>HYD09</x:v>
      </x:c>
      <x:c r="B1413" s="22" t="n">
        <x:f>DATE(C1413,D1413,1)</x:f>
        <x:v>45658</x:v>
      </x:c>
      <x:c r="C1413" t="n">
        <x:v>2025</x:v>
      </x:c>
      <x:c r="D1413" t="n">
        <x:v>1</x:v>
      </x:c>
      <x:c r="E1413" t="str">
        <x:f>TEXT(B1413,"mmm")</x:f>
        <x:v>Jan</x:v>
      </x:c>
      <x:c r="F1413" t="str">
        <x:f>"Q"&amp;ROUNDUP(D1413/3,0)</x:f>
        <x:v>Q1</x:v>
      </x:c>
      <x:c r="G1413" s="23" t="n">
        <x:v>104.53</x:v>
      </x:c>
      <x:c r="H1413" s="23" t="n">
        <x:v>109.82</x:v>
      </x:c>
      <x:c r="I1413" s="23" t="n">
        <x:v>107.2</x:v>
      </x:c>
      <x:c r="J1413" s="23" t="n">
        <x:f>G1413-H1413</x:f>
        <x:v>-5.289999999999992</x:v>
      </x:c>
      <x:c r="K1413" t="str">
        <x:v>HINDCAST</x:v>
      </x:c>
      <x:c r="L1413" s="24" t="n">
        <x:v>17.3871</x:v>
      </x:c>
      <x:c r="M1413" s="24" t="n">
        <x:v>78.4916</x:v>
      </x:c>
      <x:c r="N1413" t="str">
        <x:f>IF(I1413&gt;70,"70+ dB",IF(I1413&gt;55,"56-70 dB","41-55 dB"))</x:f>
        <x:v>70+ dB</x:v>
      </x:c>
      <x:c r="O1413" t="str">
        <x:f>IF(I1413&gt;70,"High",IF(I1413&gt;55,"Moderate","Low"))</x:f>
        <x:v>High</x:v>
      </x:c>
      <x:c r="P1413" t="str">
        <x:f>IF(I1413&gt;=70,"Yes","No")</x:f>
        <x:v>Yes</x:v>
      </x:c>
      <x:c r="Q1413" t="str">
        <x:f>TEXT(B1413,"yyyy-mm")</x:f>
        <x:v>2025-01</x:v>
      </x:c>
    </x:row>
    <x:row r="1414">
      <x:c r="A1414" t="str">
        <x:v>HYD09</x:v>
      </x:c>
      <x:c r="B1414" s="22" t="n">
        <x:f>DATE(C1414,D1414,1)</x:f>
        <x:v>45689</x:v>
      </x:c>
      <x:c r="C1414" t="n">
        <x:v>2025</x:v>
      </x:c>
      <x:c r="D1414" t="n">
        <x:v>2</x:v>
      </x:c>
      <x:c r="E1414" t="str">
        <x:f>TEXT(B1414,"mmm")</x:f>
        <x:v>Feb</x:v>
      </x:c>
      <x:c r="F1414" t="str">
        <x:f>"Q"&amp;ROUNDUP(D1414/3,0)</x:f>
        <x:v>Q1</x:v>
      </x:c>
      <x:c r="G1414" s="23" t="n">
        <x:v>102.38</x:v>
      </x:c>
      <x:c r="H1414" s="23" t="n">
        <x:v>108.83</x:v>
      </x:c>
      <x:c r="I1414" s="23" t="n">
        <x:v>105.6</x:v>
      </x:c>
      <x:c r="J1414" s="23" t="n">
        <x:f>G1414-H1414</x:f>
        <x:v>-6.450000000000003</x:v>
      </x:c>
      <x:c r="K1414" t="str">
        <x:v>HINDCAST</x:v>
      </x:c>
      <x:c r="L1414" s="24" t="n">
        <x:v>17.3871</x:v>
      </x:c>
      <x:c r="M1414" s="24" t="n">
        <x:v>78.4916</x:v>
      </x:c>
      <x:c r="N1414" t="str">
        <x:f>IF(I1414&gt;70,"70+ dB",IF(I1414&gt;55,"56-70 dB","41-55 dB"))</x:f>
        <x:v>70+ dB</x:v>
      </x:c>
      <x:c r="O1414" t="str">
        <x:f>IF(I1414&gt;70,"High",IF(I1414&gt;55,"Moderate","Low"))</x:f>
        <x:v>High</x:v>
      </x:c>
      <x:c r="P1414" t="str">
        <x:f>IF(I1414&gt;=70,"Yes","No")</x:f>
        <x:v>Yes</x:v>
      </x:c>
      <x:c r="Q1414" t="str">
        <x:f>TEXT(B1414,"yyyy-mm")</x:f>
        <x:v>2025-02</x:v>
      </x:c>
    </x:row>
    <x:row r="1415">
      <x:c r="A1415" t="str">
        <x:v>HYD09</x:v>
      </x:c>
      <x:c r="B1415" s="22" t="n">
        <x:f>DATE(C1415,D1415,1)</x:f>
        <x:v>45717</x:v>
      </x:c>
      <x:c r="C1415" t="n">
        <x:v>2025</x:v>
      </x:c>
      <x:c r="D1415" t="n">
        <x:v>3</x:v>
      </x:c>
      <x:c r="E1415" t="str">
        <x:f>TEXT(B1415,"mmm")</x:f>
        <x:v>Mar</x:v>
      </x:c>
      <x:c r="F1415" t="str">
        <x:f>"Q"&amp;ROUNDUP(D1415/3,0)</x:f>
        <x:v>Q1</x:v>
      </x:c>
      <x:c r="G1415" s="23" t="n">
        <x:v>104.96</x:v>
      </x:c>
      <x:c r="H1415" s="23" t="n">
        <x:v>110.71</x:v>
      </x:c>
      <x:c r="I1415" s="23" t="n">
        <x:v>107.8</x:v>
      </x:c>
      <x:c r="J1415" s="23" t="n">
        <x:f>G1415-H1415</x:f>
        <x:v>-5.75</x:v>
      </x:c>
      <x:c r="K1415" t="str">
        <x:v>HINDCAST</x:v>
      </x:c>
      <x:c r="L1415" s="24" t="n">
        <x:v>17.3871</x:v>
      </x:c>
      <x:c r="M1415" s="24" t="n">
        <x:v>78.4916</x:v>
      </x:c>
      <x:c r="N1415" t="str">
        <x:f>IF(I1415&gt;70,"70+ dB",IF(I1415&gt;55,"56-70 dB","41-55 dB"))</x:f>
        <x:v>70+ dB</x:v>
      </x:c>
      <x:c r="O1415" t="str">
        <x:f>IF(I1415&gt;70,"High",IF(I1415&gt;55,"Moderate","Low"))</x:f>
        <x:v>High</x:v>
      </x:c>
      <x:c r="P1415" t="str">
        <x:f>IF(I1415&gt;=70,"Yes","No")</x:f>
        <x:v>Yes</x:v>
      </x:c>
      <x:c r="Q1415" t="str">
        <x:f>TEXT(B1415,"yyyy-mm")</x:f>
        <x:v>2025-03</x:v>
      </x:c>
    </x:row>
    <x:row r="1416">
      <x:c r="A1416" t="str">
        <x:v>HYD09</x:v>
      </x:c>
      <x:c r="B1416" s="22" t="n">
        <x:f>DATE(C1416,D1416,1)</x:f>
        <x:v>45748</x:v>
      </x:c>
      <x:c r="C1416" t="n">
        <x:v>2025</x:v>
      </x:c>
      <x:c r="D1416" t="n">
        <x:v>4</x:v>
      </x:c>
      <x:c r="E1416" t="str">
        <x:f>TEXT(B1416,"mmm")</x:f>
        <x:v>Apr</x:v>
      </x:c>
      <x:c r="F1416" t="str">
        <x:f>"Q"&amp;ROUNDUP(D1416/3,0)</x:f>
        <x:v>Q2</x:v>
      </x:c>
      <x:c r="G1416" s="23" t="n">
        <x:v>113.07</x:v>
      </x:c>
      <x:c r="H1416" s="23" t="n">
        <x:v>115.86</x:v>
      </x:c>
      <x:c r="I1416" s="23" t="n">
        <x:v>114.5</x:v>
      </x:c>
      <x:c r="J1416" s="23" t="n">
        <x:f>G1416-H1416</x:f>
        <x:v>-2.7900000000000063</x:v>
      </x:c>
      <x:c r="K1416" t="str">
        <x:v>HINDCAST</x:v>
      </x:c>
      <x:c r="L1416" s="24" t="n">
        <x:v>17.3871</x:v>
      </x:c>
      <x:c r="M1416" s="24" t="n">
        <x:v>78.4916</x:v>
      </x:c>
      <x:c r="N1416" t="str">
        <x:f>IF(I1416&gt;70,"70+ dB",IF(I1416&gt;55,"56-70 dB","41-55 dB"))</x:f>
        <x:v>70+ dB</x:v>
      </x:c>
      <x:c r="O1416" t="str">
        <x:f>IF(I1416&gt;70,"High",IF(I1416&gt;55,"Moderate","Low"))</x:f>
        <x:v>High</x:v>
      </x:c>
      <x:c r="P1416" t="str">
        <x:f>IF(I1416&gt;=70,"Yes","No")</x:f>
        <x:v>Yes</x:v>
      </x:c>
      <x:c r="Q1416" t="str">
        <x:f>TEXT(B1416,"yyyy-mm")</x:f>
        <x:v>2025-04</x:v>
      </x:c>
    </x:row>
    <x:row r="1417">
      <x:c r="A1417" t="str">
        <x:v>HYD09</x:v>
      </x:c>
      <x:c r="B1417" s="22" t="n">
        <x:f>DATE(C1417,D1417,1)</x:f>
        <x:v>45778</x:v>
      </x:c>
      <x:c r="C1417" t="n">
        <x:v>2025</x:v>
      </x:c>
      <x:c r="D1417" t="n">
        <x:v>5</x:v>
      </x:c>
      <x:c r="E1417" t="str">
        <x:f>TEXT(B1417,"mmm")</x:f>
        <x:v>May</x:v>
      </x:c>
      <x:c r="F1417" t="str">
        <x:f>"Q"&amp;ROUNDUP(D1417/3,0)</x:f>
        <x:v>Q2</x:v>
      </x:c>
      <x:c r="G1417" s="23" t="n">
        <x:v>105.35</x:v>
      </x:c>
      <x:c r="H1417" s="23" t="n">
        <x:v>109.71</x:v>
      </x:c>
      <x:c r="I1417" s="23" t="n">
        <x:v>107.5</x:v>
      </x:c>
      <x:c r="J1417" s="23" t="n">
        <x:f>G1417-H1417</x:f>
        <x:v>-4.359999999999999</x:v>
      </x:c>
      <x:c r="K1417" t="str">
        <x:v>HINDCAST</x:v>
      </x:c>
      <x:c r="L1417" s="24" t="n">
        <x:v>17.3871</x:v>
      </x:c>
      <x:c r="M1417" s="24" t="n">
        <x:v>78.4916</x:v>
      </x:c>
      <x:c r="N1417" t="str">
        <x:f>IF(I1417&gt;70,"70+ dB",IF(I1417&gt;55,"56-70 dB","41-55 dB"))</x:f>
        <x:v>70+ dB</x:v>
      </x:c>
      <x:c r="O1417" t="str">
        <x:f>IF(I1417&gt;70,"High",IF(I1417&gt;55,"Moderate","Low"))</x:f>
        <x:v>High</x:v>
      </x:c>
      <x:c r="P1417" t="str">
        <x:f>IF(I1417&gt;=70,"Yes","No")</x:f>
        <x:v>Yes</x:v>
      </x:c>
      <x:c r="Q1417" t="str">
        <x:f>TEXT(B1417,"yyyy-mm")</x:f>
        <x:v>2025-05</x:v>
      </x:c>
    </x:row>
    <x:row r="1418">
      <x:c r="A1418" t="str">
        <x:v>HYD09</x:v>
      </x:c>
      <x:c r="B1418" s="22" t="n">
        <x:f>DATE(C1418,D1418,1)</x:f>
        <x:v>45809</x:v>
      </x:c>
      <x:c r="C1418" t="n">
        <x:v>2025</x:v>
      </x:c>
      <x:c r="D1418" t="n">
        <x:v>6</x:v>
      </x:c>
      <x:c r="E1418" t="str">
        <x:f>TEXT(B1418,"mmm")</x:f>
        <x:v>Jun</x:v>
      </x:c>
      <x:c r="F1418" t="str">
        <x:f>"Q"&amp;ROUNDUP(D1418/3,0)</x:f>
        <x:v>Q2</x:v>
      </x:c>
      <x:c r="G1418" s="23" t="n">
        <x:v>104.93</x:v>
      </x:c>
      <x:c r="H1418" s="23" t="n">
        <x:v>110.25</x:v>
      </x:c>
      <x:c r="I1418" s="23" t="n">
        <x:v>107.6</x:v>
      </x:c>
      <x:c r="J1418" s="23" t="n">
        <x:f>G1418-H1418</x:f>
        <x:v>-5.319999999999993</x:v>
      </x:c>
      <x:c r="K1418" t="str">
        <x:v>HINDCAST</x:v>
      </x:c>
      <x:c r="L1418" s="24" t="n">
        <x:v>17.3871</x:v>
      </x:c>
      <x:c r="M1418" s="24" t="n">
        <x:v>78.4916</x:v>
      </x:c>
      <x:c r="N1418" t="str">
        <x:f>IF(I1418&gt;70,"70+ dB",IF(I1418&gt;55,"56-70 dB","41-55 dB"))</x:f>
        <x:v>70+ dB</x:v>
      </x:c>
      <x:c r="O1418" t="str">
        <x:f>IF(I1418&gt;70,"High",IF(I1418&gt;55,"Moderate","Low"))</x:f>
        <x:v>High</x:v>
      </x:c>
      <x:c r="P1418" t="str">
        <x:f>IF(I1418&gt;=70,"Yes","No")</x:f>
        <x:v>Yes</x:v>
      </x:c>
      <x:c r="Q1418" t="str">
        <x:f>TEXT(B1418,"yyyy-mm")</x:f>
        <x:v>2025-06</x:v>
      </x:c>
    </x:row>
    <x:row r="1419">
      <x:c r="A1419" t="str">
        <x:v>HYD09</x:v>
      </x:c>
      <x:c r="B1419" s="22" t="n">
        <x:f>DATE(C1419,D1419,1)</x:f>
        <x:v>45839</x:v>
      </x:c>
      <x:c r="C1419" t="n">
        <x:v>2025</x:v>
      </x:c>
      <x:c r="D1419" t="n">
        <x:v>7</x:v>
      </x:c>
      <x:c r="E1419" t="str">
        <x:f>TEXT(B1419,"mmm")</x:f>
        <x:v>Jul</x:v>
      </x:c>
      <x:c r="F1419" t="str">
        <x:f>"Q"&amp;ROUNDUP(D1419/3,0)</x:f>
        <x:v>Q3</x:v>
      </x:c>
      <x:c r="G1419" s="23" t="n">
        <x:v>108.74</x:v>
      </x:c>
      <x:c r="H1419" s="23" t="n">
        <x:v>111.88</x:v>
      </x:c>
      <x:c r="I1419" s="23" t="n">
        <x:v>110.3</x:v>
      </x:c>
      <x:c r="J1419" s="23" t="n">
        <x:f>G1419-H1419</x:f>
        <x:v>-3.1400000000000006</x:v>
      </x:c>
      <x:c r="K1419" t="str">
        <x:v>HINDCAST</x:v>
      </x:c>
      <x:c r="L1419" s="24" t="n">
        <x:v>17.3871</x:v>
      </x:c>
      <x:c r="M1419" s="24" t="n">
        <x:v>78.4916</x:v>
      </x:c>
      <x:c r="N1419" t="str">
        <x:f>IF(I1419&gt;70,"70+ dB",IF(I1419&gt;55,"56-70 dB","41-55 dB"))</x:f>
        <x:v>70+ dB</x:v>
      </x:c>
      <x:c r="O1419" t="str">
        <x:f>IF(I1419&gt;70,"High",IF(I1419&gt;55,"Moderate","Low"))</x:f>
        <x:v>High</x:v>
      </x:c>
      <x:c r="P1419" t="str">
        <x:f>IF(I1419&gt;=70,"Yes","No")</x:f>
        <x:v>Yes</x:v>
      </x:c>
      <x:c r="Q1419" t="str">
        <x:f>TEXT(B1419,"yyyy-mm")</x:f>
        <x:v>2025-07</x:v>
      </x:c>
    </x:row>
    <x:row r="1420">
      <x:c r="A1420" t="str">
        <x:v>HYD09</x:v>
      </x:c>
      <x:c r="B1420" s="22" t="n">
        <x:f>DATE(C1420,D1420,1)</x:f>
        <x:v>45870</x:v>
      </x:c>
      <x:c r="C1420" t="n">
        <x:v>2025</x:v>
      </x:c>
      <x:c r="D1420" t="n">
        <x:v>8</x:v>
      </x:c>
      <x:c r="E1420" t="str">
        <x:f>TEXT(B1420,"mmm")</x:f>
        <x:v>Aug</x:v>
      </x:c>
      <x:c r="F1420" t="str">
        <x:f>"Q"&amp;ROUNDUP(D1420/3,0)</x:f>
        <x:v>Q3</x:v>
      </x:c>
      <x:c r="G1420" s="23" t="n">
        <x:v>105.53</x:v>
      </x:c>
      <x:c r="H1420" s="23" t="n">
        <x:v>111.89</x:v>
      </x:c>
      <x:c r="I1420" s="23" t="n">
        <x:v>108.7</x:v>
      </x:c>
      <x:c r="J1420" s="23" t="n">
        <x:f>G1420-H1420</x:f>
        <x:v>-6.359999999999999</x:v>
      </x:c>
      <x:c r="K1420" t="str">
        <x:v>HINDCAST</x:v>
      </x:c>
      <x:c r="L1420" s="24" t="n">
        <x:v>17.3871</x:v>
      </x:c>
      <x:c r="M1420" s="24" t="n">
        <x:v>78.4916</x:v>
      </x:c>
      <x:c r="N1420" t="str">
        <x:f>IF(I1420&gt;70,"70+ dB",IF(I1420&gt;55,"56-70 dB","41-55 dB"))</x:f>
        <x:v>70+ dB</x:v>
      </x:c>
      <x:c r="O1420" t="str">
        <x:f>IF(I1420&gt;70,"High",IF(I1420&gt;55,"Moderate","Low"))</x:f>
        <x:v>High</x:v>
      </x:c>
      <x:c r="P1420" t="str">
        <x:f>IF(I1420&gt;=70,"Yes","No")</x:f>
        <x:v>Yes</x:v>
      </x:c>
      <x:c r="Q1420" t="str">
        <x:f>TEXT(B1420,"yyyy-mm")</x:f>
        <x:v>2025-08</x:v>
      </x:c>
    </x:row>
    <x:row r="1421">
      <x:c r="A1421" t="str">
        <x:v>HYD09</x:v>
      </x:c>
      <x:c r="B1421" s="22" t="n">
        <x:f>DATE(C1421,D1421,1)</x:f>
        <x:v>45901</x:v>
      </x:c>
      <x:c r="C1421" t="n">
        <x:v>2025</x:v>
      </x:c>
      <x:c r="D1421" t="n">
        <x:v>9</x:v>
      </x:c>
      <x:c r="E1421" t="str">
        <x:f>TEXT(B1421,"mmm")</x:f>
        <x:v>Sep</x:v>
      </x:c>
      <x:c r="F1421" t="str">
        <x:f>"Q"&amp;ROUNDUP(D1421/3,0)</x:f>
        <x:v>Q3</x:v>
      </x:c>
      <x:c r="G1421" s="23" t="n">
        <x:v>111.81</x:v>
      </x:c>
      <x:c r="H1421" s="23" t="n">
        <x:v>117.19</x:v>
      </x:c>
      <x:c r="I1421" s="23" t="n">
        <x:v>114.5</x:v>
      </x:c>
      <x:c r="J1421" s="23" t="n">
        <x:f>G1421-H1421</x:f>
        <x:v>-5.3799999999999955</x:v>
      </x:c>
      <x:c r="K1421" t="str">
        <x:v>HINDCAST</x:v>
      </x:c>
      <x:c r="L1421" s="24" t="n">
        <x:v>17.3871</x:v>
      </x:c>
      <x:c r="M1421" s="24" t="n">
        <x:v>78.4916</x:v>
      </x:c>
      <x:c r="N1421" t="str">
        <x:f>IF(I1421&gt;70,"70+ dB",IF(I1421&gt;55,"56-70 dB","41-55 dB"))</x:f>
        <x:v>70+ dB</x:v>
      </x:c>
      <x:c r="O1421" t="str">
        <x:f>IF(I1421&gt;70,"High",IF(I1421&gt;55,"Moderate","Low"))</x:f>
        <x:v>High</x:v>
      </x:c>
      <x:c r="P1421" t="str">
        <x:f>IF(I1421&gt;=70,"Yes","No")</x:f>
        <x:v>Yes</x:v>
      </x:c>
      <x:c r="Q1421" t="str">
        <x:f>TEXT(B1421,"yyyy-mm")</x:f>
        <x:v>2025-09</x:v>
      </x:c>
    </x:row>
    <x:row r="1422">
      <x:c r="A1422" t="str">
        <x:v>HYD09</x:v>
      </x:c>
      <x:c r="B1422" s="22" t="n">
        <x:f>DATE(C1422,D1422,1)</x:f>
        <x:v>45931</x:v>
      </x:c>
      <x:c r="C1422" t="n">
        <x:v>2025</x:v>
      </x:c>
      <x:c r="D1422" t="n">
        <x:v>10</x:v>
      </x:c>
      <x:c r="E1422" t="str">
        <x:f>TEXT(B1422,"mmm")</x:f>
        <x:v>Oct</x:v>
      </x:c>
      <x:c r="F1422" t="str">
        <x:f>"Q"&amp;ROUNDUP(D1422/3,0)</x:f>
        <x:v>Q4</x:v>
      </x:c>
      <x:c r="G1422" s="23" t="n">
        <x:v>108.2</x:v>
      </x:c>
      <x:c r="H1422" s="23" t="n">
        <x:v>109.24</x:v>
      </x:c>
      <x:c r="I1422" s="23" t="n">
        <x:v>108.7</x:v>
      </x:c>
      <x:c r="J1422" s="23" t="n">
        <x:f>G1422-H1422</x:f>
        <x:v>-1.039999999999992</x:v>
      </x:c>
      <x:c r="K1422" t="str">
        <x:v>HINDCAST</x:v>
      </x:c>
      <x:c r="L1422" s="24" t="n">
        <x:v>17.3871</x:v>
      </x:c>
      <x:c r="M1422" s="24" t="n">
        <x:v>78.4916</x:v>
      </x:c>
      <x:c r="N1422" t="str">
        <x:f>IF(I1422&gt;70,"70+ dB",IF(I1422&gt;55,"56-70 dB","41-55 dB"))</x:f>
        <x:v>70+ dB</x:v>
      </x:c>
      <x:c r="O1422" t="str">
        <x:f>IF(I1422&gt;70,"High",IF(I1422&gt;55,"Moderate","Low"))</x:f>
        <x:v>High</x:v>
      </x:c>
      <x:c r="P1422" t="str">
        <x:f>IF(I1422&gt;=70,"Yes","No")</x:f>
        <x:v>Yes</x:v>
      </x:c>
      <x:c r="Q1422" t="str">
        <x:f>TEXT(B1422,"yyyy-mm")</x:f>
        <x:v>2025-10</x:v>
      </x:c>
    </x:row>
    <x:row r="1423">
      <x:c r="A1423" t="str">
        <x:v>HYD09</x:v>
      </x:c>
      <x:c r="B1423" s="22" t="n">
        <x:f>DATE(C1423,D1423,1)</x:f>
        <x:v>45962</x:v>
      </x:c>
      <x:c r="C1423" t="n">
        <x:v>2025</x:v>
      </x:c>
      <x:c r="D1423" t="n">
        <x:v>11</x:v>
      </x:c>
      <x:c r="E1423" t="str">
        <x:f>TEXT(B1423,"mmm")</x:f>
        <x:v>Nov</x:v>
      </x:c>
      <x:c r="F1423" t="str">
        <x:f>"Q"&amp;ROUNDUP(D1423/3,0)</x:f>
        <x:v>Q4</x:v>
      </x:c>
      <x:c r="G1423" s="23" t="n">
        <x:v>111.07</x:v>
      </x:c>
      <x:c r="H1423" s="23" t="n">
        <x:v>115.06</x:v>
      </x:c>
      <x:c r="I1423" s="23" t="n">
        <x:v>113.1</x:v>
      </x:c>
      <x:c r="J1423" s="23" t="n">
        <x:f>G1423-H1423</x:f>
        <x:v>-3.990000000000009</x:v>
      </x:c>
      <x:c r="K1423" t="str">
        <x:v>HINDCAST</x:v>
      </x:c>
      <x:c r="L1423" s="24" t="n">
        <x:v>17.3871</x:v>
      </x:c>
      <x:c r="M1423" s="24" t="n">
        <x:v>78.4916</x:v>
      </x:c>
      <x:c r="N1423" t="str">
        <x:f>IF(I1423&gt;70,"70+ dB",IF(I1423&gt;55,"56-70 dB","41-55 dB"))</x:f>
        <x:v>70+ dB</x:v>
      </x:c>
      <x:c r="O1423" t="str">
        <x:f>IF(I1423&gt;70,"High",IF(I1423&gt;55,"Moderate","Low"))</x:f>
        <x:v>High</x:v>
      </x:c>
      <x:c r="P1423" t="str">
        <x:f>IF(I1423&gt;=70,"Yes","No")</x:f>
        <x:v>Yes</x:v>
      </x:c>
      <x:c r="Q1423" t="str">
        <x:f>TEXT(B1423,"yyyy-mm")</x:f>
        <x:v>2025-11</x:v>
      </x:c>
    </x:row>
    <x:row r="1424">
      <x:c r="A1424" t="str">
        <x:v>HYD09</x:v>
      </x:c>
      <x:c r="B1424" s="22" t="n">
        <x:f>DATE(C1424,D1424,1)</x:f>
        <x:v>45992</x:v>
      </x:c>
      <x:c r="C1424" t="n">
        <x:v>2025</x:v>
      </x:c>
      <x:c r="D1424" t="n">
        <x:v>12</x:v>
      </x:c>
      <x:c r="E1424" t="str">
        <x:f>TEXT(B1424,"mmm")</x:f>
        <x:v>Dec</x:v>
      </x:c>
      <x:c r="F1424" t="str">
        <x:f>"Q"&amp;ROUNDUP(D1424/3,0)</x:f>
        <x:v>Q4</x:v>
      </x:c>
      <x:c r="G1424" s="23" t="n">
        <x:v>116.89</x:v>
      </x:c>
      <x:c r="H1424" s="23" t="n">
        <x:v>118.44</x:v>
      </x:c>
      <x:c r="I1424" s="23" t="n">
        <x:v>117.7</x:v>
      </x:c>
      <x:c r="J1424" s="23" t="n">
        <x:f>G1424-H1424</x:f>
        <x:v>-1.5499999999999972</x:v>
      </x:c>
      <x:c r="K1424" t="str">
        <x:v>HINDCAST</x:v>
      </x:c>
      <x:c r="L1424" s="24" t="n">
        <x:v>17.3871</x:v>
      </x:c>
      <x:c r="M1424" s="24" t="n">
        <x:v>78.4916</x:v>
      </x:c>
      <x:c r="N1424" t="str">
        <x:f>IF(I1424&gt;70,"70+ dB",IF(I1424&gt;55,"56-70 dB","41-55 dB"))</x:f>
        <x:v>70+ dB</x:v>
      </x:c>
      <x:c r="O1424" t="str">
        <x:f>IF(I1424&gt;70,"High",IF(I1424&gt;55,"Moderate","Low"))</x:f>
        <x:v>High</x:v>
      </x:c>
      <x:c r="P1424" t="str">
        <x:f>IF(I1424&gt;=70,"Yes","No")</x:f>
        <x:v>Yes</x:v>
      </x:c>
      <x:c r="Q1424" t="str">
        <x:f>TEXT(B1424,"yyyy-mm")</x:f>
        <x:v>2025-12</x:v>
      </x:c>
    </x:row>
    <x:row r="1425">
      <x:c r="A1425" t="str">
        <x:v>HYD10</x:v>
      </x:c>
      <x:c r="B1425" s="22" t="n">
        <x:f>DATE(C1425,D1425,1)</x:f>
        <x:v>42005</x:v>
      </x:c>
      <x:c r="C1425" t="n">
        <x:v>2015</x:v>
      </x:c>
      <x:c r="D1425" t="n">
        <x:v>1</x:v>
      </x:c>
      <x:c r="E1425" t="str">
        <x:f>TEXT(B1425,"mmm")</x:f>
        <x:v>Jan</x:v>
      </x:c>
      <x:c r="F1425" t="str">
        <x:f>"Q"&amp;ROUNDUP(D1425/3,0)</x:f>
        <x:v>Q1</x:v>
      </x:c>
      <x:c r="G1425" s="23" t="n">
        <x:v>69</x:v>
      </x:c>
      <x:c r="H1425" s="23" t="n">
        <x:v>65</x:v>
      </x:c>
      <x:c r="I1425" s="23" t="n">
        <x:v>67</x:v>
      </x:c>
      <x:c r="J1425" s="23" t="n">
        <x:f>G1425-H1425</x:f>
        <x:v>4</x:v>
      </x:c>
      <x:c r="K1425" t="str">
        <x:v>OBSERVED</x:v>
      </x:c>
      <x:c r="L1425" s="24" t="n">
        <x:v>17.4126</x:v>
      </x:c>
      <x:c r="M1425" s="24" t="n">
        <x:v>78.4484</x:v>
      </x:c>
      <x:c r="N1425" t="str">
        <x:f>IF(I1425&gt;70,"70+ dB",IF(I1425&gt;55,"56-70 dB","41-55 dB"))</x:f>
        <x:v>56-70 dB</x:v>
      </x:c>
      <x:c r="O1425" t="str">
        <x:f>IF(I1425&gt;70,"High",IF(I1425&gt;55,"Moderate","Low"))</x:f>
        <x:v>Moderate</x:v>
      </x:c>
      <x:c r="P1425" t="str">
        <x:f>IF(I1425&gt;=70,"Yes","No")</x:f>
        <x:v>No</x:v>
      </x:c>
      <x:c r="Q1425" t="str">
        <x:f>TEXT(B1425,"yyyy-mm")</x:f>
        <x:v>2015-01</x:v>
      </x:c>
    </x:row>
    <x:row r="1426">
      <x:c r="A1426" t="str">
        <x:v>HYD10</x:v>
      </x:c>
      <x:c r="B1426" s="22" t="n">
        <x:f>DATE(C1426,D1426,1)</x:f>
        <x:v>42036</x:v>
      </x:c>
      <x:c r="C1426" t="n">
        <x:v>2015</x:v>
      </x:c>
      <x:c r="D1426" t="n">
        <x:v>2</x:v>
      </x:c>
      <x:c r="E1426" t="str">
        <x:f>TEXT(B1426,"mmm")</x:f>
        <x:v>Feb</x:v>
      </x:c>
      <x:c r="F1426" t="str">
        <x:f>"Q"&amp;ROUNDUP(D1426/3,0)</x:f>
        <x:v>Q1</x:v>
      </x:c>
      <x:c r="G1426" s="23" t="n">
        <x:v>69</x:v>
      </x:c>
      <x:c r="H1426" s="23" t="n">
        <x:v>66</x:v>
      </x:c>
      <x:c r="I1426" s="23" t="n">
        <x:v>67.5</x:v>
      </x:c>
      <x:c r="J1426" s="23" t="n">
        <x:f>G1426-H1426</x:f>
        <x:v>3</x:v>
      </x:c>
      <x:c r="K1426" t="str">
        <x:v>OBSERVED</x:v>
      </x:c>
      <x:c r="L1426" s="24" t="n">
        <x:v>17.4126</x:v>
      </x:c>
      <x:c r="M1426" s="24" t="n">
        <x:v>78.4484</x:v>
      </x:c>
      <x:c r="N1426" t="str">
        <x:f>IF(I1426&gt;70,"70+ dB",IF(I1426&gt;55,"56-70 dB","41-55 dB"))</x:f>
        <x:v>56-70 dB</x:v>
      </x:c>
      <x:c r="O1426" t="str">
        <x:f>IF(I1426&gt;70,"High",IF(I1426&gt;55,"Moderate","Low"))</x:f>
        <x:v>Moderate</x:v>
      </x:c>
      <x:c r="P1426" t="str">
        <x:f>IF(I1426&gt;=70,"Yes","No")</x:f>
        <x:v>No</x:v>
      </x:c>
      <x:c r="Q1426" t="str">
        <x:f>TEXT(B1426,"yyyy-mm")</x:f>
        <x:v>2015-02</x:v>
      </x:c>
    </x:row>
    <x:row r="1427">
      <x:c r="A1427" t="str">
        <x:v>HYD10</x:v>
      </x:c>
      <x:c r="B1427" s="22" t="n">
        <x:f>DATE(C1427,D1427,1)</x:f>
        <x:v>42064</x:v>
      </x:c>
      <x:c r="C1427" t="n">
        <x:v>2015</x:v>
      </x:c>
      <x:c r="D1427" t="n">
        <x:v>3</x:v>
      </x:c>
      <x:c r="E1427" t="str">
        <x:f>TEXT(B1427,"mmm")</x:f>
        <x:v>Mar</x:v>
      </x:c>
      <x:c r="F1427" t="str">
        <x:f>"Q"&amp;ROUNDUP(D1427/3,0)</x:f>
        <x:v>Q1</x:v>
      </x:c>
      <x:c r="G1427" s="23" t="n">
        <x:v>69</x:v>
      </x:c>
      <x:c r="H1427" s="23" t="n">
        <x:v>66</x:v>
      </x:c>
      <x:c r="I1427" s="23" t="n">
        <x:v>67.5</x:v>
      </x:c>
      <x:c r="J1427" s="23" t="n">
        <x:f>G1427-H1427</x:f>
        <x:v>3</x:v>
      </x:c>
      <x:c r="K1427" t="str">
        <x:v>OBSERVED</x:v>
      </x:c>
      <x:c r="L1427" s="24" t="n">
        <x:v>17.4126</x:v>
      </x:c>
      <x:c r="M1427" s="24" t="n">
        <x:v>78.4484</x:v>
      </x:c>
      <x:c r="N1427" t="str">
        <x:f>IF(I1427&gt;70,"70+ dB",IF(I1427&gt;55,"56-70 dB","41-55 dB"))</x:f>
        <x:v>56-70 dB</x:v>
      </x:c>
      <x:c r="O1427" t="str">
        <x:f>IF(I1427&gt;70,"High",IF(I1427&gt;55,"Moderate","Low"))</x:f>
        <x:v>Moderate</x:v>
      </x:c>
      <x:c r="P1427" t="str">
        <x:f>IF(I1427&gt;=70,"Yes","No")</x:f>
        <x:v>No</x:v>
      </x:c>
      <x:c r="Q1427" t="str">
        <x:f>TEXT(B1427,"yyyy-mm")</x:f>
        <x:v>2015-03</x:v>
      </x:c>
    </x:row>
    <x:row r="1428">
      <x:c r="A1428" t="str">
        <x:v>HYD10</x:v>
      </x:c>
      <x:c r="B1428" s="22" t="n">
        <x:f>DATE(C1428,D1428,1)</x:f>
        <x:v>42095</x:v>
      </x:c>
      <x:c r="C1428" t="n">
        <x:v>2015</x:v>
      </x:c>
      <x:c r="D1428" t="n">
        <x:v>4</x:v>
      </x:c>
      <x:c r="E1428" t="str">
        <x:f>TEXT(B1428,"mmm")</x:f>
        <x:v>Apr</x:v>
      </x:c>
      <x:c r="F1428" t="str">
        <x:f>"Q"&amp;ROUNDUP(D1428/3,0)</x:f>
        <x:v>Q2</x:v>
      </x:c>
      <x:c r="G1428" s="23" t="n">
        <x:v>69</x:v>
      </x:c>
      <x:c r="H1428" s="23" t="n">
        <x:v>66</x:v>
      </x:c>
      <x:c r="I1428" s="23" t="n">
        <x:v>67.5</x:v>
      </x:c>
      <x:c r="J1428" s="23" t="n">
        <x:f>G1428-H1428</x:f>
        <x:v>3</x:v>
      </x:c>
      <x:c r="K1428" t="str">
        <x:v>OBSERVED</x:v>
      </x:c>
      <x:c r="L1428" s="24" t="n">
        <x:v>17.4126</x:v>
      </x:c>
      <x:c r="M1428" s="24" t="n">
        <x:v>78.4484</x:v>
      </x:c>
      <x:c r="N1428" t="str">
        <x:f>IF(I1428&gt;70,"70+ dB",IF(I1428&gt;55,"56-70 dB","41-55 dB"))</x:f>
        <x:v>56-70 dB</x:v>
      </x:c>
      <x:c r="O1428" t="str">
        <x:f>IF(I1428&gt;70,"High",IF(I1428&gt;55,"Moderate","Low"))</x:f>
        <x:v>Moderate</x:v>
      </x:c>
      <x:c r="P1428" t="str">
        <x:f>IF(I1428&gt;=70,"Yes","No")</x:f>
        <x:v>No</x:v>
      </x:c>
      <x:c r="Q1428" t="str">
        <x:f>TEXT(B1428,"yyyy-mm")</x:f>
        <x:v>2015-04</x:v>
      </x:c>
    </x:row>
    <x:row r="1429">
      <x:c r="A1429" t="str">
        <x:v>HYD10</x:v>
      </x:c>
      <x:c r="B1429" s="22" t="n">
        <x:f>DATE(C1429,D1429,1)</x:f>
        <x:v>42125</x:v>
      </x:c>
      <x:c r="C1429" t="n">
        <x:v>2015</x:v>
      </x:c>
      <x:c r="D1429" t="n">
        <x:v>5</x:v>
      </x:c>
      <x:c r="E1429" t="str">
        <x:f>TEXT(B1429,"mmm")</x:f>
        <x:v>May</x:v>
      </x:c>
      <x:c r="F1429" t="str">
        <x:f>"Q"&amp;ROUNDUP(D1429/3,0)</x:f>
        <x:v>Q2</x:v>
      </x:c>
      <x:c r="G1429" s="23" t="n">
        <x:v>70</x:v>
      </x:c>
      <x:c r="H1429" s="23" t="n">
        <x:v>67</x:v>
      </x:c>
      <x:c r="I1429" s="23" t="n">
        <x:v>68.5</x:v>
      </x:c>
      <x:c r="J1429" s="23" t="n">
        <x:f>G1429-H1429</x:f>
        <x:v>3</x:v>
      </x:c>
      <x:c r="K1429" t="str">
        <x:v>OBSERVED</x:v>
      </x:c>
      <x:c r="L1429" s="24" t="n">
        <x:v>17.4126</x:v>
      </x:c>
      <x:c r="M1429" s="24" t="n">
        <x:v>78.4484</x:v>
      </x:c>
      <x:c r="N1429" t="str">
        <x:f>IF(I1429&gt;70,"70+ dB",IF(I1429&gt;55,"56-70 dB","41-55 dB"))</x:f>
        <x:v>56-70 dB</x:v>
      </x:c>
      <x:c r="O1429" t="str">
        <x:f>IF(I1429&gt;70,"High",IF(I1429&gt;55,"Moderate","Low"))</x:f>
        <x:v>Moderate</x:v>
      </x:c>
      <x:c r="P1429" t="str">
        <x:f>IF(I1429&gt;=70,"Yes","No")</x:f>
        <x:v>No</x:v>
      </x:c>
      <x:c r="Q1429" t="str">
        <x:f>TEXT(B1429,"yyyy-mm")</x:f>
        <x:v>2015-05</x:v>
      </x:c>
    </x:row>
    <x:row r="1430">
      <x:c r="A1430" t="str">
        <x:v>HYD10</x:v>
      </x:c>
      <x:c r="B1430" s="22" t="n">
        <x:f>DATE(C1430,D1430,1)</x:f>
        <x:v>42156</x:v>
      </x:c>
      <x:c r="C1430" t="n">
        <x:v>2015</x:v>
      </x:c>
      <x:c r="D1430" t="n">
        <x:v>6</x:v>
      </x:c>
      <x:c r="E1430" t="str">
        <x:f>TEXT(B1430,"mmm")</x:f>
        <x:v>Jun</x:v>
      </x:c>
      <x:c r="F1430" t="str">
        <x:f>"Q"&amp;ROUNDUP(D1430/3,0)</x:f>
        <x:v>Q2</x:v>
      </x:c>
      <x:c r="G1430" s="23" t="n">
        <x:v>71</x:v>
      </x:c>
      <x:c r="H1430" s="23" t="n">
        <x:v>68</x:v>
      </x:c>
      <x:c r="I1430" s="23" t="n">
        <x:v>69.5</x:v>
      </x:c>
      <x:c r="J1430" s="23" t="n">
        <x:f>G1430-H1430</x:f>
        <x:v>3</x:v>
      </x:c>
      <x:c r="K1430" t="str">
        <x:v>OBSERVED</x:v>
      </x:c>
      <x:c r="L1430" s="24" t="n">
        <x:v>17.4126</x:v>
      </x:c>
      <x:c r="M1430" s="24" t="n">
        <x:v>78.4484</x:v>
      </x:c>
      <x:c r="N1430" t="str">
        <x:f>IF(I1430&gt;70,"70+ dB",IF(I1430&gt;55,"56-70 dB","41-55 dB"))</x:f>
        <x:v>56-70 dB</x:v>
      </x:c>
      <x:c r="O1430" t="str">
        <x:f>IF(I1430&gt;70,"High",IF(I1430&gt;55,"Moderate","Low"))</x:f>
        <x:v>Moderate</x:v>
      </x:c>
      <x:c r="P1430" t="str">
        <x:f>IF(I1430&gt;=70,"Yes","No")</x:f>
        <x:v>No</x:v>
      </x:c>
      <x:c r="Q1430" t="str">
        <x:f>TEXT(B1430,"yyyy-mm")</x:f>
        <x:v>2015-06</x:v>
      </x:c>
    </x:row>
    <x:row r="1431">
      <x:c r="A1431" t="str">
        <x:v>HYD10</x:v>
      </x:c>
      <x:c r="B1431" s="22" t="n">
        <x:f>DATE(C1431,D1431,1)</x:f>
        <x:v>42186</x:v>
      </x:c>
      <x:c r="C1431" t="n">
        <x:v>2015</x:v>
      </x:c>
      <x:c r="D1431" t="n">
        <x:v>7</x:v>
      </x:c>
      <x:c r="E1431" t="str">
        <x:f>TEXT(B1431,"mmm")</x:f>
        <x:v>Jul</x:v>
      </x:c>
      <x:c r="F1431" t="str">
        <x:f>"Q"&amp;ROUNDUP(D1431/3,0)</x:f>
        <x:v>Q3</x:v>
      </x:c>
      <x:c r="G1431" s="23" t="n">
        <x:v>72</x:v>
      </x:c>
      <x:c r="H1431" s="23" t="n">
        <x:v>68</x:v>
      </x:c>
      <x:c r="I1431" s="23" t="n">
        <x:v>70</x:v>
      </x:c>
      <x:c r="J1431" s="23" t="n">
        <x:f>G1431-H1431</x:f>
        <x:v>4</x:v>
      </x:c>
      <x:c r="K1431" t="str">
        <x:v>OBSERVED</x:v>
      </x:c>
      <x:c r="L1431" s="24" t="n">
        <x:v>17.4126</x:v>
      </x:c>
      <x:c r="M1431" s="24" t="n">
        <x:v>78.4484</x:v>
      </x:c>
      <x:c r="N1431" t="str">
        <x:f>IF(I1431&gt;70,"70+ dB",IF(I1431&gt;55,"56-70 dB","41-55 dB"))</x:f>
        <x:v>56-70 dB</x:v>
      </x:c>
      <x:c r="O1431" t="str">
        <x:f>IF(I1431&gt;70,"High",IF(I1431&gt;55,"Moderate","Low"))</x:f>
        <x:v>Moderate</x:v>
      </x:c>
      <x:c r="P1431" t="str">
        <x:f>IF(I1431&gt;=70,"Yes","No")</x:f>
        <x:v>Yes</x:v>
      </x:c>
      <x:c r="Q1431" t="str">
        <x:f>TEXT(B1431,"yyyy-mm")</x:f>
        <x:v>2015-07</x:v>
      </x:c>
    </x:row>
    <x:row r="1432">
      <x:c r="A1432" t="str">
        <x:v>HYD10</x:v>
      </x:c>
      <x:c r="B1432" s="22" t="n">
        <x:f>DATE(C1432,D1432,1)</x:f>
        <x:v>42217</x:v>
      </x:c>
      <x:c r="C1432" t="n">
        <x:v>2015</x:v>
      </x:c>
      <x:c r="D1432" t="n">
        <x:v>8</x:v>
      </x:c>
      <x:c r="E1432" t="str">
        <x:f>TEXT(B1432,"mmm")</x:f>
        <x:v>Aug</x:v>
      </x:c>
      <x:c r="F1432" t="str">
        <x:f>"Q"&amp;ROUNDUP(D1432/3,0)</x:f>
        <x:v>Q3</x:v>
      </x:c>
      <x:c r="G1432" s="23" t="n">
        <x:v>72</x:v>
      </x:c>
      <x:c r="H1432" s="23" t="n">
        <x:v>66</x:v>
      </x:c>
      <x:c r="I1432" s="23" t="n">
        <x:v>69</x:v>
      </x:c>
      <x:c r="J1432" s="23" t="n">
        <x:f>G1432-H1432</x:f>
        <x:v>6</x:v>
      </x:c>
      <x:c r="K1432" t="str">
        <x:v>OBSERVED</x:v>
      </x:c>
      <x:c r="L1432" s="24" t="n">
        <x:v>17.4126</x:v>
      </x:c>
      <x:c r="M1432" s="24" t="n">
        <x:v>78.4484</x:v>
      </x:c>
      <x:c r="N1432" t="str">
        <x:f>IF(I1432&gt;70,"70+ dB",IF(I1432&gt;55,"56-70 dB","41-55 dB"))</x:f>
        <x:v>56-70 dB</x:v>
      </x:c>
      <x:c r="O1432" t="str">
        <x:f>IF(I1432&gt;70,"High",IF(I1432&gt;55,"Moderate","Low"))</x:f>
        <x:v>Moderate</x:v>
      </x:c>
      <x:c r="P1432" t="str">
        <x:f>IF(I1432&gt;=70,"Yes","No")</x:f>
        <x:v>No</x:v>
      </x:c>
      <x:c r="Q1432" t="str">
        <x:f>TEXT(B1432,"yyyy-mm")</x:f>
        <x:v>2015-08</x:v>
      </x:c>
    </x:row>
    <x:row r="1433">
      <x:c r="A1433" t="str">
        <x:v>HYD10</x:v>
      </x:c>
      <x:c r="B1433" s="22" t="n">
        <x:f>DATE(C1433,D1433,1)</x:f>
        <x:v>42248</x:v>
      </x:c>
      <x:c r="C1433" t="n">
        <x:v>2015</x:v>
      </x:c>
      <x:c r="D1433" t="n">
        <x:v>9</x:v>
      </x:c>
      <x:c r="E1433" t="str">
        <x:f>TEXT(B1433,"mmm")</x:f>
        <x:v>Sep</x:v>
      </x:c>
      <x:c r="F1433" t="str">
        <x:f>"Q"&amp;ROUNDUP(D1433/3,0)</x:f>
        <x:v>Q3</x:v>
      </x:c>
      <x:c r="G1433" s="23" t="n">
        <x:v>71</x:v>
      </x:c>
      <x:c r="H1433" s="23" t="n">
        <x:v>66</x:v>
      </x:c>
      <x:c r="I1433" s="23" t="n">
        <x:v>68.5</x:v>
      </x:c>
      <x:c r="J1433" s="23" t="n">
        <x:f>G1433-H1433</x:f>
        <x:v>5</x:v>
      </x:c>
      <x:c r="K1433" t="str">
        <x:v>OBSERVED</x:v>
      </x:c>
      <x:c r="L1433" s="24" t="n">
        <x:v>17.4126</x:v>
      </x:c>
      <x:c r="M1433" s="24" t="n">
        <x:v>78.4484</x:v>
      </x:c>
      <x:c r="N1433" t="str">
        <x:f>IF(I1433&gt;70,"70+ dB",IF(I1433&gt;55,"56-70 dB","41-55 dB"))</x:f>
        <x:v>56-70 dB</x:v>
      </x:c>
      <x:c r="O1433" t="str">
        <x:f>IF(I1433&gt;70,"High",IF(I1433&gt;55,"Moderate","Low"))</x:f>
        <x:v>Moderate</x:v>
      </x:c>
      <x:c r="P1433" t="str">
        <x:f>IF(I1433&gt;=70,"Yes","No")</x:f>
        <x:v>No</x:v>
      </x:c>
      <x:c r="Q1433" t="str">
        <x:f>TEXT(B1433,"yyyy-mm")</x:f>
        <x:v>2015-09</x:v>
      </x:c>
    </x:row>
    <x:row r="1434">
      <x:c r="A1434" t="str">
        <x:v>HYD10</x:v>
      </x:c>
      <x:c r="B1434" s="22" t="n">
        <x:f>DATE(C1434,D1434,1)</x:f>
        <x:v>42278</x:v>
      </x:c>
      <x:c r="C1434" t="n">
        <x:v>2015</x:v>
      </x:c>
      <x:c r="D1434" t="n">
        <x:v>10</x:v>
      </x:c>
      <x:c r="E1434" t="str">
        <x:f>TEXT(B1434,"mmm")</x:f>
        <x:v>Oct</x:v>
      </x:c>
      <x:c r="F1434" t="str">
        <x:f>"Q"&amp;ROUNDUP(D1434/3,0)</x:f>
        <x:v>Q4</x:v>
      </x:c>
      <x:c r="G1434" s="23" t="n">
        <x:v>70</x:v>
      </x:c>
      <x:c r="H1434" s="23" t="n">
        <x:v>65</x:v>
      </x:c>
      <x:c r="I1434" s="23" t="n">
        <x:v>67.5</x:v>
      </x:c>
      <x:c r="J1434" s="23" t="n">
        <x:f>G1434-H1434</x:f>
        <x:v>5</x:v>
      </x:c>
      <x:c r="K1434" t="str">
        <x:v>OBSERVED</x:v>
      </x:c>
      <x:c r="L1434" s="24" t="n">
        <x:v>17.4126</x:v>
      </x:c>
      <x:c r="M1434" s="24" t="n">
        <x:v>78.4484</x:v>
      </x:c>
      <x:c r="N1434" t="str">
        <x:f>IF(I1434&gt;70,"70+ dB",IF(I1434&gt;55,"56-70 dB","41-55 dB"))</x:f>
        <x:v>56-70 dB</x:v>
      </x:c>
      <x:c r="O1434" t="str">
        <x:f>IF(I1434&gt;70,"High",IF(I1434&gt;55,"Moderate","Low"))</x:f>
        <x:v>Moderate</x:v>
      </x:c>
      <x:c r="P1434" t="str">
        <x:f>IF(I1434&gt;=70,"Yes","No")</x:f>
        <x:v>No</x:v>
      </x:c>
      <x:c r="Q1434" t="str">
        <x:f>TEXT(B1434,"yyyy-mm")</x:f>
        <x:v>2015-10</x:v>
      </x:c>
    </x:row>
    <x:row r="1435">
      <x:c r="A1435" t="str">
        <x:v>HYD10</x:v>
      </x:c>
      <x:c r="B1435" s="22" t="n">
        <x:f>DATE(C1435,D1435,1)</x:f>
        <x:v>42309</x:v>
      </x:c>
      <x:c r="C1435" t="n">
        <x:v>2015</x:v>
      </x:c>
      <x:c r="D1435" t="n">
        <x:v>11</x:v>
      </x:c>
      <x:c r="E1435" t="str">
        <x:f>TEXT(B1435,"mmm")</x:f>
        <x:v>Nov</x:v>
      </x:c>
      <x:c r="F1435" t="str">
        <x:f>"Q"&amp;ROUNDUP(D1435/3,0)</x:f>
        <x:v>Q4</x:v>
      </x:c>
      <x:c r="G1435" s="23" t="n">
        <x:v>70</x:v>
      </x:c>
      <x:c r="H1435" s="23" t="n">
        <x:v>66</x:v>
      </x:c>
      <x:c r="I1435" s="23" t="n">
        <x:v>68</x:v>
      </x:c>
      <x:c r="J1435" s="23" t="n">
        <x:f>G1435-H1435</x:f>
        <x:v>4</x:v>
      </x:c>
      <x:c r="K1435" t="str">
        <x:v>OBSERVED</x:v>
      </x:c>
      <x:c r="L1435" s="24" t="n">
        <x:v>17.4126</x:v>
      </x:c>
      <x:c r="M1435" s="24" t="n">
        <x:v>78.4484</x:v>
      </x:c>
      <x:c r="N1435" t="str">
        <x:f>IF(I1435&gt;70,"70+ dB",IF(I1435&gt;55,"56-70 dB","41-55 dB"))</x:f>
        <x:v>56-70 dB</x:v>
      </x:c>
      <x:c r="O1435" t="str">
        <x:f>IF(I1435&gt;70,"High",IF(I1435&gt;55,"Moderate","Low"))</x:f>
        <x:v>Moderate</x:v>
      </x:c>
      <x:c r="P1435" t="str">
        <x:f>IF(I1435&gt;=70,"Yes","No")</x:f>
        <x:v>No</x:v>
      </x:c>
      <x:c r="Q1435" t="str">
        <x:f>TEXT(B1435,"yyyy-mm")</x:f>
        <x:v>2015-11</x:v>
      </x:c>
    </x:row>
    <x:row r="1436">
      <x:c r="A1436" t="str">
        <x:v>HYD10</x:v>
      </x:c>
      <x:c r="B1436" s="22" t="n">
        <x:f>DATE(C1436,D1436,1)</x:f>
        <x:v>42339</x:v>
      </x:c>
      <x:c r="C1436" t="n">
        <x:v>2015</x:v>
      </x:c>
      <x:c r="D1436" t="n">
        <x:v>12</x:v>
      </x:c>
      <x:c r="E1436" t="str">
        <x:f>TEXT(B1436,"mmm")</x:f>
        <x:v>Dec</x:v>
      </x:c>
      <x:c r="F1436" t="str">
        <x:f>"Q"&amp;ROUNDUP(D1436/3,0)</x:f>
        <x:v>Q4</x:v>
      </x:c>
      <x:c r="G1436" s="23" t="n">
        <x:v>70</x:v>
      </x:c>
      <x:c r="H1436" s="23" t="n">
        <x:v>66</x:v>
      </x:c>
      <x:c r="I1436" s="23" t="n">
        <x:v>68</x:v>
      </x:c>
      <x:c r="J1436" s="23" t="n">
        <x:f>G1436-H1436</x:f>
        <x:v>4</x:v>
      </x:c>
      <x:c r="K1436" t="str">
        <x:v>OBSERVED</x:v>
      </x:c>
      <x:c r="L1436" s="24" t="n">
        <x:v>17.4126</x:v>
      </x:c>
      <x:c r="M1436" s="24" t="n">
        <x:v>78.4484</x:v>
      </x:c>
      <x:c r="N1436" t="str">
        <x:f>IF(I1436&gt;70,"70+ dB",IF(I1436&gt;55,"56-70 dB","41-55 dB"))</x:f>
        <x:v>56-70 dB</x:v>
      </x:c>
      <x:c r="O1436" t="str">
        <x:f>IF(I1436&gt;70,"High",IF(I1436&gt;55,"Moderate","Low"))</x:f>
        <x:v>Moderate</x:v>
      </x:c>
      <x:c r="P1436" t="str">
        <x:f>IF(I1436&gt;=70,"Yes","No")</x:f>
        <x:v>No</x:v>
      </x:c>
      <x:c r="Q1436" t="str">
        <x:f>TEXT(B1436,"yyyy-mm")</x:f>
        <x:v>2015-12</x:v>
      </x:c>
    </x:row>
    <x:row r="1437">
      <x:c r="A1437" t="str">
        <x:v>HYD10</x:v>
      </x:c>
      <x:c r="B1437" s="22" t="n">
        <x:f>DATE(C1437,D1437,1)</x:f>
        <x:v>42370</x:v>
      </x:c>
      <x:c r="C1437" t="n">
        <x:v>2016</x:v>
      </x:c>
      <x:c r="D1437" t="n">
        <x:v>1</x:v>
      </x:c>
      <x:c r="E1437" t="str">
        <x:f>TEXT(B1437,"mmm")</x:f>
        <x:v>Jan</x:v>
      </x:c>
      <x:c r="F1437" t="str">
        <x:f>"Q"&amp;ROUNDUP(D1437/3,0)</x:f>
        <x:v>Q1</x:v>
      </x:c>
      <x:c r="G1437" s="23" t="n">
        <x:v>70</x:v>
      </x:c>
      <x:c r="H1437" s="23" t="n">
        <x:v>67</x:v>
      </x:c>
      <x:c r="I1437" s="23" t="n">
        <x:v>68.5</x:v>
      </x:c>
      <x:c r="J1437" s="23" t="n">
        <x:f>G1437-H1437</x:f>
        <x:v>3</x:v>
      </x:c>
      <x:c r="K1437" t="str">
        <x:v>OBSERVED</x:v>
      </x:c>
      <x:c r="L1437" s="24" t="n">
        <x:v>17.4126</x:v>
      </x:c>
      <x:c r="M1437" s="24" t="n">
        <x:v>78.4484</x:v>
      </x:c>
      <x:c r="N1437" t="str">
        <x:f>IF(I1437&gt;70,"70+ dB",IF(I1437&gt;55,"56-70 dB","41-55 dB"))</x:f>
        <x:v>56-70 dB</x:v>
      </x:c>
      <x:c r="O1437" t="str">
        <x:f>IF(I1437&gt;70,"High",IF(I1437&gt;55,"Moderate","Low"))</x:f>
        <x:v>Moderate</x:v>
      </x:c>
      <x:c r="P1437" t="str">
        <x:f>IF(I1437&gt;=70,"Yes","No")</x:f>
        <x:v>No</x:v>
      </x:c>
      <x:c r="Q1437" t="str">
        <x:f>TEXT(B1437,"yyyy-mm")</x:f>
        <x:v>2016-01</x:v>
      </x:c>
    </x:row>
    <x:row r="1438">
      <x:c r="A1438" t="str">
        <x:v>HYD10</x:v>
      </x:c>
      <x:c r="B1438" s="22" t="n">
        <x:f>DATE(C1438,D1438,1)</x:f>
        <x:v>42401</x:v>
      </x:c>
      <x:c r="C1438" t="n">
        <x:v>2016</x:v>
      </x:c>
      <x:c r="D1438" t="n">
        <x:v>2</x:v>
      </x:c>
      <x:c r="E1438" t="str">
        <x:f>TEXT(B1438,"mmm")</x:f>
        <x:v>Feb</x:v>
      </x:c>
      <x:c r="F1438" t="str">
        <x:f>"Q"&amp;ROUNDUP(D1438/3,0)</x:f>
        <x:v>Q1</x:v>
      </x:c>
      <x:c r="G1438" s="23" t="n">
        <x:v>71</x:v>
      </x:c>
      <x:c r="H1438" s="23" t="n">
        <x:v>66</x:v>
      </x:c>
      <x:c r="I1438" s="23" t="n">
        <x:v>68.5</x:v>
      </x:c>
      <x:c r="J1438" s="23" t="n">
        <x:f>G1438-H1438</x:f>
        <x:v>5</x:v>
      </x:c>
      <x:c r="K1438" t="str">
        <x:v>OBSERVED</x:v>
      </x:c>
      <x:c r="L1438" s="24" t="n">
        <x:v>17.4126</x:v>
      </x:c>
      <x:c r="M1438" s="24" t="n">
        <x:v>78.4484</x:v>
      </x:c>
      <x:c r="N1438" t="str">
        <x:f>IF(I1438&gt;70,"70+ dB",IF(I1438&gt;55,"56-70 dB","41-55 dB"))</x:f>
        <x:v>56-70 dB</x:v>
      </x:c>
      <x:c r="O1438" t="str">
        <x:f>IF(I1438&gt;70,"High",IF(I1438&gt;55,"Moderate","Low"))</x:f>
        <x:v>Moderate</x:v>
      </x:c>
      <x:c r="P1438" t="str">
        <x:f>IF(I1438&gt;=70,"Yes","No")</x:f>
        <x:v>No</x:v>
      </x:c>
      <x:c r="Q1438" t="str">
        <x:f>TEXT(B1438,"yyyy-mm")</x:f>
        <x:v>2016-02</x:v>
      </x:c>
    </x:row>
    <x:row r="1439">
      <x:c r="A1439" t="str">
        <x:v>HYD10</x:v>
      </x:c>
      <x:c r="B1439" s="22" t="n">
        <x:f>DATE(C1439,D1439,1)</x:f>
        <x:v>42430</x:v>
      </x:c>
      <x:c r="C1439" t="n">
        <x:v>2016</x:v>
      </x:c>
      <x:c r="D1439" t="n">
        <x:v>3</x:v>
      </x:c>
      <x:c r="E1439" t="str">
        <x:f>TEXT(B1439,"mmm")</x:f>
        <x:v>Mar</x:v>
      </x:c>
      <x:c r="F1439" t="str">
        <x:f>"Q"&amp;ROUNDUP(D1439/3,0)</x:f>
        <x:v>Q1</x:v>
      </x:c>
      <x:c r="G1439" s="23" t="n">
        <x:v>70</x:v>
      </x:c>
      <x:c r="H1439" s="23" t="n">
        <x:v>66</x:v>
      </x:c>
      <x:c r="I1439" s="23" t="n">
        <x:v>68</x:v>
      </x:c>
      <x:c r="J1439" s="23" t="n">
        <x:f>G1439-H1439</x:f>
        <x:v>4</x:v>
      </x:c>
      <x:c r="K1439" t="str">
        <x:v>OBSERVED</x:v>
      </x:c>
      <x:c r="L1439" s="24" t="n">
        <x:v>17.4126</x:v>
      </x:c>
      <x:c r="M1439" s="24" t="n">
        <x:v>78.4484</x:v>
      </x:c>
      <x:c r="N1439" t="str">
        <x:f>IF(I1439&gt;70,"70+ dB",IF(I1439&gt;55,"56-70 dB","41-55 dB"))</x:f>
        <x:v>56-70 dB</x:v>
      </x:c>
      <x:c r="O1439" t="str">
        <x:f>IF(I1439&gt;70,"High",IF(I1439&gt;55,"Moderate","Low"))</x:f>
        <x:v>Moderate</x:v>
      </x:c>
      <x:c r="P1439" t="str">
        <x:f>IF(I1439&gt;=70,"Yes","No")</x:f>
        <x:v>No</x:v>
      </x:c>
      <x:c r="Q1439" t="str">
        <x:f>TEXT(B1439,"yyyy-mm")</x:f>
        <x:v>2016-03</x:v>
      </x:c>
    </x:row>
    <x:row r="1440">
      <x:c r="A1440" t="str">
        <x:v>HYD10</x:v>
      </x:c>
      <x:c r="B1440" s="22" t="n">
        <x:f>DATE(C1440,D1440,1)</x:f>
        <x:v>42461</x:v>
      </x:c>
      <x:c r="C1440" t="n">
        <x:v>2016</x:v>
      </x:c>
      <x:c r="D1440" t="n">
        <x:v>4</x:v>
      </x:c>
      <x:c r="E1440" t="str">
        <x:f>TEXT(B1440,"mmm")</x:f>
        <x:v>Apr</x:v>
      </x:c>
      <x:c r="F1440" t="str">
        <x:f>"Q"&amp;ROUNDUP(D1440/3,0)</x:f>
        <x:v>Q2</x:v>
      </x:c>
      <x:c r="G1440" s="23" t="n">
        <x:v>69</x:v>
      </x:c>
      <x:c r="H1440" s="23" t="n">
        <x:v>66</x:v>
      </x:c>
      <x:c r="I1440" s="23" t="n">
        <x:v>67.5</x:v>
      </x:c>
      <x:c r="J1440" s="23" t="n">
        <x:f>G1440-H1440</x:f>
        <x:v>3</x:v>
      </x:c>
      <x:c r="K1440" t="str">
        <x:v>OBSERVED</x:v>
      </x:c>
      <x:c r="L1440" s="24" t="n">
        <x:v>17.4126</x:v>
      </x:c>
      <x:c r="M1440" s="24" t="n">
        <x:v>78.4484</x:v>
      </x:c>
      <x:c r="N1440" t="str">
        <x:f>IF(I1440&gt;70,"70+ dB",IF(I1440&gt;55,"56-70 dB","41-55 dB"))</x:f>
        <x:v>56-70 dB</x:v>
      </x:c>
      <x:c r="O1440" t="str">
        <x:f>IF(I1440&gt;70,"High",IF(I1440&gt;55,"Moderate","Low"))</x:f>
        <x:v>Moderate</x:v>
      </x:c>
      <x:c r="P1440" t="str">
        <x:f>IF(I1440&gt;=70,"Yes","No")</x:f>
        <x:v>No</x:v>
      </x:c>
      <x:c r="Q1440" t="str">
        <x:f>TEXT(B1440,"yyyy-mm")</x:f>
        <x:v>2016-04</x:v>
      </x:c>
    </x:row>
    <x:row r="1441">
      <x:c r="A1441" t="str">
        <x:v>HYD10</x:v>
      </x:c>
      <x:c r="B1441" s="22" t="n">
        <x:f>DATE(C1441,D1441,1)</x:f>
        <x:v>42491</x:v>
      </x:c>
      <x:c r="C1441" t="n">
        <x:v>2016</x:v>
      </x:c>
      <x:c r="D1441" t="n">
        <x:v>5</x:v>
      </x:c>
      <x:c r="E1441" t="str">
        <x:f>TEXT(B1441,"mmm")</x:f>
        <x:v>May</x:v>
      </x:c>
      <x:c r="F1441" t="str">
        <x:f>"Q"&amp;ROUNDUP(D1441/3,0)</x:f>
        <x:v>Q2</x:v>
      </x:c>
      <x:c r="G1441" s="23" t="n">
        <x:v>71</x:v>
      </x:c>
      <x:c r="H1441" s="23" t="n">
        <x:v>68</x:v>
      </x:c>
      <x:c r="I1441" s="23" t="n">
        <x:v>69.5</x:v>
      </x:c>
      <x:c r="J1441" s="23" t="n">
        <x:f>G1441-H1441</x:f>
        <x:v>3</x:v>
      </x:c>
      <x:c r="K1441" t="str">
        <x:v>OBSERVED</x:v>
      </x:c>
      <x:c r="L1441" s="24" t="n">
        <x:v>17.4126</x:v>
      </x:c>
      <x:c r="M1441" s="24" t="n">
        <x:v>78.4484</x:v>
      </x:c>
      <x:c r="N1441" t="str">
        <x:f>IF(I1441&gt;70,"70+ dB",IF(I1441&gt;55,"56-70 dB","41-55 dB"))</x:f>
        <x:v>56-70 dB</x:v>
      </x:c>
      <x:c r="O1441" t="str">
        <x:f>IF(I1441&gt;70,"High",IF(I1441&gt;55,"Moderate","Low"))</x:f>
        <x:v>Moderate</x:v>
      </x:c>
      <x:c r="P1441" t="str">
        <x:f>IF(I1441&gt;=70,"Yes","No")</x:f>
        <x:v>No</x:v>
      </x:c>
      <x:c r="Q1441" t="str">
        <x:f>TEXT(B1441,"yyyy-mm")</x:f>
        <x:v>2016-05</x:v>
      </x:c>
    </x:row>
    <x:row r="1442">
      <x:c r="A1442" t="str">
        <x:v>HYD10</x:v>
      </x:c>
      <x:c r="B1442" s="22" t="n">
        <x:f>DATE(C1442,D1442,1)</x:f>
        <x:v>42522</x:v>
      </x:c>
      <x:c r="C1442" t="n">
        <x:v>2016</x:v>
      </x:c>
      <x:c r="D1442" t="n">
        <x:v>6</x:v>
      </x:c>
      <x:c r="E1442" t="str">
        <x:f>TEXT(B1442,"mmm")</x:f>
        <x:v>Jun</x:v>
      </x:c>
      <x:c r="F1442" t="str">
        <x:f>"Q"&amp;ROUNDUP(D1442/3,0)</x:f>
        <x:v>Q2</x:v>
      </x:c>
      <x:c r="G1442" s="23" t="n">
        <x:v>72</x:v>
      </x:c>
      <x:c r="H1442" s="23" t="n">
        <x:v>68</x:v>
      </x:c>
      <x:c r="I1442" s="23" t="n">
        <x:v>70</x:v>
      </x:c>
      <x:c r="J1442" s="23" t="n">
        <x:f>G1442-H1442</x:f>
        <x:v>4</x:v>
      </x:c>
      <x:c r="K1442" t="str">
        <x:v>OBSERVED</x:v>
      </x:c>
      <x:c r="L1442" s="24" t="n">
        <x:v>17.4126</x:v>
      </x:c>
      <x:c r="M1442" s="24" t="n">
        <x:v>78.4484</x:v>
      </x:c>
      <x:c r="N1442" t="str">
        <x:f>IF(I1442&gt;70,"70+ dB",IF(I1442&gt;55,"56-70 dB","41-55 dB"))</x:f>
        <x:v>56-70 dB</x:v>
      </x:c>
      <x:c r="O1442" t="str">
        <x:f>IF(I1442&gt;70,"High",IF(I1442&gt;55,"Moderate","Low"))</x:f>
        <x:v>Moderate</x:v>
      </x:c>
      <x:c r="P1442" t="str">
        <x:f>IF(I1442&gt;=70,"Yes","No")</x:f>
        <x:v>Yes</x:v>
      </x:c>
      <x:c r="Q1442" t="str">
        <x:f>TEXT(B1442,"yyyy-mm")</x:f>
        <x:v>2016-06</x:v>
      </x:c>
    </x:row>
    <x:row r="1443">
      <x:c r="A1443" t="str">
        <x:v>HYD10</x:v>
      </x:c>
      <x:c r="B1443" s="22" t="n">
        <x:f>DATE(C1443,D1443,1)</x:f>
        <x:v>42552</x:v>
      </x:c>
      <x:c r="C1443" t="n">
        <x:v>2016</x:v>
      </x:c>
      <x:c r="D1443" t="n">
        <x:v>7</x:v>
      </x:c>
      <x:c r="E1443" t="str">
        <x:f>TEXT(B1443,"mmm")</x:f>
        <x:v>Jul</x:v>
      </x:c>
      <x:c r="F1443" t="str">
        <x:f>"Q"&amp;ROUNDUP(D1443/3,0)</x:f>
        <x:v>Q3</x:v>
      </x:c>
      <x:c r="G1443" s="23" t="n">
        <x:v>72</x:v>
      </x:c>
      <x:c r="H1443" s="23" t="n">
        <x:v>68</x:v>
      </x:c>
      <x:c r="I1443" s="23" t="n">
        <x:v>70</x:v>
      </x:c>
      <x:c r="J1443" s="23" t="n">
        <x:f>G1443-H1443</x:f>
        <x:v>4</x:v>
      </x:c>
      <x:c r="K1443" t="str">
        <x:v>OBSERVED</x:v>
      </x:c>
      <x:c r="L1443" s="24" t="n">
        <x:v>17.4126</x:v>
      </x:c>
      <x:c r="M1443" s="24" t="n">
        <x:v>78.4484</x:v>
      </x:c>
      <x:c r="N1443" t="str">
        <x:f>IF(I1443&gt;70,"70+ dB",IF(I1443&gt;55,"56-70 dB","41-55 dB"))</x:f>
        <x:v>56-70 dB</x:v>
      </x:c>
      <x:c r="O1443" t="str">
        <x:f>IF(I1443&gt;70,"High",IF(I1443&gt;55,"Moderate","Low"))</x:f>
        <x:v>Moderate</x:v>
      </x:c>
      <x:c r="P1443" t="str">
        <x:f>IF(I1443&gt;=70,"Yes","No")</x:f>
        <x:v>Yes</x:v>
      </x:c>
      <x:c r="Q1443" t="str">
        <x:f>TEXT(B1443,"yyyy-mm")</x:f>
        <x:v>2016-07</x:v>
      </x:c>
    </x:row>
    <x:row r="1444">
      <x:c r="A1444" t="str">
        <x:v>HYD10</x:v>
      </x:c>
      <x:c r="B1444" s="22" t="n">
        <x:f>DATE(C1444,D1444,1)</x:f>
        <x:v>42583</x:v>
      </x:c>
      <x:c r="C1444" t="n">
        <x:v>2016</x:v>
      </x:c>
      <x:c r="D1444" t="n">
        <x:v>8</x:v>
      </x:c>
      <x:c r="E1444" t="str">
        <x:f>TEXT(B1444,"mmm")</x:f>
        <x:v>Aug</x:v>
      </x:c>
      <x:c r="F1444" t="str">
        <x:f>"Q"&amp;ROUNDUP(D1444/3,0)</x:f>
        <x:v>Q3</x:v>
      </x:c>
      <x:c r="G1444" s="23" t="n">
        <x:v>73</x:v>
      </x:c>
      <x:c r="H1444" s="23" t="n">
        <x:v>69</x:v>
      </x:c>
      <x:c r="I1444" s="23" t="n">
        <x:v>71</x:v>
      </x:c>
      <x:c r="J1444" s="23" t="n">
        <x:f>G1444-H1444</x:f>
        <x:v>4</x:v>
      </x:c>
      <x:c r="K1444" t="str">
        <x:v>OBSERVED</x:v>
      </x:c>
      <x:c r="L1444" s="24" t="n">
        <x:v>17.4126</x:v>
      </x:c>
      <x:c r="M1444" s="24" t="n">
        <x:v>78.4484</x:v>
      </x:c>
      <x:c r="N1444" t="str">
        <x:f>IF(I1444&gt;70,"70+ dB",IF(I1444&gt;55,"56-70 dB","41-55 dB"))</x:f>
        <x:v>70+ dB</x:v>
      </x:c>
      <x:c r="O1444" t="str">
        <x:f>IF(I1444&gt;70,"High",IF(I1444&gt;55,"Moderate","Low"))</x:f>
        <x:v>High</x:v>
      </x:c>
      <x:c r="P1444" t="str">
        <x:f>IF(I1444&gt;=70,"Yes","No")</x:f>
        <x:v>Yes</x:v>
      </x:c>
      <x:c r="Q1444" t="str">
        <x:f>TEXT(B1444,"yyyy-mm")</x:f>
        <x:v>2016-08</x:v>
      </x:c>
    </x:row>
    <x:row r="1445">
      <x:c r="A1445" t="str">
        <x:v>HYD10</x:v>
      </x:c>
      <x:c r="B1445" s="22" t="n">
        <x:f>DATE(C1445,D1445,1)</x:f>
        <x:v>42614</x:v>
      </x:c>
      <x:c r="C1445" t="n">
        <x:v>2016</x:v>
      </x:c>
      <x:c r="D1445" t="n">
        <x:v>9</x:v>
      </x:c>
      <x:c r="E1445" t="str">
        <x:f>TEXT(B1445,"mmm")</x:f>
        <x:v>Sep</x:v>
      </x:c>
      <x:c r="F1445" t="str">
        <x:f>"Q"&amp;ROUNDUP(D1445/3,0)</x:f>
        <x:v>Q3</x:v>
      </x:c>
      <x:c r="G1445" s="23" t="n">
        <x:v>76</x:v>
      </x:c>
      <x:c r="H1445" s="23" t="n">
        <x:v>71</x:v>
      </x:c>
      <x:c r="I1445" s="23" t="n">
        <x:v>73.5</x:v>
      </x:c>
      <x:c r="J1445" s="23" t="n">
        <x:f>G1445-H1445</x:f>
        <x:v>5</x:v>
      </x:c>
      <x:c r="K1445" t="str">
        <x:v>OBSERVED</x:v>
      </x:c>
      <x:c r="L1445" s="24" t="n">
        <x:v>17.4126</x:v>
      </x:c>
      <x:c r="M1445" s="24" t="n">
        <x:v>78.4484</x:v>
      </x:c>
      <x:c r="N1445" t="str">
        <x:f>IF(I1445&gt;70,"70+ dB",IF(I1445&gt;55,"56-70 dB","41-55 dB"))</x:f>
        <x:v>70+ dB</x:v>
      </x:c>
      <x:c r="O1445" t="str">
        <x:f>IF(I1445&gt;70,"High",IF(I1445&gt;55,"Moderate","Low"))</x:f>
        <x:v>High</x:v>
      </x:c>
      <x:c r="P1445" t="str">
        <x:f>IF(I1445&gt;=70,"Yes","No")</x:f>
        <x:v>Yes</x:v>
      </x:c>
      <x:c r="Q1445" t="str">
        <x:f>TEXT(B1445,"yyyy-mm")</x:f>
        <x:v>2016-09</x:v>
      </x:c>
    </x:row>
    <x:row r="1446">
      <x:c r="A1446" t="str">
        <x:v>HYD10</x:v>
      </x:c>
      <x:c r="B1446" s="22" t="n">
        <x:f>DATE(C1446,D1446,1)</x:f>
        <x:v>42644</x:v>
      </x:c>
      <x:c r="C1446" t="n">
        <x:v>2016</x:v>
      </x:c>
      <x:c r="D1446" t="n">
        <x:v>10</x:v>
      </x:c>
      <x:c r="E1446" t="str">
        <x:f>TEXT(B1446,"mmm")</x:f>
        <x:v>Oct</x:v>
      </x:c>
      <x:c r="F1446" t="str">
        <x:f>"Q"&amp;ROUNDUP(D1446/3,0)</x:f>
        <x:v>Q4</x:v>
      </x:c>
      <x:c r="G1446" s="23" t="n">
        <x:v>75</x:v>
      </x:c>
      <x:c r="H1446" s="23" t="n">
        <x:v>75</x:v>
      </x:c>
      <x:c r="I1446" s="23" t="n">
        <x:v>75</x:v>
      </x:c>
      <x:c r="J1446" s="23" t="n">
        <x:f>G1446-H1446</x:f>
        <x:v>0</x:v>
      </x:c>
      <x:c r="K1446" t="str">
        <x:v>OBSERVED</x:v>
      </x:c>
      <x:c r="L1446" s="24" t="n">
        <x:v>17.4126</x:v>
      </x:c>
      <x:c r="M1446" s="24" t="n">
        <x:v>78.4484</x:v>
      </x:c>
      <x:c r="N1446" t="str">
        <x:f>IF(I1446&gt;70,"70+ dB",IF(I1446&gt;55,"56-70 dB","41-55 dB"))</x:f>
        <x:v>70+ dB</x:v>
      </x:c>
      <x:c r="O1446" t="str">
        <x:f>IF(I1446&gt;70,"High",IF(I1446&gt;55,"Moderate","Low"))</x:f>
        <x:v>High</x:v>
      </x:c>
      <x:c r="P1446" t="str">
        <x:f>IF(I1446&gt;=70,"Yes","No")</x:f>
        <x:v>Yes</x:v>
      </x:c>
      <x:c r="Q1446" t="str">
        <x:f>TEXT(B1446,"yyyy-mm")</x:f>
        <x:v>2016-10</x:v>
      </x:c>
    </x:row>
    <x:row r="1447">
      <x:c r="A1447" t="str">
        <x:v>HYD10</x:v>
      </x:c>
      <x:c r="B1447" s="22" t="n">
        <x:f>DATE(C1447,D1447,1)</x:f>
        <x:v>42675</x:v>
      </x:c>
      <x:c r="C1447" t="n">
        <x:v>2016</x:v>
      </x:c>
      <x:c r="D1447" t="n">
        <x:v>11</x:v>
      </x:c>
      <x:c r="E1447" t="str">
        <x:f>TEXT(B1447,"mmm")</x:f>
        <x:v>Nov</x:v>
      </x:c>
      <x:c r="F1447" t="str">
        <x:f>"Q"&amp;ROUNDUP(D1447/3,0)</x:f>
        <x:v>Q4</x:v>
      </x:c>
      <x:c r="G1447" s="23" t="n">
        <x:v>69</x:v>
      </x:c>
      <x:c r="H1447" s="23" t="n">
        <x:v>65</x:v>
      </x:c>
      <x:c r="I1447" s="23" t="n">
        <x:v>67</x:v>
      </x:c>
      <x:c r="J1447" s="23" t="n">
        <x:f>G1447-H1447</x:f>
        <x:v>4</x:v>
      </x:c>
      <x:c r="K1447" t="str">
        <x:v>OBSERVED</x:v>
      </x:c>
      <x:c r="L1447" s="24" t="n">
        <x:v>17.4126</x:v>
      </x:c>
      <x:c r="M1447" s="24" t="n">
        <x:v>78.4484</x:v>
      </x:c>
      <x:c r="N1447" t="str">
        <x:f>IF(I1447&gt;70,"70+ dB",IF(I1447&gt;55,"56-70 dB","41-55 dB"))</x:f>
        <x:v>56-70 dB</x:v>
      </x:c>
      <x:c r="O1447" t="str">
        <x:f>IF(I1447&gt;70,"High",IF(I1447&gt;55,"Moderate","Low"))</x:f>
        <x:v>Moderate</x:v>
      </x:c>
      <x:c r="P1447" t="str">
        <x:f>IF(I1447&gt;=70,"Yes","No")</x:f>
        <x:v>No</x:v>
      </x:c>
      <x:c r="Q1447" t="str">
        <x:f>TEXT(B1447,"yyyy-mm")</x:f>
        <x:v>2016-11</x:v>
      </x:c>
    </x:row>
    <x:row r="1448">
      <x:c r="A1448" t="str">
        <x:v>HYD10</x:v>
      </x:c>
      <x:c r="B1448" s="22" t="n">
        <x:f>DATE(C1448,D1448,1)</x:f>
        <x:v>42705</x:v>
      </x:c>
      <x:c r="C1448" t="n">
        <x:v>2016</x:v>
      </x:c>
      <x:c r="D1448" t="n">
        <x:v>12</x:v>
      </x:c>
      <x:c r="E1448" t="str">
        <x:f>TEXT(B1448,"mmm")</x:f>
        <x:v>Dec</x:v>
      </x:c>
      <x:c r="F1448" t="str">
        <x:f>"Q"&amp;ROUNDUP(D1448/3,0)</x:f>
        <x:v>Q4</x:v>
      </x:c>
      <x:c r="G1448" s="23" t="n">
        <x:v>70</x:v>
      </x:c>
      <x:c r="H1448" s="23" t="n">
        <x:v>68</x:v>
      </x:c>
      <x:c r="I1448" s="23" t="n">
        <x:v>69</x:v>
      </x:c>
      <x:c r="J1448" s="23" t="n">
        <x:f>G1448-H1448</x:f>
        <x:v>2</x:v>
      </x:c>
      <x:c r="K1448" t="str">
        <x:v>OBSERVED</x:v>
      </x:c>
      <x:c r="L1448" s="24" t="n">
        <x:v>17.4126</x:v>
      </x:c>
      <x:c r="M1448" s="24" t="n">
        <x:v>78.4484</x:v>
      </x:c>
      <x:c r="N1448" t="str">
        <x:f>IF(I1448&gt;70,"70+ dB",IF(I1448&gt;55,"56-70 dB","41-55 dB"))</x:f>
        <x:v>56-70 dB</x:v>
      </x:c>
      <x:c r="O1448" t="str">
        <x:f>IF(I1448&gt;70,"High",IF(I1448&gt;55,"Moderate","Low"))</x:f>
        <x:v>Moderate</x:v>
      </x:c>
      <x:c r="P1448" t="str">
        <x:f>IF(I1448&gt;=70,"Yes","No")</x:f>
        <x:v>No</x:v>
      </x:c>
      <x:c r="Q1448" t="str">
        <x:f>TEXT(B1448,"yyyy-mm")</x:f>
        <x:v>2016-12</x:v>
      </x:c>
    </x:row>
    <x:row r="1449">
      <x:c r="A1449" t="str">
        <x:v>HYD10</x:v>
      </x:c>
      <x:c r="B1449" s="22" t="n">
        <x:f>DATE(C1449,D1449,1)</x:f>
        <x:v>42736</x:v>
      </x:c>
      <x:c r="C1449" t="n">
        <x:v>2017</x:v>
      </x:c>
      <x:c r="D1449" t="n">
        <x:v>1</x:v>
      </x:c>
      <x:c r="E1449" t="str">
        <x:f>TEXT(B1449,"mmm")</x:f>
        <x:v>Jan</x:v>
      </x:c>
      <x:c r="F1449" t="str">
        <x:f>"Q"&amp;ROUNDUP(D1449/3,0)</x:f>
        <x:v>Q1</x:v>
      </x:c>
      <x:c r="G1449" s="23" t="n">
        <x:v>69</x:v>
      </x:c>
      <x:c r="H1449" s="23" t="n">
        <x:v>64</x:v>
      </x:c>
      <x:c r="I1449" s="23" t="n">
        <x:v>66.5</x:v>
      </x:c>
      <x:c r="J1449" s="23" t="n">
        <x:f>G1449-H1449</x:f>
        <x:v>5</x:v>
      </x:c>
      <x:c r="K1449" t="str">
        <x:v>OBSERVED</x:v>
      </x:c>
      <x:c r="L1449" s="24" t="n">
        <x:v>17.4126</x:v>
      </x:c>
      <x:c r="M1449" s="24" t="n">
        <x:v>78.4484</x:v>
      </x:c>
      <x:c r="N1449" t="str">
        <x:f>IF(I1449&gt;70,"70+ dB",IF(I1449&gt;55,"56-70 dB","41-55 dB"))</x:f>
        <x:v>56-70 dB</x:v>
      </x:c>
      <x:c r="O1449" t="str">
        <x:f>IF(I1449&gt;70,"High",IF(I1449&gt;55,"Moderate","Low"))</x:f>
        <x:v>Moderate</x:v>
      </x:c>
      <x:c r="P1449" t="str">
        <x:f>IF(I1449&gt;=70,"Yes","No")</x:f>
        <x:v>No</x:v>
      </x:c>
      <x:c r="Q1449" t="str">
        <x:f>TEXT(B1449,"yyyy-mm")</x:f>
        <x:v>2017-01</x:v>
      </x:c>
    </x:row>
    <x:row r="1450">
      <x:c r="A1450" t="str">
        <x:v>HYD10</x:v>
      </x:c>
      <x:c r="B1450" s="22" t="n">
        <x:f>DATE(C1450,D1450,1)</x:f>
        <x:v>42767</x:v>
      </x:c>
      <x:c r="C1450" t="n">
        <x:v>2017</x:v>
      </x:c>
      <x:c r="D1450" t="n">
        <x:v>2</x:v>
      </x:c>
      <x:c r="E1450" t="str">
        <x:f>TEXT(B1450,"mmm")</x:f>
        <x:v>Feb</x:v>
      </x:c>
      <x:c r="F1450" t="str">
        <x:f>"Q"&amp;ROUNDUP(D1450/3,0)</x:f>
        <x:v>Q1</x:v>
      </x:c>
      <x:c r="G1450" s="23" t="n">
        <x:v>69</x:v>
      </x:c>
      <x:c r="H1450" s="23" t="n">
        <x:v>65</x:v>
      </x:c>
      <x:c r="I1450" s="23" t="n">
        <x:v>67</x:v>
      </x:c>
      <x:c r="J1450" s="23" t="n">
        <x:f>G1450-H1450</x:f>
        <x:v>4</x:v>
      </x:c>
      <x:c r="K1450" t="str">
        <x:v>OBSERVED</x:v>
      </x:c>
      <x:c r="L1450" s="24" t="n">
        <x:v>17.4126</x:v>
      </x:c>
      <x:c r="M1450" s="24" t="n">
        <x:v>78.4484</x:v>
      </x:c>
      <x:c r="N1450" t="str">
        <x:f>IF(I1450&gt;70,"70+ dB",IF(I1450&gt;55,"56-70 dB","41-55 dB"))</x:f>
        <x:v>56-70 dB</x:v>
      </x:c>
      <x:c r="O1450" t="str">
        <x:f>IF(I1450&gt;70,"High",IF(I1450&gt;55,"Moderate","Low"))</x:f>
        <x:v>Moderate</x:v>
      </x:c>
      <x:c r="P1450" t="str">
        <x:f>IF(I1450&gt;=70,"Yes","No")</x:f>
        <x:v>No</x:v>
      </x:c>
      <x:c r="Q1450" t="str">
        <x:f>TEXT(B1450,"yyyy-mm")</x:f>
        <x:v>2017-02</x:v>
      </x:c>
    </x:row>
    <x:row r="1451">
      <x:c r="A1451" t="str">
        <x:v>HYD10</x:v>
      </x:c>
      <x:c r="B1451" s="22" t="n">
        <x:f>DATE(C1451,D1451,1)</x:f>
        <x:v>42795</x:v>
      </x:c>
      <x:c r="C1451" t="n">
        <x:v>2017</x:v>
      </x:c>
      <x:c r="D1451" t="n">
        <x:v>3</x:v>
      </x:c>
      <x:c r="E1451" t="str">
        <x:f>TEXT(B1451,"mmm")</x:f>
        <x:v>Mar</x:v>
      </x:c>
      <x:c r="F1451" t="str">
        <x:f>"Q"&amp;ROUNDUP(D1451/3,0)</x:f>
        <x:v>Q1</x:v>
      </x:c>
      <x:c r="G1451" s="23" t="n">
        <x:v>69</x:v>
      </x:c>
      <x:c r="H1451" s="23" t="n">
        <x:v>65</x:v>
      </x:c>
      <x:c r="I1451" s="23" t="n">
        <x:v>67</x:v>
      </x:c>
      <x:c r="J1451" s="23" t="n">
        <x:f>G1451-H1451</x:f>
        <x:v>4</x:v>
      </x:c>
      <x:c r="K1451" t="str">
        <x:v>OBSERVED</x:v>
      </x:c>
      <x:c r="L1451" s="24" t="n">
        <x:v>17.4126</x:v>
      </x:c>
      <x:c r="M1451" s="24" t="n">
        <x:v>78.4484</x:v>
      </x:c>
      <x:c r="N1451" t="str">
        <x:f>IF(I1451&gt;70,"70+ dB",IF(I1451&gt;55,"56-70 dB","41-55 dB"))</x:f>
        <x:v>56-70 dB</x:v>
      </x:c>
      <x:c r="O1451" t="str">
        <x:f>IF(I1451&gt;70,"High",IF(I1451&gt;55,"Moderate","Low"))</x:f>
        <x:v>Moderate</x:v>
      </x:c>
      <x:c r="P1451" t="str">
        <x:f>IF(I1451&gt;=70,"Yes","No")</x:f>
        <x:v>No</x:v>
      </x:c>
      <x:c r="Q1451" t="str">
        <x:f>TEXT(B1451,"yyyy-mm")</x:f>
        <x:v>2017-03</x:v>
      </x:c>
    </x:row>
    <x:row r="1452">
      <x:c r="A1452" t="str">
        <x:v>HYD10</x:v>
      </x:c>
      <x:c r="B1452" s="22" t="n">
        <x:f>DATE(C1452,D1452,1)</x:f>
        <x:v>42826</x:v>
      </x:c>
      <x:c r="C1452" t="n">
        <x:v>2017</x:v>
      </x:c>
      <x:c r="D1452" t="n">
        <x:v>4</x:v>
      </x:c>
      <x:c r="E1452" t="str">
        <x:f>TEXT(B1452,"mmm")</x:f>
        <x:v>Apr</x:v>
      </x:c>
      <x:c r="F1452" t="str">
        <x:f>"Q"&amp;ROUNDUP(D1452/3,0)</x:f>
        <x:v>Q2</x:v>
      </x:c>
      <x:c r="G1452" s="23" t="n">
        <x:v>71</x:v>
      </x:c>
      <x:c r="H1452" s="23" t="n">
        <x:v>65</x:v>
      </x:c>
      <x:c r="I1452" s="23" t="n">
        <x:v>68</x:v>
      </x:c>
      <x:c r="J1452" s="23" t="n">
        <x:f>G1452-H1452</x:f>
        <x:v>6</x:v>
      </x:c>
      <x:c r="K1452" t="str">
        <x:v>OBSERVED</x:v>
      </x:c>
      <x:c r="L1452" s="24" t="n">
        <x:v>17.4126</x:v>
      </x:c>
      <x:c r="M1452" s="24" t="n">
        <x:v>78.4484</x:v>
      </x:c>
      <x:c r="N1452" t="str">
        <x:f>IF(I1452&gt;70,"70+ dB",IF(I1452&gt;55,"56-70 dB","41-55 dB"))</x:f>
        <x:v>56-70 dB</x:v>
      </x:c>
      <x:c r="O1452" t="str">
        <x:f>IF(I1452&gt;70,"High",IF(I1452&gt;55,"Moderate","Low"))</x:f>
        <x:v>Moderate</x:v>
      </x:c>
      <x:c r="P1452" t="str">
        <x:f>IF(I1452&gt;=70,"Yes","No")</x:f>
        <x:v>No</x:v>
      </x:c>
      <x:c r="Q1452" t="str">
        <x:f>TEXT(B1452,"yyyy-mm")</x:f>
        <x:v>2017-04</x:v>
      </x:c>
    </x:row>
    <x:row r="1453">
      <x:c r="A1453" t="str">
        <x:v>HYD10</x:v>
      </x:c>
      <x:c r="B1453" s="22" t="n">
        <x:f>DATE(C1453,D1453,1)</x:f>
        <x:v>42856</x:v>
      </x:c>
      <x:c r="C1453" t="n">
        <x:v>2017</x:v>
      </x:c>
      <x:c r="D1453" t="n">
        <x:v>5</x:v>
      </x:c>
      <x:c r="E1453" t="str">
        <x:f>TEXT(B1453,"mmm")</x:f>
        <x:v>May</x:v>
      </x:c>
      <x:c r="F1453" t="str">
        <x:f>"Q"&amp;ROUNDUP(D1453/3,0)</x:f>
        <x:v>Q2</x:v>
      </x:c>
      <x:c r="G1453" s="23" t="n">
        <x:v>72</x:v>
      </x:c>
      <x:c r="H1453" s="23" t="n">
        <x:v>70</x:v>
      </x:c>
      <x:c r="I1453" s="23" t="n">
        <x:v>71</x:v>
      </x:c>
      <x:c r="J1453" s="23" t="n">
        <x:f>G1453-H1453</x:f>
        <x:v>2</x:v>
      </x:c>
      <x:c r="K1453" t="str">
        <x:v>OBSERVED</x:v>
      </x:c>
      <x:c r="L1453" s="24" t="n">
        <x:v>17.4126</x:v>
      </x:c>
      <x:c r="M1453" s="24" t="n">
        <x:v>78.4484</x:v>
      </x:c>
      <x:c r="N1453" t="str">
        <x:f>IF(I1453&gt;70,"70+ dB",IF(I1453&gt;55,"56-70 dB","41-55 dB"))</x:f>
        <x:v>70+ dB</x:v>
      </x:c>
      <x:c r="O1453" t="str">
        <x:f>IF(I1453&gt;70,"High",IF(I1453&gt;55,"Moderate","Low"))</x:f>
        <x:v>High</x:v>
      </x:c>
      <x:c r="P1453" t="str">
        <x:f>IF(I1453&gt;=70,"Yes","No")</x:f>
        <x:v>Yes</x:v>
      </x:c>
      <x:c r="Q1453" t="str">
        <x:f>TEXT(B1453,"yyyy-mm")</x:f>
        <x:v>2017-05</x:v>
      </x:c>
    </x:row>
    <x:row r="1454">
      <x:c r="A1454" t="str">
        <x:v>HYD10</x:v>
      </x:c>
      <x:c r="B1454" s="22" t="n">
        <x:f>DATE(C1454,D1454,1)</x:f>
        <x:v>42887</x:v>
      </x:c>
      <x:c r="C1454" t="n">
        <x:v>2017</x:v>
      </x:c>
      <x:c r="D1454" t="n">
        <x:v>6</x:v>
      </x:c>
      <x:c r="E1454" t="str">
        <x:f>TEXT(B1454,"mmm")</x:f>
        <x:v>Jun</x:v>
      </x:c>
      <x:c r="F1454" t="str">
        <x:f>"Q"&amp;ROUNDUP(D1454/3,0)</x:f>
        <x:v>Q2</x:v>
      </x:c>
      <x:c r="G1454" s="23" t="n">
        <x:v>71</x:v>
      </x:c>
      <x:c r="H1454" s="23" t="n">
        <x:v>67</x:v>
      </x:c>
      <x:c r="I1454" s="23" t="n">
        <x:v>69</x:v>
      </x:c>
      <x:c r="J1454" s="23" t="n">
        <x:f>G1454-H1454</x:f>
        <x:v>4</x:v>
      </x:c>
      <x:c r="K1454" t="str">
        <x:v>OBSERVED</x:v>
      </x:c>
      <x:c r="L1454" s="24" t="n">
        <x:v>17.4126</x:v>
      </x:c>
      <x:c r="M1454" s="24" t="n">
        <x:v>78.4484</x:v>
      </x:c>
      <x:c r="N1454" t="str">
        <x:f>IF(I1454&gt;70,"70+ dB",IF(I1454&gt;55,"56-70 dB","41-55 dB"))</x:f>
        <x:v>56-70 dB</x:v>
      </x:c>
      <x:c r="O1454" t="str">
        <x:f>IF(I1454&gt;70,"High",IF(I1454&gt;55,"Moderate","Low"))</x:f>
        <x:v>Moderate</x:v>
      </x:c>
      <x:c r="P1454" t="str">
        <x:f>IF(I1454&gt;=70,"Yes","No")</x:f>
        <x:v>No</x:v>
      </x:c>
      <x:c r="Q1454" t="str">
        <x:f>TEXT(B1454,"yyyy-mm")</x:f>
        <x:v>2017-06</x:v>
      </x:c>
    </x:row>
    <x:row r="1455">
      <x:c r="A1455" t="str">
        <x:v>HYD10</x:v>
      </x:c>
      <x:c r="B1455" s="22" t="n">
        <x:f>DATE(C1455,D1455,1)</x:f>
        <x:v>42917</x:v>
      </x:c>
      <x:c r="C1455" t="n">
        <x:v>2017</x:v>
      </x:c>
      <x:c r="D1455" t="n">
        <x:v>7</x:v>
      </x:c>
      <x:c r="E1455" t="str">
        <x:f>TEXT(B1455,"mmm")</x:f>
        <x:v>Jul</x:v>
      </x:c>
      <x:c r="F1455" t="str">
        <x:f>"Q"&amp;ROUNDUP(D1455/3,0)</x:f>
        <x:v>Q3</x:v>
      </x:c>
      <x:c r="G1455" s="23" t="n">
        <x:v>72</x:v>
      </x:c>
      <x:c r="H1455" s="23" t="n">
        <x:v>68</x:v>
      </x:c>
      <x:c r="I1455" s="23" t="n">
        <x:v>70</x:v>
      </x:c>
      <x:c r="J1455" s="23" t="n">
        <x:f>G1455-H1455</x:f>
        <x:v>4</x:v>
      </x:c>
      <x:c r="K1455" t="str">
        <x:v>OBSERVED</x:v>
      </x:c>
      <x:c r="L1455" s="24" t="n">
        <x:v>17.4126</x:v>
      </x:c>
      <x:c r="M1455" s="24" t="n">
        <x:v>78.4484</x:v>
      </x:c>
      <x:c r="N1455" t="str">
        <x:f>IF(I1455&gt;70,"70+ dB",IF(I1455&gt;55,"56-70 dB","41-55 dB"))</x:f>
        <x:v>56-70 dB</x:v>
      </x:c>
      <x:c r="O1455" t="str">
        <x:f>IF(I1455&gt;70,"High",IF(I1455&gt;55,"Moderate","Low"))</x:f>
        <x:v>Moderate</x:v>
      </x:c>
      <x:c r="P1455" t="str">
        <x:f>IF(I1455&gt;=70,"Yes","No")</x:f>
        <x:v>Yes</x:v>
      </x:c>
      <x:c r="Q1455" t="str">
        <x:f>TEXT(B1455,"yyyy-mm")</x:f>
        <x:v>2017-07</x:v>
      </x:c>
    </x:row>
    <x:row r="1456">
      <x:c r="A1456" t="str">
        <x:v>HYD10</x:v>
      </x:c>
      <x:c r="B1456" s="22" t="n">
        <x:f>DATE(C1456,D1456,1)</x:f>
        <x:v>42948</x:v>
      </x:c>
      <x:c r="C1456" t="n">
        <x:v>2017</x:v>
      </x:c>
      <x:c r="D1456" t="n">
        <x:v>8</x:v>
      </x:c>
      <x:c r="E1456" t="str">
        <x:f>TEXT(B1456,"mmm")</x:f>
        <x:v>Aug</x:v>
      </x:c>
      <x:c r="F1456" t="str">
        <x:f>"Q"&amp;ROUNDUP(D1456/3,0)</x:f>
        <x:v>Q3</x:v>
      </x:c>
      <x:c r="G1456" s="23" t="n">
        <x:v>71</x:v>
      </x:c>
      <x:c r="H1456" s="23" t="n">
        <x:v>66</x:v>
      </x:c>
      <x:c r="I1456" s="23" t="n">
        <x:v>68.5</x:v>
      </x:c>
      <x:c r="J1456" s="23" t="n">
        <x:f>G1456-H1456</x:f>
        <x:v>5</x:v>
      </x:c>
      <x:c r="K1456" t="str">
        <x:v>OBSERVED</x:v>
      </x:c>
      <x:c r="L1456" s="24" t="n">
        <x:v>17.4126</x:v>
      </x:c>
      <x:c r="M1456" s="24" t="n">
        <x:v>78.4484</x:v>
      </x:c>
      <x:c r="N1456" t="str">
        <x:f>IF(I1456&gt;70,"70+ dB",IF(I1456&gt;55,"56-70 dB","41-55 dB"))</x:f>
        <x:v>56-70 dB</x:v>
      </x:c>
      <x:c r="O1456" t="str">
        <x:f>IF(I1456&gt;70,"High",IF(I1456&gt;55,"Moderate","Low"))</x:f>
        <x:v>Moderate</x:v>
      </x:c>
      <x:c r="P1456" t="str">
        <x:f>IF(I1456&gt;=70,"Yes","No")</x:f>
        <x:v>No</x:v>
      </x:c>
      <x:c r="Q1456" t="str">
        <x:f>TEXT(B1456,"yyyy-mm")</x:f>
        <x:v>2017-08</x:v>
      </x:c>
    </x:row>
    <x:row r="1457">
      <x:c r="A1457" t="str">
        <x:v>HYD10</x:v>
      </x:c>
      <x:c r="B1457" s="22" t="n">
        <x:f>DATE(C1457,D1457,1)</x:f>
        <x:v>42979</x:v>
      </x:c>
      <x:c r="C1457" t="n">
        <x:v>2017</x:v>
      </x:c>
      <x:c r="D1457" t="n">
        <x:v>9</x:v>
      </x:c>
      <x:c r="E1457" t="str">
        <x:f>TEXT(B1457,"mmm")</x:f>
        <x:v>Sep</x:v>
      </x:c>
      <x:c r="F1457" t="str">
        <x:f>"Q"&amp;ROUNDUP(D1457/3,0)</x:f>
        <x:v>Q3</x:v>
      </x:c>
      <x:c r="G1457" s="23" t="n">
        <x:v>70</x:v>
      </x:c>
      <x:c r="H1457" s="23" t="n">
        <x:v>65</x:v>
      </x:c>
      <x:c r="I1457" s="23" t="n">
        <x:v>67.5</x:v>
      </x:c>
      <x:c r="J1457" s="23" t="n">
        <x:f>G1457-H1457</x:f>
        <x:v>5</x:v>
      </x:c>
      <x:c r="K1457" t="str">
        <x:v>OBSERVED</x:v>
      </x:c>
      <x:c r="L1457" s="24" t="n">
        <x:v>17.4126</x:v>
      </x:c>
      <x:c r="M1457" s="24" t="n">
        <x:v>78.4484</x:v>
      </x:c>
      <x:c r="N1457" t="str">
        <x:f>IF(I1457&gt;70,"70+ dB",IF(I1457&gt;55,"56-70 dB","41-55 dB"))</x:f>
        <x:v>56-70 dB</x:v>
      </x:c>
      <x:c r="O1457" t="str">
        <x:f>IF(I1457&gt;70,"High",IF(I1457&gt;55,"Moderate","Low"))</x:f>
        <x:v>Moderate</x:v>
      </x:c>
      <x:c r="P1457" t="str">
        <x:f>IF(I1457&gt;=70,"Yes","No")</x:f>
        <x:v>No</x:v>
      </x:c>
      <x:c r="Q1457" t="str">
        <x:f>TEXT(B1457,"yyyy-mm")</x:f>
        <x:v>2017-09</x:v>
      </x:c>
    </x:row>
    <x:row r="1458">
      <x:c r="A1458" t="str">
        <x:v>HYD10</x:v>
      </x:c>
      <x:c r="B1458" s="22" t="n">
        <x:f>DATE(C1458,D1458,1)</x:f>
        <x:v>43009</x:v>
      </x:c>
      <x:c r="C1458" t="n">
        <x:v>2017</x:v>
      </x:c>
      <x:c r="D1458" t="n">
        <x:v>10</x:v>
      </x:c>
      <x:c r="E1458" t="str">
        <x:f>TEXT(B1458,"mmm")</x:f>
        <x:v>Oct</x:v>
      </x:c>
      <x:c r="F1458" t="str">
        <x:f>"Q"&amp;ROUNDUP(D1458/3,0)</x:f>
        <x:v>Q4</x:v>
      </x:c>
      <x:c r="G1458" s="23" t="n">
        <x:v>71</x:v>
      </x:c>
      <x:c r="H1458" s="23" t="n">
        <x:v>65</x:v>
      </x:c>
      <x:c r="I1458" s="23" t="n">
        <x:v>68</x:v>
      </x:c>
      <x:c r="J1458" s="23" t="n">
        <x:f>G1458-H1458</x:f>
        <x:v>6</x:v>
      </x:c>
      <x:c r="K1458" t="str">
        <x:v>OBSERVED</x:v>
      </x:c>
      <x:c r="L1458" s="24" t="n">
        <x:v>17.4126</x:v>
      </x:c>
      <x:c r="M1458" s="24" t="n">
        <x:v>78.4484</x:v>
      </x:c>
      <x:c r="N1458" t="str">
        <x:f>IF(I1458&gt;70,"70+ dB",IF(I1458&gt;55,"56-70 dB","41-55 dB"))</x:f>
        <x:v>56-70 dB</x:v>
      </x:c>
      <x:c r="O1458" t="str">
        <x:f>IF(I1458&gt;70,"High",IF(I1458&gt;55,"Moderate","Low"))</x:f>
        <x:v>Moderate</x:v>
      </x:c>
      <x:c r="P1458" t="str">
        <x:f>IF(I1458&gt;=70,"Yes","No")</x:f>
        <x:v>No</x:v>
      </x:c>
      <x:c r="Q1458" t="str">
        <x:f>TEXT(B1458,"yyyy-mm")</x:f>
        <x:v>2017-10</x:v>
      </x:c>
    </x:row>
    <x:row r="1459">
      <x:c r="A1459" t="str">
        <x:v>HYD10</x:v>
      </x:c>
      <x:c r="B1459" s="22" t="n">
        <x:f>DATE(C1459,D1459,1)</x:f>
        <x:v>43040</x:v>
      </x:c>
      <x:c r="C1459" t="n">
        <x:v>2017</x:v>
      </x:c>
      <x:c r="D1459" t="n">
        <x:v>11</x:v>
      </x:c>
      <x:c r="E1459" t="str">
        <x:f>TEXT(B1459,"mmm")</x:f>
        <x:v>Nov</x:v>
      </x:c>
      <x:c r="F1459" t="str">
        <x:f>"Q"&amp;ROUNDUP(D1459/3,0)</x:f>
        <x:v>Q4</x:v>
      </x:c>
      <x:c r="G1459" s="23" t="n">
        <x:v>71</x:v>
      </x:c>
      <x:c r="H1459" s="23" t="n">
        <x:v>65</x:v>
      </x:c>
      <x:c r="I1459" s="23" t="n">
        <x:v>68</x:v>
      </x:c>
      <x:c r="J1459" s="23" t="n">
        <x:f>G1459-H1459</x:f>
        <x:v>6</x:v>
      </x:c>
      <x:c r="K1459" t="str">
        <x:v>OBSERVED</x:v>
      </x:c>
      <x:c r="L1459" s="24" t="n">
        <x:v>17.4126</x:v>
      </x:c>
      <x:c r="M1459" s="24" t="n">
        <x:v>78.4484</x:v>
      </x:c>
      <x:c r="N1459" t="str">
        <x:f>IF(I1459&gt;70,"70+ dB",IF(I1459&gt;55,"56-70 dB","41-55 dB"))</x:f>
        <x:v>56-70 dB</x:v>
      </x:c>
      <x:c r="O1459" t="str">
        <x:f>IF(I1459&gt;70,"High",IF(I1459&gt;55,"Moderate","Low"))</x:f>
        <x:v>Moderate</x:v>
      </x:c>
      <x:c r="P1459" t="str">
        <x:f>IF(I1459&gt;=70,"Yes","No")</x:f>
        <x:v>No</x:v>
      </x:c>
      <x:c r="Q1459" t="str">
        <x:f>TEXT(B1459,"yyyy-mm")</x:f>
        <x:v>2017-11</x:v>
      </x:c>
    </x:row>
    <x:row r="1460">
      <x:c r="A1460" t="str">
        <x:v>HYD10</x:v>
      </x:c>
      <x:c r="B1460" s="22" t="n">
        <x:f>DATE(C1460,D1460,1)</x:f>
        <x:v>43070</x:v>
      </x:c>
      <x:c r="C1460" t="n">
        <x:v>2017</x:v>
      </x:c>
      <x:c r="D1460" t="n">
        <x:v>12</x:v>
      </x:c>
      <x:c r="E1460" t="str">
        <x:f>TEXT(B1460,"mmm")</x:f>
        <x:v>Dec</x:v>
      </x:c>
      <x:c r="F1460" t="str">
        <x:f>"Q"&amp;ROUNDUP(D1460/3,0)</x:f>
        <x:v>Q4</x:v>
      </x:c>
      <x:c r="G1460" s="23" t="n">
        <x:v>70</x:v>
      </x:c>
      <x:c r="H1460" s="23" t="n">
        <x:v>66</x:v>
      </x:c>
      <x:c r="I1460" s="23" t="n">
        <x:v>68</x:v>
      </x:c>
      <x:c r="J1460" s="23" t="n">
        <x:f>G1460-H1460</x:f>
        <x:v>4</x:v>
      </x:c>
      <x:c r="K1460" t="str">
        <x:v>OBSERVED</x:v>
      </x:c>
      <x:c r="L1460" s="24" t="n">
        <x:v>17.4126</x:v>
      </x:c>
      <x:c r="M1460" s="24" t="n">
        <x:v>78.4484</x:v>
      </x:c>
      <x:c r="N1460" t="str">
        <x:f>IF(I1460&gt;70,"70+ dB",IF(I1460&gt;55,"56-70 dB","41-55 dB"))</x:f>
        <x:v>56-70 dB</x:v>
      </x:c>
      <x:c r="O1460" t="str">
        <x:f>IF(I1460&gt;70,"High",IF(I1460&gt;55,"Moderate","Low"))</x:f>
        <x:v>Moderate</x:v>
      </x:c>
      <x:c r="P1460" t="str">
        <x:f>IF(I1460&gt;=70,"Yes","No")</x:f>
        <x:v>No</x:v>
      </x:c>
      <x:c r="Q1460" t="str">
        <x:f>TEXT(B1460,"yyyy-mm")</x:f>
        <x:v>2017-12</x:v>
      </x:c>
    </x:row>
    <x:row r="1461">
      <x:c r="A1461" t="str">
        <x:v>HYD10</x:v>
      </x:c>
      <x:c r="B1461" s="22" t="n">
        <x:f>DATE(C1461,D1461,1)</x:f>
        <x:v>43101</x:v>
      </x:c>
      <x:c r="C1461" t="n">
        <x:v>2018</x:v>
      </x:c>
      <x:c r="D1461" t="n">
        <x:v>1</x:v>
      </x:c>
      <x:c r="E1461" t="str">
        <x:f>TEXT(B1461,"mmm")</x:f>
        <x:v>Jan</x:v>
      </x:c>
      <x:c r="F1461" t="str">
        <x:f>"Q"&amp;ROUNDUP(D1461/3,0)</x:f>
        <x:v>Q1</x:v>
      </x:c>
      <x:c r="G1461" s="23" t="n">
        <x:v>70</x:v>
      </x:c>
      <x:c r="H1461" s="23" t="n">
        <x:v>66</x:v>
      </x:c>
      <x:c r="I1461" s="23" t="n">
        <x:v>68</x:v>
      </x:c>
      <x:c r="J1461" s="23" t="n">
        <x:f>G1461-H1461</x:f>
        <x:v>4</x:v>
      </x:c>
      <x:c r="K1461" t="str">
        <x:v>OBSERVED</x:v>
      </x:c>
      <x:c r="L1461" s="24" t="n">
        <x:v>17.4126</x:v>
      </x:c>
      <x:c r="M1461" s="24" t="n">
        <x:v>78.4484</x:v>
      </x:c>
      <x:c r="N1461" t="str">
        <x:f>IF(I1461&gt;70,"70+ dB",IF(I1461&gt;55,"56-70 dB","41-55 dB"))</x:f>
        <x:v>56-70 dB</x:v>
      </x:c>
      <x:c r="O1461" t="str">
        <x:f>IF(I1461&gt;70,"High",IF(I1461&gt;55,"Moderate","Low"))</x:f>
        <x:v>Moderate</x:v>
      </x:c>
      <x:c r="P1461" t="str">
        <x:f>IF(I1461&gt;=70,"Yes","No")</x:f>
        <x:v>No</x:v>
      </x:c>
      <x:c r="Q1461" t="str">
        <x:f>TEXT(B1461,"yyyy-mm")</x:f>
        <x:v>2018-01</x:v>
      </x:c>
    </x:row>
    <x:row r="1462">
      <x:c r="A1462" t="str">
        <x:v>HYD10</x:v>
      </x:c>
      <x:c r="B1462" s="22" t="n">
        <x:f>DATE(C1462,D1462,1)</x:f>
        <x:v>43132</x:v>
      </x:c>
      <x:c r="C1462" t="n">
        <x:v>2018</x:v>
      </x:c>
      <x:c r="D1462" t="n">
        <x:v>2</x:v>
      </x:c>
      <x:c r="E1462" t="str">
        <x:f>TEXT(B1462,"mmm")</x:f>
        <x:v>Feb</x:v>
      </x:c>
      <x:c r="F1462" t="str">
        <x:f>"Q"&amp;ROUNDUP(D1462/3,0)</x:f>
        <x:v>Q1</x:v>
      </x:c>
      <x:c r="G1462" s="23" t="n">
        <x:v>70</x:v>
      </x:c>
      <x:c r="H1462" s="23" t="n">
        <x:v>67</x:v>
      </x:c>
      <x:c r="I1462" s="23" t="n">
        <x:v>68.5</x:v>
      </x:c>
      <x:c r="J1462" s="23" t="n">
        <x:f>G1462-H1462</x:f>
        <x:v>3</x:v>
      </x:c>
      <x:c r="K1462" t="str">
        <x:v>OBSERVED</x:v>
      </x:c>
      <x:c r="L1462" s="24" t="n">
        <x:v>17.4126</x:v>
      </x:c>
      <x:c r="M1462" s="24" t="n">
        <x:v>78.4484</x:v>
      </x:c>
      <x:c r="N1462" t="str">
        <x:f>IF(I1462&gt;70,"70+ dB",IF(I1462&gt;55,"56-70 dB","41-55 dB"))</x:f>
        <x:v>56-70 dB</x:v>
      </x:c>
      <x:c r="O1462" t="str">
        <x:f>IF(I1462&gt;70,"High",IF(I1462&gt;55,"Moderate","Low"))</x:f>
        <x:v>Moderate</x:v>
      </x:c>
      <x:c r="P1462" t="str">
        <x:f>IF(I1462&gt;=70,"Yes","No")</x:f>
        <x:v>No</x:v>
      </x:c>
      <x:c r="Q1462" t="str">
        <x:f>TEXT(B1462,"yyyy-mm")</x:f>
        <x:v>2018-02</x:v>
      </x:c>
    </x:row>
    <x:row r="1463">
      <x:c r="A1463" t="str">
        <x:v>HYD10</x:v>
      </x:c>
      <x:c r="B1463" s="22" t="n">
        <x:f>DATE(C1463,D1463,1)</x:f>
        <x:v>43160</x:v>
      </x:c>
      <x:c r="C1463" t="n">
        <x:v>2018</x:v>
      </x:c>
      <x:c r="D1463" t="n">
        <x:v>3</x:v>
      </x:c>
      <x:c r="E1463" t="str">
        <x:f>TEXT(B1463,"mmm")</x:f>
        <x:v>Mar</x:v>
      </x:c>
      <x:c r="F1463" t="str">
        <x:f>"Q"&amp;ROUNDUP(D1463/3,0)</x:f>
        <x:v>Q1</x:v>
      </x:c>
      <x:c r="G1463" s="23" t="n">
        <x:v>69</x:v>
      </x:c>
      <x:c r="H1463" s="23" t="n">
        <x:v>66</x:v>
      </x:c>
      <x:c r="I1463" s="23" t="n">
        <x:v>67.5</x:v>
      </x:c>
      <x:c r="J1463" s="23" t="n">
        <x:f>G1463-H1463</x:f>
        <x:v>3</x:v>
      </x:c>
      <x:c r="K1463" t="str">
        <x:v>OBSERVED</x:v>
      </x:c>
      <x:c r="L1463" s="24" t="n">
        <x:v>17.4126</x:v>
      </x:c>
      <x:c r="M1463" s="24" t="n">
        <x:v>78.4484</x:v>
      </x:c>
      <x:c r="N1463" t="str">
        <x:f>IF(I1463&gt;70,"70+ dB",IF(I1463&gt;55,"56-70 dB","41-55 dB"))</x:f>
        <x:v>56-70 dB</x:v>
      </x:c>
      <x:c r="O1463" t="str">
        <x:f>IF(I1463&gt;70,"High",IF(I1463&gt;55,"Moderate","Low"))</x:f>
        <x:v>Moderate</x:v>
      </x:c>
      <x:c r="P1463" t="str">
        <x:f>IF(I1463&gt;=70,"Yes","No")</x:f>
        <x:v>No</x:v>
      </x:c>
      <x:c r="Q1463" t="str">
        <x:f>TEXT(B1463,"yyyy-mm")</x:f>
        <x:v>2018-03</x:v>
      </x:c>
    </x:row>
    <x:row r="1464">
      <x:c r="A1464" t="str">
        <x:v>HYD10</x:v>
      </x:c>
      <x:c r="B1464" s="22" t="n">
        <x:f>DATE(C1464,D1464,1)</x:f>
        <x:v>43191</x:v>
      </x:c>
      <x:c r="C1464" t="n">
        <x:v>2018</x:v>
      </x:c>
      <x:c r="D1464" t="n">
        <x:v>4</x:v>
      </x:c>
      <x:c r="E1464" t="str">
        <x:f>TEXT(B1464,"mmm")</x:f>
        <x:v>Apr</x:v>
      </x:c>
      <x:c r="F1464" t="str">
        <x:f>"Q"&amp;ROUNDUP(D1464/3,0)</x:f>
        <x:v>Q2</x:v>
      </x:c>
      <x:c r="G1464" s="23" t="n">
        <x:v>69</x:v>
      </x:c>
      <x:c r="H1464" s="23" t="n">
        <x:v>67</x:v>
      </x:c>
      <x:c r="I1464" s="23" t="n">
        <x:v>68</x:v>
      </x:c>
      <x:c r="J1464" s="23" t="n">
        <x:f>G1464-H1464</x:f>
        <x:v>2</x:v>
      </x:c>
      <x:c r="K1464" t="str">
        <x:v>OBSERVED</x:v>
      </x:c>
      <x:c r="L1464" s="24" t="n">
        <x:v>17.4126</x:v>
      </x:c>
      <x:c r="M1464" s="24" t="n">
        <x:v>78.4484</x:v>
      </x:c>
      <x:c r="N1464" t="str">
        <x:f>IF(I1464&gt;70,"70+ dB",IF(I1464&gt;55,"56-70 dB","41-55 dB"))</x:f>
        <x:v>56-70 dB</x:v>
      </x:c>
      <x:c r="O1464" t="str">
        <x:f>IF(I1464&gt;70,"High",IF(I1464&gt;55,"Moderate","Low"))</x:f>
        <x:v>Moderate</x:v>
      </x:c>
      <x:c r="P1464" t="str">
        <x:f>IF(I1464&gt;=70,"Yes","No")</x:f>
        <x:v>No</x:v>
      </x:c>
      <x:c r="Q1464" t="str">
        <x:f>TEXT(B1464,"yyyy-mm")</x:f>
        <x:v>2018-04</x:v>
      </x:c>
    </x:row>
    <x:row r="1465">
      <x:c r="A1465" t="str">
        <x:v>HYD10</x:v>
      </x:c>
      <x:c r="B1465" s="22" t="n">
        <x:f>DATE(C1465,D1465,1)</x:f>
        <x:v>43221</x:v>
      </x:c>
      <x:c r="C1465" t="n">
        <x:v>2018</x:v>
      </x:c>
      <x:c r="D1465" t="n">
        <x:v>5</x:v>
      </x:c>
      <x:c r="E1465" t="str">
        <x:f>TEXT(B1465,"mmm")</x:f>
        <x:v>May</x:v>
      </x:c>
      <x:c r="F1465" t="str">
        <x:f>"Q"&amp;ROUNDUP(D1465/3,0)</x:f>
        <x:v>Q2</x:v>
      </x:c>
      <x:c r="G1465" s="23" t="n">
        <x:v>69</x:v>
      </x:c>
      <x:c r="H1465" s="23" t="n">
        <x:v>67</x:v>
      </x:c>
      <x:c r="I1465" s="23" t="n">
        <x:v>68</x:v>
      </x:c>
      <x:c r="J1465" s="23" t="n">
        <x:f>G1465-H1465</x:f>
        <x:v>2</x:v>
      </x:c>
      <x:c r="K1465" t="str">
        <x:v>OBSERVED</x:v>
      </x:c>
      <x:c r="L1465" s="24" t="n">
        <x:v>17.4126</x:v>
      </x:c>
      <x:c r="M1465" s="24" t="n">
        <x:v>78.4484</x:v>
      </x:c>
      <x:c r="N1465" t="str">
        <x:f>IF(I1465&gt;70,"70+ dB",IF(I1465&gt;55,"56-70 dB","41-55 dB"))</x:f>
        <x:v>56-70 dB</x:v>
      </x:c>
      <x:c r="O1465" t="str">
        <x:f>IF(I1465&gt;70,"High",IF(I1465&gt;55,"Moderate","Low"))</x:f>
        <x:v>Moderate</x:v>
      </x:c>
      <x:c r="P1465" t="str">
        <x:f>IF(I1465&gt;=70,"Yes","No")</x:f>
        <x:v>No</x:v>
      </x:c>
      <x:c r="Q1465" t="str">
        <x:f>TEXT(B1465,"yyyy-mm")</x:f>
        <x:v>2018-05</x:v>
      </x:c>
    </x:row>
    <x:row r="1466">
      <x:c r="A1466" t="str">
        <x:v>HYD10</x:v>
      </x:c>
      <x:c r="B1466" s="22" t="n">
        <x:f>DATE(C1466,D1466,1)</x:f>
        <x:v>43252</x:v>
      </x:c>
      <x:c r="C1466" t="n">
        <x:v>2018</x:v>
      </x:c>
      <x:c r="D1466" t="n">
        <x:v>6</x:v>
      </x:c>
      <x:c r="E1466" t="str">
        <x:f>TEXT(B1466,"mmm")</x:f>
        <x:v>Jun</x:v>
      </x:c>
      <x:c r="F1466" t="str">
        <x:f>"Q"&amp;ROUNDUP(D1466/3,0)</x:f>
        <x:v>Q2</x:v>
      </x:c>
      <x:c r="G1466" s="23" t="n">
        <x:v>70</x:v>
      </x:c>
      <x:c r="H1466" s="23" t="n">
        <x:v>68</x:v>
      </x:c>
      <x:c r="I1466" s="23" t="n">
        <x:v>69</x:v>
      </x:c>
      <x:c r="J1466" s="23" t="n">
        <x:f>G1466-H1466</x:f>
        <x:v>2</x:v>
      </x:c>
      <x:c r="K1466" t="str">
        <x:v>OBSERVED</x:v>
      </x:c>
      <x:c r="L1466" s="24" t="n">
        <x:v>17.4126</x:v>
      </x:c>
      <x:c r="M1466" s="24" t="n">
        <x:v>78.4484</x:v>
      </x:c>
      <x:c r="N1466" t="str">
        <x:f>IF(I1466&gt;70,"70+ dB",IF(I1466&gt;55,"56-70 dB","41-55 dB"))</x:f>
        <x:v>56-70 dB</x:v>
      </x:c>
      <x:c r="O1466" t="str">
        <x:f>IF(I1466&gt;70,"High",IF(I1466&gt;55,"Moderate","Low"))</x:f>
        <x:v>Moderate</x:v>
      </x:c>
      <x:c r="P1466" t="str">
        <x:f>IF(I1466&gt;=70,"Yes","No")</x:f>
        <x:v>No</x:v>
      </x:c>
      <x:c r="Q1466" t="str">
        <x:f>TEXT(B1466,"yyyy-mm")</x:f>
        <x:v>2018-06</x:v>
      </x:c>
    </x:row>
    <x:row r="1467">
      <x:c r="A1467" t="str">
        <x:v>HYD10</x:v>
      </x:c>
      <x:c r="B1467" s="22" t="n">
        <x:f>DATE(C1467,D1467,1)</x:f>
        <x:v>43282</x:v>
      </x:c>
      <x:c r="C1467" t="n">
        <x:v>2018</x:v>
      </x:c>
      <x:c r="D1467" t="n">
        <x:v>7</x:v>
      </x:c>
      <x:c r="E1467" t="str">
        <x:f>TEXT(B1467,"mmm")</x:f>
        <x:v>Jul</x:v>
      </x:c>
      <x:c r="F1467" t="str">
        <x:f>"Q"&amp;ROUNDUP(D1467/3,0)</x:f>
        <x:v>Q3</x:v>
      </x:c>
      <x:c r="G1467" s="23" t="n">
        <x:v>72</x:v>
      </x:c>
      <x:c r="H1467" s="23" t="n">
        <x:v>69</x:v>
      </x:c>
      <x:c r="I1467" s="23" t="n">
        <x:v>70.5</x:v>
      </x:c>
      <x:c r="J1467" s="23" t="n">
        <x:f>G1467-H1467</x:f>
        <x:v>3</x:v>
      </x:c>
      <x:c r="K1467" t="str">
        <x:v>OBSERVED</x:v>
      </x:c>
      <x:c r="L1467" s="24" t="n">
        <x:v>17.4126</x:v>
      </x:c>
      <x:c r="M1467" s="24" t="n">
        <x:v>78.4484</x:v>
      </x:c>
      <x:c r="N1467" t="str">
        <x:f>IF(I1467&gt;70,"70+ dB",IF(I1467&gt;55,"56-70 dB","41-55 dB"))</x:f>
        <x:v>70+ dB</x:v>
      </x:c>
      <x:c r="O1467" t="str">
        <x:f>IF(I1467&gt;70,"High",IF(I1467&gt;55,"Moderate","Low"))</x:f>
        <x:v>High</x:v>
      </x:c>
      <x:c r="P1467" t="str">
        <x:f>IF(I1467&gt;=70,"Yes","No")</x:f>
        <x:v>Yes</x:v>
      </x:c>
      <x:c r="Q1467" t="str">
        <x:f>TEXT(B1467,"yyyy-mm")</x:f>
        <x:v>2018-07</x:v>
      </x:c>
    </x:row>
    <x:row r="1468">
      <x:c r="A1468" t="str">
        <x:v>HYD10</x:v>
      </x:c>
      <x:c r="B1468" s="22" t="n">
        <x:f>DATE(C1468,D1468,1)</x:f>
        <x:v>43313</x:v>
      </x:c>
      <x:c r="C1468" t="n">
        <x:v>2018</x:v>
      </x:c>
      <x:c r="D1468" t="n">
        <x:v>8</x:v>
      </x:c>
      <x:c r="E1468" t="str">
        <x:f>TEXT(B1468,"mmm")</x:f>
        <x:v>Aug</x:v>
      </x:c>
      <x:c r="F1468" t="str">
        <x:f>"Q"&amp;ROUNDUP(D1468/3,0)</x:f>
        <x:v>Q3</x:v>
      </x:c>
      <x:c r="G1468" s="23" t="n">
        <x:v>73</x:v>
      </x:c>
      <x:c r="H1468" s="23" t="n">
        <x:v>69</x:v>
      </x:c>
      <x:c r="I1468" s="23" t="n">
        <x:v>71</x:v>
      </x:c>
      <x:c r="J1468" s="23" t="n">
        <x:f>G1468-H1468</x:f>
        <x:v>4</x:v>
      </x:c>
      <x:c r="K1468" t="str">
        <x:v>OBSERVED</x:v>
      </x:c>
      <x:c r="L1468" s="24" t="n">
        <x:v>17.4126</x:v>
      </x:c>
      <x:c r="M1468" s="24" t="n">
        <x:v>78.4484</x:v>
      </x:c>
      <x:c r="N1468" t="str">
        <x:f>IF(I1468&gt;70,"70+ dB",IF(I1468&gt;55,"56-70 dB","41-55 dB"))</x:f>
        <x:v>70+ dB</x:v>
      </x:c>
      <x:c r="O1468" t="str">
        <x:f>IF(I1468&gt;70,"High",IF(I1468&gt;55,"Moderate","Low"))</x:f>
        <x:v>High</x:v>
      </x:c>
      <x:c r="P1468" t="str">
        <x:f>IF(I1468&gt;=70,"Yes","No")</x:f>
        <x:v>Yes</x:v>
      </x:c>
      <x:c r="Q1468" t="str">
        <x:f>TEXT(B1468,"yyyy-mm")</x:f>
        <x:v>2018-08</x:v>
      </x:c>
    </x:row>
    <x:row r="1469">
      <x:c r="A1469" t="str">
        <x:v>HYD10</x:v>
      </x:c>
      <x:c r="B1469" s="22" t="n">
        <x:f>DATE(C1469,D1469,1)</x:f>
        <x:v>43344</x:v>
      </x:c>
      <x:c r="C1469" t="n">
        <x:v>2018</x:v>
      </x:c>
      <x:c r="D1469" t="n">
        <x:v>9</x:v>
      </x:c>
      <x:c r="E1469" t="str">
        <x:f>TEXT(B1469,"mmm")</x:f>
        <x:v>Sep</x:v>
      </x:c>
      <x:c r="F1469" t="str">
        <x:f>"Q"&amp;ROUNDUP(D1469/3,0)</x:f>
        <x:v>Q3</x:v>
      </x:c>
      <x:c r="G1469" s="23" t="n">
        <x:v>71</x:v>
      </x:c>
      <x:c r="H1469" s="23" t="n">
        <x:v>67</x:v>
      </x:c>
      <x:c r="I1469" s="23" t="n">
        <x:v>69</x:v>
      </x:c>
      <x:c r="J1469" s="23" t="n">
        <x:f>G1469-H1469</x:f>
        <x:v>4</x:v>
      </x:c>
      <x:c r="K1469" t="str">
        <x:v>OBSERVED</x:v>
      </x:c>
      <x:c r="L1469" s="24" t="n">
        <x:v>17.4126</x:v>
      </x:c>
      <x:c r="M1469" s="24" t="n">
        <x:v>78.4484</x:v>
      </x:c>
      <x:c r="N1469" t="str">
        <x:f>IF(I1469&gt;70,"70+ dB",IF(I1469&gt;55,"56-70 dB","41-55 dB"))</x:f>
        <x:v>56-70 dB</x:v>
      </x:c>
      <x:c r="O1469" t="str">
        <x:f>IF(I1469&gt;70,"High",IF(I1469&gt;55,"Moderate","Low"))</x:f>
        <x:v>Moderate</x:v>
      </x:c>
      <x:c r="P1469" t="str">
        <x:f>IF(I1469&gt;=70,"Yes","No")</x:f>
        <x:v>No</x:v>
      </x:c>
      <x:c r="Q1469" t="str">
        <x:f>TEXT(B1469,"yyyy-mm")</x:f>
        <x:v>2018-09</x:v>
      </x:c>
    </x:row>
    <x:row r="1470">
      <x:c r="A1470" t="str">
        <x:v>HYD10</x:v>
      </x:c>
      <x:c r="B1470" s="22" t="n">
        <x:f>DATE(C1470,D1470,1)</x:f>
        <x:v>43374</x:v>
      </x:c>
      <x:c r="C1470" t="n">
        <x:v>2018</x:v>
      </x:c>
      <x:c r="D1470" t="n">
        <x:v>10</x:v>
      </x:c>
      <x:c r="E1470" t="str">
        <x:f>TEXT(B1470,"mmm")</x:f>
        <x:v>Oct</x:v>
      </x:c>
      <x:c r="F1470" t="str">
        <x:f>"Q"&amp;ROUNDUP(D1470/3,0)</x:f>
        <x:v>Q4</x:v>
      </x:c>
      <x:c r="G1470" s="23" t="n">
        <x:v>70</x:v>
      </x:c>
      <x:c r="H1470" s="23" t="n">
        <x:v>67</x:v>
      </x:c>
      <x:c r="I1470" s="23" t="n">
        <x:v>68.5</x:v>
      </x:c>
      <x:c r="J1470" s="23" t="n">
        <x:f>G1470-H1470</x:f>
        <x:v>3</x:v>
      </x:c>
      <x:c r="K1470" t="str">
        <x:v>OBSERVED</x:v>
      </x:c>
      <x:c r="L1470" s="24" t="n">
        <x:v>17.4126</x:v>
      </x:c>
      <x:c r="M1470" s="24" t="n">
        <x:v>78.4484</x:v>
      </x:c>
      <x:c r="N1470" t="str">
        <x:f>IF(I1470&gt;70,"70+ dB",IF(I1470&gt;55,"56-70 dB","41-55 dB"))</x:f>
        <x:v>56-70 dB</x:v>
      </x:c>
      <x:c r="O1470" t="str">
        <x:f>IF(I1470&gt;70,"High",IF(I1470&gt;55,"Moderate","Low"))</x:f>
        <x:v>Moderate</x:v>
      </x:c>
      <x:c r="P1470" t="str">
        <x:f>IF(I1470&gt;=70,"Yes","No")</x:f>
        <x:v>No</x:v>
      </x:c>
      <x:c r="Q1470" t="str">
        <x:f>TEXT(B1470,"yyyy-mm")</x:f>
        <x:v>2018-10</x:v>
      </x:c>
    </x:row>
    <x:row r="1471">
      <x:c r="A1471" t="str">
        <x:v>HYD10</x:v>
      </x:c>
      <x:c r="B1471" s="22" t="n">
        <x:f>DATE(C1471,D1471,1)</x:f>
        <x:v>43405</x:v>
      </x:c>
      <x:c r="C1471" t="n">
        <x:v>2018</x:v>
      </x:c>
      <x:c r="D1471" t="n">
        <x:v>11</x:v>
      </x:c>
      <x:c r="E1471" t="str">
        <x:f>TEXT(B1471,"mmm")</x:f>
        <x:v>Nov</x:v>
      </x:c>
      <x:c r="F1471" t="str">
        <x:f>"Q"&amp;ROUNDUP(D1471/3,0)</x:f>
        <x:v>Q4</x:v>
      </x:c>
      <x:c r="G1471" s="23" t="n">
        <x:v>70</x:v>
      </x:c>
      <x:c r="H1471" s="23" t="n">
        <x:v>67</x:v>
      </x:c>
      <x:c r="I1471" s="23" t="n">
        <x:v>68.5</x:v>
      </x:c>
      <x:c r="J1471" s="23" t="n">
        <x:f>G1471-H1471</x:f>
        <x:v>3</x:v>
      </x:c>
      <x:c r="K1471" t="str">
        <x:v>OBSERVED</x:v>
      </x:c>
      <x:c r="L1471" s="24" t="n">
        <x:v>17.4126</x:v>
      </x:c>
      <x:c r="M1471" s="24" t="n">
        <x:v>78.4484</x:v>
      </x:c>
      <x:c r="N1471" t="str">
        <x:f>IF(I1471&gt;70,"70+ dB",IF(I1471&gt;55,"56-70 dB","41-55 dB"))</x:f>
        <x:v>56-70 dB</x:v>
      </x:c>
      <x:c r="O1471" t="str">
        <x:f>IF(I1471&gt;70,"High",IF(I1471&gt;55,"Moderate","Low"))</x:f>
        <x:v>Moderate</x:v>
      </x:c>
      <x:c r="P1471" t="str">
        <x:f>IF(I1471&gt;=70,"Yes","No")</x:f>
        <x:v>No</x:v>
      </x:c>
      <x:c r="Q1471" t="str">
        <x:f>TEXT(B1471,"yyyy-mm")</x:f>
        <x:v>2018-11</x:v>
      </x:c>
    </x:row>
    <x:row r="1472">
      <x:c r="A1472" t="str">
        <x:v>HYD10</x:v>
      </x:c>
      <x:c r="B1472" s="22" t="n">
        <x:f>DATE(C1472,D1472,1)</x:f>
        <x:v>43435</x:v>
      </x:c>
      <x:c r="C1472" t="n">
        <x:v>2018</x:v>
      </x:c>
      <x:c r="D1472" t="n">
        <x:v>12</x:v>
      </x:c>
      <x:c r="E1472" t="str">
        <x:f>TEXT(B1472,"mmm")</x:f>
        <x:v>Dec</x:v>
      </x:c>
      <x:c r="F1472" t="str">
        <x:f>"Q"&amp;ROUNDUP(D1472/3,0)</x:f>
        <x:v>Q4</x:v>
      </x:c>
      <x:c r="G1472" s="23" t="n">
        <x:v>70</x:v>
      </x:c>
      <x:c r="H1472" s="23" t="n">
        <x:v>67</x:v>
      </x:c>
      <x:c r="I1472" s="23" t="n">
        <x:v>68.5</x:v>
      </x:c>
      <x:c r="J1472" s="23" t="n">
        <x:f>G1472-H1472</x:f>
        <x:v>3</x:v>
      </x:c>
      <x:c r="K1472" t="str">
        <x:v>OBSERVED</x:v>
      </x:c>
      <x:c r="L1472" s="24" t="n">
        <x:v>17.4126</x:v>
      </x:c>
      <x:c r="M1472" s="24" t="n">
        <x:v>78.4484</x:v>
      </x:c>
      <x:c r="N1472" t="str">
        <x:f>IF(I1472&gt;70,"70+ dB",IF(I1472&gt;55,"56-70 dB","41-55 dB"))</x:f>
        <x:v>56-70 dB</x:v>
      </x:c>
      <x:c r="O1472" t="str">
        <x:f>IF(I1472&gt;70,"High",IF(I1472&gt;55,"Moderate","Low"))</x:f>
        <x:v>Moderate</x:v>
      </x:c>
      <x:c r="P1472" t="str">
        <x:f>IF(I1472&gt;=70,"Yes","No")</x:f>
        <x:v>No</x:v>
      </x:c>
      <x:c r="Q1472" t="str">
        <x:f>TEXT(B1472,"yyyy-mm")</x:f>
        <x:v>2018-12</x:v>
      </x:c>
    </x:row>
    <x:row r="1473">
      <x:c r="A1473" t="str">
        <x:v>HYD10</x:v>
      </x:c>
      <x:c r="B1473" s="22" t="n">
        <x:f>DATE(C1473,D1473,1)</x:f>
        <x:v>43466</x:v>
      </x:c>
      <x:c r="C1473" t="n">
        <x:v>2019</x:v>
      </x:c>
      <x:c r="D1473" t="n">
        <x:v>1</x:v>
      </x:c>
      <x:c r="E1473" t="str">
        <x:f>TEXT(B1473,"mmm")</x:f>
        <x:v>Jan</x:v>
      </x:c>
      <x:c r="F1473" t="str">
        <x:f>"Q"&amp;ROUNDUP(D1473/3,0)</x:f>
        <x:v>Q1</x:v>
      </x:c>
      <x:c r="G1473" s="23" t="n">
        <x:v>69.38</x:v>
      </x:c>
      <x:c r="H1473" s="23" t="n">
        <x:v>64.4</x:v>
      </x:c>
      <x:c r="I1473" s="23" t="n">
        <x:v>66.9</x:v>
      </x:c>
      <x:c r="J1473" s="23" t="n">
        <x:f>G1473-H1473</x:f>
        <x:v>4.97999999999999</x:v>
      </x:c>
      <x:c r="K1473" t="str">
        <x:v>HINDCAST</x:v>
      </x:c>
      <x:c r="L1473" s="24" t="n">
        <x:v>17.4126</x:v>
      </x:c>
      <x:c r="M1473" s="24" t="n">
        <x:v>78.4484</x:v>
      </x:c>
      <x:c r="N1473" t="str">
        <x:f>IF(I1473&gt;70,"70+ dB",IF(I1473&gt;55,"56-70 dB","41-55 dB"))</x:f>
        <x:v>56-70 dB</x:v>
      </x:c>
      <x:c r="O1473" t="str">
        <x:f>IF(I1473&gt;70,"High",IF(I1473&gt;55,"Moderate","Low"))</x:f>
        <x:v>Moderate</x:v>
      </x:c>
      <x:c r="P1473" t="str">
        <x:f>IF(I1473&gt;=70,"Yes","No")</x:f>
        <x:v>No</x:v>
      </x:c>
      <x:c r="Q1473" t="str">
        <x:f>TEXT(B1473,"yyyy-mm")</x:f>
        <x:v>2019-01</x:v>
      </x:c>
    </x:row>
    <x:row r="1474">
      <x:c r="A1474" t="str">
        <x:v>HYD10</x:v>
      </x:c>
      <x:c r="B1474" s="22" t="n">
        <x:f>DATE(C1474,D1474,1)</x:f>
        <x:v>43497</x:v>
      </x:c>
      <x:c r="C1474" t="n">
        <x:v>2019</x:v>
      </x:c>
      <x:c r="D1474" t="n">
        <x:v>2</x:v>
      </x:c>
      <x:c r="E1474" t="str">
        <x:f>TEXT(B1474,"mmm")</x:f>
        <x:v>Feb</x:v>
      </x:c>
      <x:c r="F1474" t="str">
        <x:f>"Q"&amp;ROUNDUP(D1474/3,0)</x:f>
        <x:v>Q1</x:v>
      </x:c>
      <x:c r="G1474" s="23" t="n">
        <x:v>69.14</x:v>
      </x:c>
      <x:c r="H1474" s="23" t="n">
        <x:v>65.77</x:v>
      </x:c>
      <x:c r="I1474" s="23" t="n">
        <x:v>67.5</x:v>
      </x:c>
      <x:c r="J1474" s="23" t="n">
        <x:f>G1474-H1474</x:f>
        <x:v>3.3700000000000045</x:v>
      </x:c>
      <x:c r="K1474" t="str">
        <x:v>HINDCAST</x:v>
      </x:c>
      <x:c r="L1474" s="24" t="n">
        <x:v>17.4126</x:v>
      </x:c>
      <x:c r="M1474" s="24" t="n">
        <x:v>78.4484</x:v>
      </x:c>
      <x:c r="N1474" t="str">
        <x:f>IF(I1474&gt;70,"70+ dB",IF(I1474&gt;55,"56-70 dB","41-55 dB"))</x:f>
        <x:v>56-70 dB</x:v>
      </x:c>
      <x:c r="O1474" t="str">
        <x:f>IF(I1474&gt;70,"High",IF(I1474&gt;55,"Moderate","Low"))</x:f>
        <x:v>Moderate</x:v>
      </x:c>
      <x:c r="P1474" t="str">
        <x:f>IF(I1474&gt;=70,"Yes","No")</x:f>
        <x:v>No</x:v>
      </x:c>
      <x:c r="Q1474" t="str">
        <x:f>TEXT(B1474,"yyyy-mm")</x:f>
        <x:v>2019-02</x:v>
      </x:c>
    </x:row>
    <x:row r="1475">
      <x:c r="A1475" t="str">
        <x:v>HYD10</x:v>
      </x:c>
      <x:c r="B1475" s="22" t="n">
        <x:f>DATE(C1475,D1475,1)</x:f>
        <x:v>43525</x:v>
      </x:c>
      <x:c r="C1475" t="n">
        <x:v>2019</x:v>
      </x:c>
      <x:c r="D1475" t="n">
        <x:v>3</x:v>
      </x:c>
      <x:c r="E1475" t="str">
        <x:f>TEXT(B1475,"mmm")</x:f>
        <x:v>Mar</x:v>
      </x:c>
      <x:c r="F1475" t="str">
        <x:f>"Q"&amp;ROUNDUP(D1475/3,0)</x:f>
        <x:v>Q1</x:v>
      </x:c>
      <x:c r="G1475" s="23" t="n">
        <x:v>68.46</x:v>
      </x:c>
      <x:c r="H1475" s="23" t="n">
        <x:v>65.12</x:v>
      </x:c>
      <x:c r="I1475" s="23" t="n">
        <x:v>66.8</x:v>
      </x:c>
      <x:c r="J1475" s="23" t="n">
        <x:f>G1475-H1475</x:f>
        <x:v>3.339999999999989</x:v>
      </x:c>
      <x:c r="K1475" t="str">
        <x:v>HINDCAST</x:v>
      </x:c>
      <x:c r="L1475" s="24" t="n">
        <x:v>17.4126</x:v>
      </x:c>
      <x:c r="M1475" s="24" t="n">
        <x:v>78.4484</x:v>
      </x:c>
      <x:c r="N1475" t="str">
        <x:f>IF(I1475&gt;70,"70+ dB",IF(I1475&gt;55,"56-70 dB","41-55 dB"))</x:f>
        <x:v>56-70 dB</x:v>
      </x:c>
      <x:c r="O1475" t="str">
        <x:f>IF(I1475&gt;70,"High",IF(I1475&gt;55,"Moderate","Low"))</x:f>
        <x:v>Moderate</x:v>
      </x:c>
      <x:c r="P1475" t="str">
        <x:f>IF(I1475&gt;=70,"Yes","No")</x:f>
        <x:v>No</x:v>
      </x:c>
      <x:c r="Q1475" t="str">
        <x:f>TEXT(B1475,"yyyy-mm")</x:f>
        <x:v>2019-03</x:v>
      </x:c>
    </x:row>
    <x:row r="1476">
      <x:c r="A1476" t="str">
        <x:v>HYD10</x:v>
      </x:c>
      <x:c r="B1476" s="22" t="n">
        <x:f>DATE(C1476,D1476,1)</x:f>
        <x:v>43556</x:v>
      </x:c>
      <x:c r="C1476" t="n">
        <x:v>2019</x:v>
      </x:c>
      <x:c r="D1476" t="n">
        <x:v>4</x:v>
      </x:c>
      <x:c r="E1476" t="str">
        <x:f>TEXT(B1476,"mmm")</x:f>
        <x:v>Apr</x:v>
      </x:c>
      <x:c r="F1476" t="str">
        <x:f>"Q"&amp;ROUNDUP(D1476/3,0)</x:f>
        <x:v>Q2</x:v>
      </x:c>
      <x:c r="G1476" s="23" t="n">
        <x:v>69.18</x:v>
      </x:c>
      <x:c r="H1476" s="23" t="n">
        <x:v>65.77</x:v>
      </x:c>
      <x:c r="I1476" s="23" t="n">
        <x:v>67.5</x:v>
      </x:c>
      <x:c r="J1476" s="23" t="n">
        <x:f>G1476-H1476</x:f>
        <x:v>3.410000000000011</x:v>
      </x:c>
      <x:c r="K1476" t="str">
        <x:v>HINDCAST</x:v>
      </x:c>
      <x:c r="L1476" s="24" t="n">
        <x:v>17.4126</x:v>
      </x:c>
      <x:c r="M1476" s="24" t="n">
        <x:v>78.4484</x:v>
      </x:c>
      <x:c r="N1476" t="str">
        <x:f>IF(I1476&gt;70,"70+ dB",IF(I1476&gt;55,"56-70 dB","41-55 dB"))</x:f>
        <x:v>56-70 dB</x:v>
      </x:c>
      <x:c r="O1476" t="str">
        <x:f>IF(I1476&gt;70,"High",IF(I1476&gt;55,"Moderate","Low"))</x:f>
        <x:v>Moderate</x:v>
      </x:c>
      <x:c r="P1476" t="str">
        <x:f>IF(I1476&gt;=70,"Yes","No")</x:f>
        <x:v>No</x:v>
      </x:c>
      <x:c r="Q1476" t="str">
        <x:f>TEXT(B1476,"yyyy-mm")</x:f>
        <x:v>2019-04</x:v>
      </x:c>
    </x:row>
    <x:row r="1477">
      <x:c r="A1477" t="str">
        <x:v>HYD10</x:v>
      </x:c>
      <x:c r="B1477" s="22" t="n">
        <x:f>DATE(C1477,D1477,1)</x:f>
        <x:v>43586</x:v>
      </x:c>
      <x:c r="C1477" t="n">
        <x:v>2019</x:v>
      </x:c>
      <x:c r="D1477" t="n">
        <x:v>5</x:v>
      </x:c>
      <x:c r="E1477" t="str">
        <x:f>TEXT(B1477,"mmm")</x:f>
        <x:v>May</x:v>
      </x:c>
      <x:c r="F1477" t="str">
        <x:f>"Q"&amp;ROUNDUP(D1477/3,0)</x:f>
        <x:v>Q2</x:v>
      </x:c>
      <x:c r="G1477" s="23" t="n">
        <x:v>69.2</x:v>
      </x:c>
      <x:c r="H1477" s="23" t="n">
        <x:v>67.82</x:v>
      </x:c>
      <x:c r="I1477" s="23" t="n">
        <x:v>68.5</x:v>
      </x:c>
      <x:c r="J1477" s="23" t="n">
        <x:f>G1477-H1477</x:f>
        <x:v>1.3800000000000097</x:v>
      </x:c>
      <x:c r="K1477" t="str">
        <x:v>HINDCAST</x:v>
      </x:c>
      <x:c r="L1477" s="24" t="n">
        <x:v>17.4126</x:v>
      </x:c>
      <x:c r="M1477" s="24" t="n">
        <x:v>78.4484</x:v>
      </x:c>
      <x:c r="N1477" t="str">
        <x:f>IF(I1477&gt;70,"70+ dB",IF(I1477&gt;55,"56-70 dB","41-55 dB"))</x:f>
        <x:v>56-70 dB</x:v>
      </x:c>
      <x:c r="O1477" t="str">
        <x:f>IF(I1477&gt;70,"High",IF(I1477&gt;55,"Moderate","Low"))</x:f>
        <x:v>Moderate</x:v>
      </x:c>
      <x:c r="P1477" t="str">
        <x:f>IF(I1477&gt;=70,"Yes","No")</x:f>
        <x:v>No</x:v>
      </x:c>
      <x:c r="Q1477" t="str">
        <x:f>TEXT(B1477,"yyyy-mm")</x:f>
        <x:v>2019-05</x:v>
      </x:c>
    </x:row>
    <x:row r="1478">
      <x:c r="A1478" t="str">
        <x:v>HYD10</x:v>
      </x:c>
      <x:c r="B1478" s="22" t="n">
        <x:f>DATE(C1478,D1478,1)</x:f>
        <x:v>43617</x:v>
      </x:c>
      <x:c r="C1478" t="n">
        <x:v>2019</x:v>
      </x:c>
      <x:c r="D1478" t="n">
        <x:v>6</x:v>
      </x:c>
      <x:c r="E1478" t="str">
        <x:f>TEXT(B1478,"mmm")</x:f>
        <x:v>Jun</x:v>
      </x:c>
      <x:c r="F1478" t="str">
        <x:f>"Q"&amp;ROUNDUP(D1478/3,0)</x:f>
        <x:v>Q2</x:v>
      </x:c>
      <x:c r="G1478" s="23" t="n">
        <x:v>69.63</x:v>
      </x:c>
      <x:c r="H1478" s="23" t="n">
        <x:v>67.12</x:v>
      </x:c>
      <x:c r="I1478" s="23" t="n">
        <x:v>68.4</x:v>
      </x:c>
      <x:c r="J1478" s="23" t="n">
        <x:f>G1478-H1478</x:f>
        <x:v>2.509999999999991</x:v>
      </x:c>
      <x:c r="K1478" t="str">
        <x:v>HINDCAST</x:v>
      </x:c>
      <x:c r="L1478" s="24" t="n">
        <x:v>17.4126</x:v>
      </x:c>
      <x:c r="M1478" s="24" t="n">
        <x:v>78.4484</x:v>
      </x:c>
      <x:c r="N1478" t="str">
        <x:f>IF(I1478&gt;70,"70+ dB",IF(I1478&gt;55,"56-70 dB","41-55 dB"))</x:f>
        <x:v>56-70 dB</x:v>
      </x:c>
      <x:c r="O1478" t="str">
        <x:f>IF(I1478&gt;70,"High",IF(I1478&gt;55,"Moderate","Low"))</x:f>
        <x:v>Moderate</x:v>
      </x:c>
      <x:c r="P1478" t="str">
        <x:f>IF(I1478&gt;=70,"Yes","No")</x:f>
        <x:v>No</x:v>
      </x:c>
      <x:c r="Q1478" t="str">
        <x:f>TEXT(B1478,"yyyy-mm")</x:f>
        <x:v>2019-06</x:v>
      </x:c>
    </x:row>
    <x:row r="1479">
      <x:c r="A1479" t="str">
        <x:v>HYD10</x:v>
      </x:c>
      <x:c r="B1479" s="22" t="n">
        <x:f>DATE(C1479,D1479,1)</x:f>
        <x:v>43647</x:v>
      </x:c>
      <x:c r="C1479" t="n">
        <x:v>2019</x:v>
      </x:c>
      <x:c r="D1479" t="n">
        <x:v>7</x:v>
      </x:c>
      <x:c r="E1479" t="str">
        <x:f>TEXT(B1479,"mmm")</x:f>
        <x:v>Jul</x:v>
      </x:c>
      <x:c r="F1479" t="str">
        <x:f>"Q"&amp;ROUNDUP(D1479/3,0)</x:f>
        <x:v>Q3</x:v>
      </x:c>
      <x:c r="G1479" s="23" t="n">
        <x:v>71.61</x:v>
      </x:c>
      <x:c r="H1479" s="23" t="n">
        <x:v>68.24</x:v>
      </x:c>
      <x:c r="I1479" s="23" t="n">
        <x:v>69.9</x:v>
      </x:c>
      <x:c r="J1479" s="23" t="n">
        <x:f>G1479-H1479</x:f>
        <x:v>3.3700000000000045</x:v>
      </x:c>
      <x:c r="K1479" t="str">
        <x:v>HINDCAST</x:v>
      </x:c>
      <x:c r="L1479" s="24" t="n">
        <x:v>17.4126</x:v>
      </x:c>
      <x:c r="M1479" s="24" t="n">
        <x:v>78.4484</x:v>
      </x:c>
      <x:c r="N1479" t="str">
        <x:f>IF(I1479&gt;70,"70+ dB",IF(I1479&gt;55,"56-70 dB","41-55 dB"))</x:f>
        <x:v>56-70 dB</x:v>
      </x:c>
      <x:c r="O1479" t="str">
        <x:f>IF(I1479&gt;70,"High",IF(I1479&gt;55,"Moderate","Low"))</x:f>
        <x:v>Moderate</x:v>
      </x:c>
      <x:c r="P1479" t="str">
        <x:f>IF(I1479&gt;=70,"Yes","No")</x:f>
        <x:v>No</x:v>
      </x:c>
      <x:c r="Q1479" t="str">
        <x:f>TEXT(B1479,"yyyy-mm")</x:f>
        <x:v>2019-07</x:v>
      </x:c>
    </x:row>
    <x:row r="1480">
      <x:c r="A1480" t="str">
        <x:v>HYD10</x:v>
      </x:c>
      <x:c r="B1480" s="22" t="n">
        <x:f>DATE(C1480,D1480,1)</x:f>
        <x:v>43678</x:v>
      </x:c>
      <x:c r="C1480" t="n">
        <x:v>2019</x:v>
      </x:c>
      <x:c r="D1480" t="n">
        <x:v>8</x:v>
      </x:c>
      <x:c r="E1480" t="str">
        <x:f>TEXT(B1480,"mmm")</x:f>
        <x:v>Aug</x:v>
      </x:c>
      <x:c r="F1480" t="str">
        <x:f>"Q"&amp;ROUNDUP(D1480/3,0)</x:f>
        <x:v>Q3</x:v>
      </x:c>
      <x:c r="G1480" s="23" t="n">
        <x:v>71.97</x:v>
      </x:c>
      <x:c r="H1480" s="23" t="n">
        <x:v>66.98</x:v>
      </x:c>
      <x:c r="I1480" s="23" t="n">
        <x:v>69.5</x:v>
      </x:c>
      <x:c r="J1480" s="23" t="n">
        <x:f>G1480-H1480</x:f>
        <x:v>4.989999999999995</x:v>
      </x:c>
      <x:c r="K1480" t="str">
        <x:v>HINDCAST</x:v>
      </x:c>
      <x:c r="L1480" s="24" t="n">
        <x:v>17.4126</x:v>
      </x:c>
      <x:c r="M1480" s="24" t="n">
        <x:v>78.4484</x:v>
      </x:c>
      <x:c r="N1480" t="str">
        <x:f>IF(I1480&gt;70,"70+ dB",IF(I1480&gt;55,"56-70 dB","41-55 dB"))</x:f>
        <x:v>56-70 dB</x:v>
      </x:c>
      <x:c r="O1480" t="str">
        <x:f>IF(I1480&gt;70,"High",IF(I1480&gt;55,"Moderate","Low"))</x:f>
        <x:v>Moderate</x:v>
      </x:c>
      <x:c r="P1480" t="str">
        <x:f>IF(I1480&gt;=70,"Yes","No")</x:f>
        <x:v>No</x:v>
      </x:c>
      <x:c r="Q1480" t="str">
        <x:f>TEXT(B1480,"yyyy-mm")</x:f>
        <x:v>2019-08</x:v>
      </x:c>
    </x:row>
    <x:row r="1481">
      <x:c r="A1481" t="str">
        <x:v>HYD10</x:v>
      </x:c>
      <x:c r="B1481" s="22" t="n">
        <x:f>DATE(C1481,D1481,1)</x:f>
        <x:v>43709</x:v>
      </x:c>
      <x:c r="C1481" t="n">
        <x:v>2019</x:v>
      </x:c>
      <x:c r="D1481" t="n">
        <x:v>9</x:v>
      </x:c>
      <x:c r="E1481" t="str">
        <x:f>TEXT(B1481,"mmm")</x:f>
        <x:v>Sep</x:v>
      </x:c>
      <x:c r="F1481" t="str">
        <x:f>"Q"&amp;ROUNDUP(D1481/3,0)</x:f>
        <x:v>Q3</x:v>
      </x:c>
      <x:c r="G1481" s="23" t="n">
        <x:v>69.48</x:v>
      </x:c>
      <x:c r="H1481" s="23" t="n">
        <x:v>64.82</x:v>
      </x:c>
      <x:c r="I1481" s="23" t="n">
        <x:v>67.2</x:v>
      </x:c>
      <x:c r="J1481" s="23" t="n">
        <x:f>G1481-H1481</x:f>
        <x:v>4.660000000000011</x:v>
      </x:c>
      <x:c r="K1481" t="str">
        <x:v>HINDCAST</x:v>
      </x:c>
      <x:c r="L1481" s="24" t="n">
        <x:v>17.4126</x:v>
      </x:c>
      <x:c r="M1481" s="24" t="n">
        <x:v>78.4484</x:v>
      </x:c>
      <x:c r="N1481" t="str">
        <x:f>IF(I1481&gt;70,"70+ dB",IF(I1481&gt;55,"56-70 dB","41-55 dB"))</x:f>
        <x:v>56-70 dB</x:v>
      </x:c>
      <x:c r="O1481" t="str">
        <x:f>IF(I1481&gt;70,"High",IF(I1481&gt;55,"Moderate","Low"))</x:f>
        <x:v>Moderate</x:v>
      </x:c>
      <x:c r="P1481" t="str">
        <x:f>IF(I1481&gt;=70,"Yes","No")</x:f>
        <x:v>No</x:v>
      </x:c>
      <x:c r="Q1481" t="str">
        <x:f>TEXT(B1481,"yyyy-mm")</x:f>
        <x:v>2019-09</x:v>
      </x:c>
    </x:row>
    <x:row r="1482">
      <x:c r="A1482" t="str">
        <x:v>HYD10</x:v>
      </x:c>
      <x:c r="B1482" s="22" t="n">
        <x:f>DATE(C1482,D1482,1)</x:f>
        <x:v>43739</x:v>
      </x:c>
      <x:c r="C1482" t="n">
        <x:v>2019</x:v>
      </x:c>
      <x:c r="D1482" t="n">
        <x:v>10</x:v>
      </x:c>
      <x:c r="E1482" t="str">
        <x:f>TEXT(B1482,"mmm")</x:f>
        <x:v>Oct</x:v>
      </x:c>
      <x:c r="F1482" t="str">
        <x:f>"Q"&amp;ROUNDUP(D1482/3,0)</x:f>
        <x:v>Q4</x:v>
      </x:c>
      <x:c r="G1482" s="23" t="n">
        <x:v>69.05</x:v>
      </x:c>
      <x:c r="H1482" s="23" t="n">
        <x:v>64</x:v>
      </x:c>
      <x:c r="I1482" s="23" t="n">
        <x:v>66.5</x:v>
      </x:c>
      <x:c r="J1482" s="23" t="n">
        <x:f>G1482-H1482</x:f>
        <x:v>5.049999999999997</x:v>
      </x:c>
      <x:c r="K1482" t="str">
        <x:v>HINDCAST</x:v>
      </x:c>
      <x:c r="L1482" s="24" t="n">
        <x:v>17.4126</x:v>
      </x:c>
      <x:c r="M1482" s="24" t="n">
        <x:v>78.4484</x:v>
      </x:c>
      <x:c r="N1482" t="str">
        <x:f>IF(I1482&gt;70,"70+ dB",IF(I1482&gt;55,"56-70 dB","41-55 dB"))</x:f>
        <x:v>56-70 dB</x:v>
      </x:c>
      <x:c r="O1482" t="str">
        <x:f>IF(I1482&gt;70,"High",IF(I1482&gt;55,"Moderate","Low"))</x:f>
        <x:v>Moderate</x:v>
      </x:c>
      <x:c r="P1482" t="str">
        <x:f>IF(I1482&gt;=70,"Yes","No")</x:f>
        <x:v>No</x:v>
      </x:c>
      <x:c r="Q1482" t="str">
        <x:f>TEXT(B1482,"yyyy-mm")</x:f>
        <x:v>2019-10</x:v>
      </x:c>
    </x:row>
    <x:row r="1483">
      <x:c r="A1483" t="str">
        <x:v>HYD10</x:v>
      </x:c>
      <x:c r="B1483" s="22" t="n">
        <x:f>DATE(C1483,D1483,1)</x:f>
        <x:v>43770</x:v>
      </x:c>
      <x:c r="C1483" t="n">
        <x:v>2019</x:v>
      </x:c>
      <x:c r="D1483" t="n">
        <x:v>11</x:v>
      </x:c>
      <x:c r="E1483" t="str">
        <x:f>TEXT(B1483,"mmm")</x:f>
        <x:v>Nov</x:v>
      </x:c>
      <x:c r="F1483" t="str">
        <x:f>"Q"&amp;ROUNDUP(D1483/3,0)</x:f>
        <x:v>Q4</x:v>
      </x:c>
      <x:c r="G1483" s="23" t="n">
        <x:v>70.06</x:v>
      </x:c>
      <x:c r="H1483" s="23" t="n">
        <x:v>65.96</x:v>
      </x:c>
      <x:c r="I1483" s="23" t="n">
        <x:v>68</x:v>
      </x:c>
      <x:c r="J1483" s="23" t="n">
        <x:f>G1483-H1483</x:f>
        <x:v>4.1000000000000085</x:v>
      </x:c>
      <x:c r="K1483" t="str">
        <x:v>HINDCAST</x:v>
      </x:c>
      <x:c r="L1483" s="24" t="n">
        <x:v>17.4126</x:v>
      </x:c>
      <x:c r="M1483" s="24" t="n">
        <x:v>78.4484</x:v>
      </x:c>
      <x:c r="N1483" t="str">
        <x:f>IF(I1483&gt;70,"70+ dB",IF(I1483&gt;55,"56-70 dB","41-55 dB"))</x:f>
        <x:v>56-70 dB</x:v>
      </x:c>
      <x:c r="O1483" t="str">
        <x:f>IF(I1483&gt;70,"High",IF(I1483&gt;55,"Moderate","Low"))</x:f>
        <x:v>Moderate</x:v>
      </x:c>
      <x:c r="P1483" t="str">
        <x:f>IF(I1483&gt;=70,"Yes","No")</x:f>
        <x:v>No</x:v>
      </x:c>
      <x:c r="Q1483" t="str">
        <x:f>TEXT(B1483,"yyyy-mm")</x:f>
        <x:v>2019-11</x:v>
      </x:c>
    </x:row>
    <x:row r="1484">
      <x:c r="A1484" t="str">
        <x:v>HYD10</x:v>
      </x:c>
      <x:c r="B1484" s="22" t="n">
        <x:f>DATE(C1484,D1484,1)</x:f>
        <x:v>43800</x:v>
      </x:c>
      <x:c r="C1484" t="n">
        <x:v>2019</x:v>
      </x:c>
      <x:c r="D1484" t="n">
        <x:v>12</x:v>
      </x:c>
      <x:c r="E1484" t="str">
        <x:f>TEXT(B1484,"mmm")</x:f>
        <x:v>Dec</x:v>
      </x:c>
      <x:c r="F1484" t="str">
        <x:f>"Q"&amp;ROUNDUP(D1484/3,0)</x:f>
        <x:v>Q4</x:v>
      </x:c>
      <x:c r="G1484" s="23" t="n">
        <x:v>69.61</x:v>
      </x:c>
      <x:c r="H1484" s="23" t="n">
        <x:v>65.86</x:v>
      </x:c>
      <x:c r="I1484" s="23" t="n">
        <x:v>67.7</x:v>
      </x:c>
      <x:c r="J1484" s="23" t="n">
        <x:f>G1484-H1484</x:f>
        <x:v>3.75</x:v>
      </x:c>
      <x:c r="K1484" t="str">
        <x:v>HINDCAST</x:v>
      </x:c>
      <x:c r="L1484" s="24" t="n">
        <x:v>17.4126</x:v>
      </x:c>
      <x:c r="M1484" s="24" t="n">
        <x:v>78.4484</x:v>
      </x:c>
      <x:c r="N1484" t="str">
        <x:f>IF(I1484&gt;70,"70+ dB",IF(I1484&gt;55,"56-70 dB","41-55 dB"))</x:f>
        <x:v>56-70 dB</x:v>
      </x:c>
      <x:c r="O1484" t="str">
        <x:f>IF(I1484&gt;70,"High",IF(I1484&gt;55,"Moderate","Low"))</x:f>
        <x:v>Moderate</x:v>
      </x:c>
      <x:c r="P1484" t="str">
        <x:f>IF(I1484&gt;=70,"Yes","No")</x:f>
        <x:v>No</x:v>
      </x:c>
      <x:c r="Q1484" t="str">
        <x:f>TEXT(B1484,"yyyy-mm")</x:f>
        <x:v>2019-12</x:v>
      </x:c>
    </x:row>
    <x:row r="1485">
      <x:c r="A1485" t="str">
        <x:v>HYD10</x:v>
      </x:c>
      <x:c r="B1485" s="22" t="n">
        <x:f>DATE(C1485,D1485,1)</x:f>
        <x:v>43831</x:v>
      </x:c>
      <x:c r="C1485" t="n">
        <x:v>2020</x:v>
      </x:c>
      <x:c r="D1485" t="n">
        <x:v>1</x:v>
      </x:c>
      <x:c r="E1485" t="str">
        <x:f>TEXT(B1485,"mmm")</x:f>
        <x:v>Jan</x:v>
      </x:c>
      <x:c r="F1485" t="str">
        <x:f>"Q"&amp;ROUNDUP(D1485/3,0)</x:f>
        <x:v>Q1</x:v>
      </x:c>
      <x:c r="G1485" s="23" t="n">
        <x:v>69.27</x:v>
      </x:c>
      <x:c r="H1485" s="23" t="n">
        <x:v>64.95</x:v>
      </x:c>
      <x:c r="I1485" s="23" t="n">
        <x:v>67.1</x:v>
      </x:c>
      <x:c r="J1485" s="23" t="n">
        <x:f>G1485-H1485</x:f>
        <x:v>4.319999999999993</x:v>
      </x:c>
      <x:c r="K1485" t="str">
        <x:v>HINDCAST</x:v>
      </x:c>
      <x:c r="L1485" s="24" t="n">
        <x:v>17.4126</x:v>
      </x:c>
      <x:c r="M1485" s="24" t="n">
        <x:v>78.4484</x:v>
      </x:c>
      <x:c r="N1485" t="str">
        <x:f>IF(I1485&gt;70,"70+ dB",IF(I1485&gt;55,"56-70 dB","41-55 dB"))</x:f>
        <x:v>56-70 dB</x:v>
      </x:c>
      <x:c r="O1485" t="str">
        <x:f>IF(I1485&gt;70,"High",IF(I1485&gt;55,"Moderate","Low"))</x:f>
        <x:v>Moderate</x:v>
      </x:c>
      <x:c r="P1485" t="str">
        <x:f>IF(I1485&gt;=70,"Yes","No")</x:f>
        <x:v>No</x:v>
      </x:c>
      <x:c r="Q1485" t="str">
        <x:f>TEXT(B1485,"yyyy-mm")</x:f>
        <x:v>2020-01</x:v>
      </x:c>
    </x:row>
    <x:row r="1486">
      <x:c r="A1486" t="str">
        <x:v>HYD10</x:v>
      </x:c>
      <x:c r="B1486" s="22" t="n">
        <x:f>DATE(C1486,D1486,1)</x:f>
        <x:v>43862</x:v>
      </x:c>
      <x:c r="C1486" t="n">
        <x:v>2020</x:v>
      </x:c>
      <x:c r="D1486" t="n">
        <x:v>2</x:v>
      </x:c>
      <x:c r="E1486" t="str">
        <x:f>TEXT(B1486,"mmm")</x:f>
        <x:v>Feb</x:v>
      </x:c>
      <x:c r="F1486" t="str">
        <x:f>"Q"&amp;ROUNDUP(D1486/3,0)</x:f>
        <x:v>Q1</x:v>
      </x:c>
      <x:c r="G1486" s="23" t="n">
        <x:v>69.13</x:v>
      </x:c>
      <x:c r="H1486" s="23" t="n">
        <x:v>66.07</x:v>
      </x:c>
      <x:c r="I1486" s="23" t="n">
        <x:v>67.6</x:v>
      </x:c>
      <x:c r="J1486" s="23" t="n">
        <x:f>G1486-H1486</x:f>
        <x:v>3.0600000000000023</x:v>
      </x:c>
      <x:c r="K1486" t="str">
        <x:v>HINDCAST</x:v>
      </x:c>
      <x:c r="L1486" s="24" t="n">
        <x:v>17.4126</x:v>
      </x:c>
      <x:c r="M1486" s="24" t="n">
        <x:v>78.4484</x:v>
      </x:c>
      <x:c r="N1486" t="str">
        <x:f>IF(I1486&gt;70,"70+ dB",IF(I1486&gt;55,"56-70 dB","41-55 dB"))</x:f>
        <x:v>56-70 dB</x:v>
      </x:c>
      <x:c r="O1486" t="str">
        <x:f>IF(I1486&gt;70,"High",IF(I1486&gt;55,"Moderate","Low"))</x:f>
        <x:v>Moderate</x:v>
      </x:c>
      <x:c r="P1486" t="str">
        <x:f>IF(I1486&gt;=70,"Yes","No")</x:f>
        <x:v>No</x:v>
      </x:c>
      <x:c r="Q1486" t="str">
        <x:f>TEXT(B1486,"yyyy-mm")</x:f>
        <x:v>2020-02</x:v>
      </x:c>
    </x:row>
    <x:row r="1487">
      <x:c r="A1487" t="str">
        <x:v>HYD10</x:v>
      </x:c>
      <x:c r="B1487" s="22" t="n">
        <x:f>DATE(C1487,D1487,1)</x:f>
        <x:v>43891</x:v>
      </x:c>
      <x:c r="C1487" t="n">
        <x:v>2020</x:v>
      </x:c>
      <x:c r="D1487" t="n">
        <x:v>3</x:v>
      </x:c>
      <x:c r="E1487" t="str">
        <x:f>TEXT(B1487,"mmm")</x:f>
        <x:v>Mar</x:v>
      </x:c>
      <x:c r="F1487" t="str">
        <x:f>"Q"&amp;ROUNDUP(D1487/3,0)</x:f>
        <x:v>Q1</x:v>
      </x:c>
      <x:c r="G1487" s="23" t="n">
        <x:v>68.26</x:v>
      </x:c>
      <x:c r="H1487" s="23" t="n">
        <x:v>65.18</x:v>
      </x:c>
      <x:c r="I1487" s="23" t="n">
        <x:v>66.7</x:v>
      </x:c>
      <x:c r="J1487" s="23" t="n">
        <x:f>G1487-H1487</x:f>
        <x:v>3.0799999999999983</x:v>
      </x:c>
      <x:c r="K1487" t="str">
        <x:v>HINDCAST</x:v>
      </x:c>
      <x:c r="L1487" s="24" t="n">
        <x:v>17.4126</x:v>
      </x:c>
      <x:c r="M1487" s="24" t="n">
        <x:v>78.4484</x:v>
      </x:c>
      <x:c r="N1487" t="str">
        <x:f>IF(I1487&gt;70,"70+ dB",IF(I1487&gt;55,"56-70 dB","41-55 dB"))</x:f>
        <x:v>56-70 dB</x:v>
      </x:c>
      <x:c r="O1487" t="str">
        <x:f>IF(I1487&gt;70,"High",IF(I1487&gt;55,"Moderate","Low"))</x:f>
        <x:v>Moderate</x:v>
      </x:c>
      <x:c r="P1487" t="str">
        <x:f>IF(I1487&gt;=70,"Yes","No")</x:f>
        <x:v>No</x:v>
      </x:c>
      <x:c r="Q1487" t="str">
        <x:f>TEXT(B1487,"yyyy-mm")</x:f>
        <x:v>2020-03</x:v>
      </x:c>
    </x:row>
    <x:row r="1488">
      <x:c r="A1488" t="str">
        <x:v>HYD10</x:v>
      </x:c>
      <x:c r="B1488" s="22" t="n">
        <x:f>DATE(C1488,D1488,1)</x:f>
        <x:v>43922</x:v>
      </x:c>
      <x:c r="C1488" t="n">
        <x:v>2020</x:v>
      </x:c>
      <x:c r="D1488" t="n">
        <x:v>4</x:v>
      </x:c>
      <x:c r="E1488" t="str">
        <x:f>TEXT(B1488,"mmm")</x:f>
        <x:v>Apr</x:v>
      </x:c>
      <x:c r="F1488" t="str">
        <x:f>"Q"&amp;ROUNDUP(D1488/3,0)</x:f>
        <x:v>Q2</x:v>
      </x:c>
      <x:c r="G1488" s="23" t="n">
        <x:v>68.56</x:v>
      </x:c>
      <x:c r="H1488" s="23" t="n">
        <x:v>66.07</x:v>
      </x:c>
      <x:c r="I1488" s="23" t="n">
        <x:v>67.3</x:v>
      </x:c>
      <x:c r="J1488" s="23" t="n">
        <x:f>G1488-H1488</x:f>
        <x:v>2.490000000000009</x:v>
      </x:c>
      <x:c r="K1488" t="str">
        <x:v>HINDCAST</x:v>
      </x:c>
      <x:c r="L1488" s="24" t="n">
        <x:v>17.4126</x:v>
      </x:c>
      <x:c r="M1488" s="24" t="n">
        <x:v>78.4484</x:v>
      </x:c>
      <x:c r="N1488" t="str">
        <x:f>IF(I1488&gt;70,"70+ dB",IF(I1488&gt;55,"56-70 dB","41-55 dB"))</x:f>
        <x:v>56-70 dB</x:v>
      </x:c>
      <x:c r="O1488" t="str">
        <x:f>IF(I1488&gt;70,"High",IF(I1488&gt;55,"Moderate","Low"))</x:f>
        <x:v>Moderate</x:v>
      </x:c>
      <x:c r="P1488" t="str">
        <x:f>IF(I1488&gt;=70,"Yes","No")</x:f>
        <x:v>No</x:v>
      </x:c>
      <x:c r="Q1488" t="str">
        <x:f>TEXT(B1488,"yyyy-mm")</x:f>
        <x:v>2020-04</x:v>
      </x:c>
    </x:row>
    <x:row r="1489">
      <x:c r="A1489" t="str">
        <x:v>HYD10</x:v>
      </x:c>
      <x:c r="B1489" s="22" t="n">
        <x:f>DATE(C1489,D1489,1)</x:f>
        <x:v>43952</x:v>
      </x:c>
      <x:c r="C1489" t="n">
        <x:v>2020</x:v>
      </x:c>
      <x:c r="D1489" t="n">
        <x:v>5</x:v>
      </x:c>
      <x:c r="E1489" t="str">
        <x:f>TEXT(B1489,"mmm")</x:f>
        <x:v>May</x:v>
      </x:c>
      <x:c r="F1489" t="str">
        <x:f>"Q"&amp;ROUNDUP(D1489/3,0)</x:f>
        <x:v>Q2</x:v>
      </x:c>
      <x:c r="G1489" s="23" t="n">
        <x:v>68.56</x:v>
      </x:c>
      <x:c r="H1489" s="23" t="n">
        <x:v>66.73</x:v>
      </x:c>
      <x:c r="I1489" s="23" t="n">
        <x:v>67.6</x:v>
      </x:c>
      <x:c r="J1489" s="23" t="n">
        <x:f>G1489-H1489</x:f>
        <x:v>1.8299999999999983</x:v>
      </x:c>
      <x:c r="K1489" t="str">
        <x:v>HINDCAST</x:v>
      </x:c>
      <x:c r="L1489" s="24" t="n">
        <x:v>17.4126</x:v>
      </x:c>
      <x:c r="M1489" s="24" t="n">
        <x:v>78.4484</x:v>
      </x:c>
      <x:c r="N1489" t="str">
        <x:f>IF(I1489&gt;70,"70+ dB",IF(I1489&gt;55,"56-70 dB","41-55 dB"))</x:f>
        <x:v>56-70 dB</x:v>
      </x:c>
      <x:c r="O1489" t="str">
        <x:f>IF(I1489&gt;70,"High",IF(I1489&gt;55,"Moderate","Low"))</x:f>
        <x:v>Moderate</x:v>
      </x:c>
      <x:c r="P1489" t="str">
        <x:f>IF(I1489&gt;=70,"Yes","No")</x:f>
        <x:v>No</x:v>
      </x:c>
      <x:c r="Q1489" t="str">
        <x:f>TEXT(B1489,"yyyy-mm")</x:f>
        <x:v>2020-05</x:v>
      </x:c>
    </x:row>
    <x:row r="1490">
      <x:c r="A1490" t="str">
        <x:v>HYD10</x:v>
      </x:c>
      <x:c r="B1490" s="22" t="n">
        <x:f>DATE(C1490,D1490,1)</x:f>
        <x:v>43983</x:v>
      </x:c>
      <x:c r="C1490" t="n">
        <x:v>2020</x:v>
      </x:c>
      <x:c r="D1490" t="n">
        <x:v>6</x:v>
      </x:c>
      <x:c r="E1490" t="str">
        <x:f>TEXT(B1490,"mmm")</x:f>
        <x:v>Jun</x:v>
      </x:c>
      <x:c r="F1490" t="str">
        <x:f>"Q"&amp;ROUNDUP(D1490/3,0)</x:f>
        <x:v>Q2</x:v>
      </x:c>
      <x:c r="G1490" s="23" t="n">
        <x:v>69.32</x:v>
      </x:c>
      <x:c r="H1490" s="23" t="n">
        <x:v>67.18</x:v>
      </x:c>
      <x:c r="I1490" s="23" t="n">
        <x:v>68.2</x:v>
      </x:c>
      <x:c r="J1490" s="23" t="n">
        <x:f>G1490-H1490</x:f>
        <x:v>2.1399999999999864</x:v>
      </x:c>
      <x:c r="K1490" t="str">
        <x:v>HINDCAST</x:v>
      </x:c>
      <x:c r="L1490" s="24" t="n">
        <x:v>17.4126</x:v>
      </x:c>
      <x:c r="M1490" s="24" t="n">
        <x:v>78.4484</x:v>
      </x:c>
      <x:c r="N1490" t="str">
        <x:f>IF(I1490&gt;70,"70+ dB",IF(I1490&gt;55,"56-70 dB","41-55 dB"))</x:f>
        <x:v>56-70 dB</x:v>
      </x:c>
      <x:c r="O1490" t="str">
        <x:f>IF(I1490&gt;70,"High",IF(I1490&gt;55,"Moderate","Low"))</x:f>
        <x:v>Moderate</x:v>
      </x:c>
      <x:c r="P1490" t="str">
        <x:f>IF(I1490&gt;=70,"Yes","No")</x:f>
        <x:v>No</x:v>
      </x:c>
      <x:c r="Q1490" t="str">
        <x:f>TEXT(B1490,"yyyy-mm")</x:f>
        <x:v>2020-06</x:v>
      </x:c>
    </x:row>
    <x:row r="1491">
      <x:c r="A1491" t="str">
        <x:v>HYD10</x:v>
      </x:c>
      <x:c r="B1491" s="22" t="n">
        <x:f>DATE(C1491,D1491,1)</x:f>
        <x:v>44013</x:v>
      </x:c>
      <x:c r="C1491" t="n">
        <x:v>2020</x:v>
      </x:c>
      <x:c r="D1491" t="n">
        <x:v>7</x:v>
      </x:c>
      <x:c r="E1491" t="str">
        <x:f>TEXT(B1491,"mmm")</x:f>
        <x:v>Jul</x:v>
      </x:c>
      <x:c r="F1491" t="str">
        <x:f>"Q"&amp;ROUNDUP(D1491/3,0)</x:f>
        <x:v>Q3</x:v>
      </x:c>
      <x:c r="G1491" s="23" t="n">
        <x:v>71.31</x:v>
      </x:c>
      <x:c r="H1491" s="23" t="n">
        <x:v>68.22</x:v>
      </x:c>
      <x:c r="I1491" s="23" t="n">
        <x:v>69.8</x:v>
      </x:c>
      <x:c r="J1491" s="23" t="n">
        <x:f>G1491-H1491</x:f>
        <x:v>3.0900000000000034</x:v>
      </x:c>
      <x:c r="K1491" t="str">
        <x:v>HINDCAST</x:v>
      </x:c>
      <x:c r="L1491" s="24" t="n">
        <x:v>17.4126</x:v>
      </x:c>
      <x:c r="M1491" s="24" t="n">
        <x:v>78.4484</x:v>
      </x:c>
      <x:c r="N1491" t="str">
        <x:f>IF(I1491&gt;70,"70+ dB",IF(I1491&gt;55,"56-70 dB","41-55 dB"))</x:f>
        <x:v>56-70 dB</x:v>
      </x:c>
      <x:c r="O1491" t="str">
        <x:f>IF(I1491&gt;70,"High",IF(I1491&gt;55,"Moderate","Low"))</x:f>
        <x:v>Moderate</x:v>
      </x:c>
      <x:c r="P1491" t="str">
        <x:f>IF(I1491&gt;=70,"Yes","No")</x:f>
        <x:v>No</x:v>
      </x:c>
      <x:c r="Q1491" t="str">
        <x:f>TEXT(B1491,"yyyy-mm")</x:f>
        <x:v>2020-07</x:v>
      </x:c>
    </x:row>
    <x:row r="1492">
      <x:c r="A1492" t="str">
        <x:v>HYD10</x:v>
      </x:c>
      <x:c r="B1492" s="22" t="n">
        <x:f>DATE(C1492,D1492,1)</x:f>
        <x:v>44044</x:v>
      </x:c>
      <x:c r="C1492" t="n">
        <x:v>2020</x:v>
      </x:c>
      <x:c r="D1492" t="n">
        <x:v>8</x:v>
      </x:c>
      <x:c r="E1492" t="str">
        <x:f>TEXT(B1492,"mmm")</x:f>
        <x:v>Aug</x:v>
      </x:c>
      <x:c r="F1492" t="str">
        <x:f>"Q"&amp;ROUNDUP(D1492/3,0)</x:f>
        <x:v>Q3</x:v>
      </x:c>
      <x:c r="G1492" s="23" t="n">
        <x:v>72.04</x:v>
      </x:c>
      <x:c r="H1492" s="23" t="n">
        <x:v>67.81</x:v>
      </x:c>
      <x:c r="I1492" s="23" t="n">
        <x:v>69.9</x:v>
      </x:c>
      <x:c r="J1492" s="23" t="n">
        <x:f>G1492-H1492</x:f>
        <x:v>4.230000000000004</x:v>
      </x:c>
      <x:c r="K1492" t="str">
        <x:v>HINDCAST</x:v>
      </x:c>
      <x:c r="L1492" s="24" t="n">
        <x:v>17.4126</x:v>
      </x:c>
      <x:c r="M1492" s="24" t="n">
        <x:v>78.4484</x:v>
      </x:c>
      <x:c r="N1492" t="str">
        <x:f>IF(I1492&gt;70,"70+ dB",IF(I1492&gt;55,"56-70 dB","41-55 dB"))</x:f>
        <x:v>56-70 dB</x:v>
      </x:c>
      <x:c r="O1492" t="str">
        <x:f>IF(I1492&gt;70,"High",IF(I1492&gt;55,"Moderate","Low"))</x:f>
        <x:v>Moderate</x:v>
      </x:c>
      <x:c r="P1492" t="str">
        <x:f>IF(I1492&gt;=70,"Yes","No")</x:f>
        <x:v>No</x:v>
      </x:c>
      <x:c r="Q1492" t="str">
        <x:f>TEXT(B1492,"yyyy-mm")</x:f>
        <x:v>2020-08</x:v>
      </x:c>
    </x:row>
    <x:row r="1493">
      <x:c r="A1493" t="str">
        <x:v>HYD10</x:v>
      </x:c>
      <x:c r="B1493" s="22" t="n">
        <x:f>DATE(C1493,D1493,1)</x:f>
        <x:v>44075</x:v>
      </x:c>
      <x:c r="C1493" t="n">
        <x:v>2020</x:v>
      </x:c>
      <x:c r="D1493" t="n">
        <x:v>9</x:v>
      </x:c>
      <x:c r="E1493" t="str">
        <x:f>TEXT(B1493,"mmm")</x:f>
        <x:v>Sep</x:v>
      </x:c>
      <x:c r="F1493" t="str">
        <x:f>"Q"&amp;ROUNDUP(D1493/3,0)</x:f>
        <x:v>Q3</x:v>
      </x:c>
      <x:c r="G1493" s="23" t="n">
        <x:v>69.84</x:v>
      </x:c>
      <x:c r="H1493" s="23" t="n">
        <x:v>65.76</x:v>
      </x:c>
      <x:c r="I1493" s="23" t="n">
        <x:v>67.8</x:v>
      </x:c>
      <x:c r="J1493" s="23" t="n">
        <x:f>G1493-H1493</x:f>
        <x:v>4.079999999999998</x:v>
      </x:c>
      <x:c r="K1493" t="str">
        <x:v>HINDCAST</x:v>
      </x:c>
      <x:c r="L1493" s="24" t="n">
        <x:v>17.4126</x:v>
      </x:c>
      <x:c r="M1493" s="24" t="n">
        <x:v>78.4484</x:v>
      </x:c>
      <x:c r="N1493" t="str">
        <x:f>IF(I1493&gt;70,"70+ dB",IF(I1493&gt;55,"56-70 dB","41-55 dB"))</x:f>
        <x:v>56-70 dB</x:v>
      </x:c>
      <x:c r="O1493" t="str">
        <x:f>IF(I1493&gt;70,"High",IF(I1493&gt;55,"Moderate","Low"))</x:f>
        <x:v>Moderate</x:v>
      </x:c>
      <x:c r="P1493" t="str">
        <x:f>IF(I1493&gt;=70,"Yes","No")</x:f>
        <x:v>No</x:v>
      </x:c>
      <x:c r="Q1493" t="str">
        <x:f>TEXT(B1493,"yyyy-mm")</x:f>
        <x:v>2020-09</x:v>
      </x:c>
    </x:row>
    <x:row r="1494">
      <x:c r="A1494" t="str">
        <x:v>HYD10</x:v>
      </x:c>
      <x:c r="B1494" s="22" t="n">
        <x:f>DATE(C1494,D1494,1)</x:f>
        <x:v>44105</x:v>
      </x:c>
      <x:c r="C1494" t="n">
        <x:v>2020</x:v>
      </x:c>
      <x:c r="D1494" t="n">
        <x:v>10</x:v>
      </x:c>
      <x:c r="E1494" t="str">
        <x:f>TEXT(B1494,"mmm")</x:f>
        <x:v>Oct</x:v>
      </x:c>
      <x:c r="F1494" t="str">
        <x:f>"Q"&amp;ROUNDUP(D1494/3,0)</x:f>
        <x:v>Q4</x:v>
      </x:c>
      <x:c r="G1494" s="23" t="n">
        <x:v>69.07</x:v>
      </x:c>
      <x:c r="H1494" s="23" t="n">
        <x:v>65.5</x:v>
      </x:c>
      <x:c r="I1494" s="23" t="n">
        <x:v>67.3</x:v>
      </x:c>
      <x:c r="J1494" s="23" t="n">
        <x:f>G1494-H1494</x:f>
        <x:v>3.569999999999993</x:v>
      </x:c>
      <x:c r="K1494" t="str">
        <x:v>HINDCAST</x:v>
      </x:c>
      <x:c r="L1494" s="24" t="n">
        <x:v>17.4126</x:v>
      </x:c>
      <x:c r="M1494" s="24" t="n">
        <x:v>78.4484</x:v>
      </x:c>
      <x:c r="N1494" t="str">
        <x:f>IF(I1494&gt;70,"70+ dB",IF(I1494&gt;55,"56-70 dB","41-55 dB"))</x:f>
        <x:v>56-70 dB</x:v>
      </x:c>
      <x:c r="O1494" t="str">
        <x:f>IF(I1494&gt;70,"High",IF(I1494&gt;55,"Moderate","Low"))</x:f>
        <x:v>Moderate</x:v>
      </x:c>
      <x:c r="P1494" t="str">
        <x:f>IF(I1494&gt;=70,"Yes","No")</x:f>
        <x:v>No</x:v>
      </x:c>
      <x:c r="Q1494" t="str">
        <x:f>TEXT(B1494,"yyyy-mm")</x:f>
        <x:v>2020-10</x:v>
      </x:c>
    </x:row>
    <x:row r="1495">
      <x:c r="A1495" t="str">
        <x:v>HYD10</x:v>
      </x:c>
      <x:c r="B1495" s="22" t="n">
        <x:f>DATE(C1495,D1495,1)</x:f>
        <x:v>44136</x:v>
      </x:c>
      <x:c r="C1495" t="n">
        <x:v>2020</x:v>
      </x:c>
      <x:c r="D1495" t="n">
        <x:v>11</x:v>
      </x:c>
      <x:c r="E1495" t="str">
        <x:f>TEXT(B1495,"mmm")</x:f>
        <x:v>Nov</x:v>
      </x:c>
      <x:c r="F1495" t="str">
        <x:f>"Q"&amp;ROUNDUP(D1495/3,0)</x:f>
        <x:v>Q4</x:v>
      </x:c>
      <x:c r="G1495" s="23" t="n">
        <x:v>69.5</x:v>
      </x:c>
      <x:c r="H1495" s="23" t="n">
        <x:v>66.13</x:v>
      </x:c>
      <x:c r="I1495" s="23" t="n">
        <x:v>67.8</x:v>
      </x:c>
      <x:c r="J1495" s="23" t="n">
        <x:f>G1495-H1495</x:f>
        <x:v>3.3700000000000045</x:v>
      </x:c>
      <x:c r="K1495" t="str">
        <x:v>HINDCAST</x:v>
      </x:c>
      <x:c r="L1495" s="24" t="n">
        <x:v>17.4126</x:v>
      </x:c>
      <x:c r="M1495" s="24" t="n">
        <x:v>78.4484</x:v>
      </x:c>
      <x:c r="N1495" t="str">
        <x:f>IF(I1495&gt;70,"70+ dB",IF(I1495&gt;55,"56-70 dB","41-55 dB"))</x:f>
        <x:v>56-70 dB</x:v>
      </x:c>
      <x:c r="O1495" t="str">
        <x:f>IF(I1495&gt;70,"High",IF(I1495&gt;55,"Moderate","Low"))</x:f>
        <x:v>Moderate</x:v>
      </x:c>
      <x:c r="P1495" t="str">
        <x:f>IF(I1495&gt;=70,"Yes","No")</x:f>
        <x:v>No</x:v>
      </x:c>
      <x:c r="Q1495" t="str">
        <x:f>TEXT(B1495,"yyyy-mm")</x:f>
        <x:v>2020-11</x:v>
      </x:c>
    </x:row>
    <x:row r="1496">
      <x:c r="A1496" t="str">
        <x:v>HYD10</x:v>
      </x:c>
      <x:c r="B1496" s="22" t="n">
        <x:f>DATE(C1496,D1496,1)</x:f>
        <x:v>44166</x:v>
      </x:c>
      <x:c r="C1496" t="n">
        <x:v>2020</x:v>
      </x:c>
      <x:c r="D1496" t="n">
        <x:v>12</x:v>
      </x:c>
      <x:c r="E1496" t="str">
        <x:f>TEXT(B1496,"mmm")</x:f>
        <x:v>Dec</x:v>
      </x:c>
      <x:c r="F1496" t="str">
        <x:f>"Q"&amp;ROUNDUP(D1496/3,0)</x:f>
        <x:v>Q4</x:v>
      </x:c>
      <x:c r="G1496" s="23" t="n">
        <x:v>69.31</x:v>
      </x:c>
      <x:c r="H1496" s="23" t="n">
        <x:v>66.1</x:v>
      </x:c>
      <x:c r="I1496" s="23" t="n">
        <x:v>67.7</x:v>
      </x:c>
      <x:c r="J1496" s="23" t="n">
        <x:f>G1496-H1496</x:f>
        <x:v>3.210000000000008</x:v>
      </x:c>
      <x:c r="K1496" t="str">
        <x:v>HINDCAST</x:v>
      </x:c>
      <x:c r="L1496" s="24" t="n">
        <x:v>17.4126</x:v>
      </x:c>
      <x:c r="M1496" s="24" t="n">
        <x:v>78.4484</x:v>
      </x:c>
      <x:c r="N1496" t="str">
        <x:f>IF(I1496&gt;70,"70+ dB",IF(I1496&gt;55,"56-70 dB","41-55 dB"))</x:f>
        <x:v>56-70 dB</x:v>
      </x:c>
      <x:c r="O1496" t="str">
        <x:f>IF(I1496&gt;70,"High",IF(I1496&gt;55,"Moderate","Low"))</x:f>
        <x:v>Moderate</x:v>
      </x:c>
      <x:c r="P1496" t="str">
        <x:f>IF(I1496&gt;=70,"Yes","No")</x:f>
        <x:v>No</x:v>
      </x:c>
      <x:c r="Q1496" t="str">
        <x:f>TEXT(B1496,"yyyy-mm")</x:f>
        <x:v>2020-12</x:v>
      </x:c>
    </x:row>
    <x:row r="1497">
      <x:c r="A1497" t="str">
        <x:v>HYD10</x:v>
      </x:c>
      <x:c r="B1497" s="22" t="n">
        <x:f>DATE(C1497,D1497,1)</x:f>
        <x:v>44197</x:v>
      </x:c>
      <x:c r="C1497" t="n">
        <x:v>2021</x:v>
      </x:c>
      <x:c r="D1497" t="n">
        <x:v>1</x:v>
      </x:c>
      <x:c r="E1497" t="str">
        <x:f>TEXT(B1497,"mmm")</x:f>
        <x:v>Jan</x:v>
      </x:c>
      <x:c r="F1497" t="str">
        <x:f>"Q"&amp;ROUNDUP(D1497/3,0)</x:f>
        <x:v>Q1</x:v>
      </x:c>
      <x:c r="G1497" s="23" t="n">
        <x:v>68.81</x:v>
      </x:c>
      <x:c r="H1497" s="23" t="n">
        <x:v>64.05</x:v>
      </x:c>
      <x:c r="I1497" s="23" t="n">
        <x:v>66.4</x:v>
      </x:c>
      <x:c r="J1497" s="23" t="n">
        <x:f>G1497-H1497</x:f>
        <x:v>4.760000000000005</x:v>
      </x:c>
      <x:c r="K1497" t="str">
        <x:v>HINDCAST</x:v>
      </x:c>
      <x:c r="L1497" s="24" t="n">
        <x:v>17.4126</x:v>
      </x:c>
      <x:c r="M1497" s="24" t="n">
        <x:v>78.4484</x:v>
      </x:c>
      <x:c r="N1497" t="str">
        <x:f>IF(I1497&gt;70,"70+ dB",IF(I1497&gt;55,"56-70 dB","41-55 dB"))</x:f>
        <x:v>56-70 dB</x:v>
      </x:c>
      <x:c r="O1497" t="str">
        <x:f>IF(I1497&gt;70,"High",IF(I1497&gt;55,"Moderate","Low"))</x:f>
        <x:v>Moderate</x:v>
      </x:c>
      <x:c r="P1497" t="str">
        <x:f>IF(I1497&gt;=70,"Yes","No")</x:f>
        <x:v>No</x:v>
      </x:c>
      <x:c r="Q1497" t="str">
        <x:f>TEXT(B1497,"yyyy-mm")</x:f>
        <x:v>2021-01</x:v>
      </x:c>
    </x:row>
    <x:row r="1498">
      <x:c r="A1498" t="str">
        <x:v>HYD10</x:v>
      </x:c>
      <x:c r="B1498" s="22" t="n">
        <x:f>DATE(C1498,D1498,1)</x:f>
        <x:v>44228</x:v>
      </x:c>
      <x:c r="C1498" t="n">
        <x:v>2021</x:v>
      </x:c>
      <x:c r="D1498" t="n">
        <x:v>2</x:v>
      </x:c>
      <x:c r="E1498" t="str">
        <x:f>TEXT(B1498,"mmm")</x:f>
        <x:v>Feb</x:v>
      </x:c>
      <x:c r="F1498" t="str">
        <x:f>"Q"&amp;ROUNDUP(D1498/3,0)</x:f>
        <x:v>Q1</x:v>
      </x:c>
      <x:c r="G1498" s="23" t="n">
        <x:v>68.61</x:v>
      </x:c>
      <x:c r="H1498" s="23" t="n">
        <x:v>65.34</x:v>
      </x:c>
      <x:c r="I1498" s="23" t="n">
        <x:v>67</x:v>
      </x:c>
      <x:c r="J1498" s="23" t="n">
        <x:f>G1498-H1498</x:f>
        <x:v>3.269999999999996</x:v>
      </x:c>
      <x:c r="K1498" t="str">
        <x:v>HINDCAST</x:v>
      </x:c>
      <x:c r="L1498" s="24" t="n">
        <x:v>17.4126</x:v>
      </x:c>
      <x:c r="M1498" s="24" t="n">
        <x:v>78.4484</x:v>
      </x:c>
      <x:c r="N1498" t="str">
        <x:f>IF(I1498&gt;70,"70+ dB",IF(I1498&gt;55,"56-70 dB","41-55 dB"))</x:f>
        <x:v>56-70 dB</x:v>
      </x:c>
      <x:c r="O1498" t="str">
        <x:f>IF(I1498&gt;70,"High",IF(I1498&gt;55,"Moderate","Low"))</x:f>
        <x:v>Moderate</x:v>
      </x:c>
      <x:c r="P1498" t="str">
        <x:f>IF(I1498&gt;=70,"Yes","No")</x:f>
        <x:v>No</x:v>
      </x:c>
      <x:c r="Q1498" t="str">
        <x:f>TEXT(B1498,"yyyy-mm")</x:f>
        <x:v>2021-02</x:v>
      </x:c>
    </x:row>
    <x:row r="1499">
      <x:c r="A1499" t="str">
        <x:v>HYD10</x:v>
      </x:c>
      <x:c r="B1499" s="22" t="n">
        <x:f>DATE(C1499,D1499,1)</x:f>
        <x:v>44256</x:v>
      </x:c>
      <x:c r="C1499" t="n">
        <x:v>2021</x:v>
      </x:c>
      <x:c r="D1499" t="n">
        <x:v>3</x:v>
      </x:c>
      <x:c r="E1499" t="str">
        <x:f>TEXT(B1499,"mmm")</x:f>
        <x:v>Mar</x:v>
      </x:c>
      <x:c r="F1499" t="str">
        <x:f>"Q"&amp;ROUNDUP(D1499/3,0)</x:f>
        <x:v>Q1</x:v>
      </x:c>
      <x:c r="G1499" s="23" t="n">
        <x:v>67.85</x:v>
      </x:c>
      <x:c r="H1499" s="23" t="n">
        <x:v>64.61</x:v>
      </x:c>
      <x:c r="I1499" s="23" t="n">
        <x:v>66.2</x:v>
      </x:c>
      <x:c r="J1499" s="23" t="n">
        <x:f>G1499-H1499</x:f>
        <x:v>3.239999999999995</x:v>
      </x:c>
      <x:c r="K1499" t="str">
        <x:v>HINDCAST</x:v>
      </x:c>
      <x:c r="L1499" s="24" t="n">
        <x:v>17.4126</x:v>
      </x:c>
      <x:c r="M1499" s="24" t="n">
        <x:v>78.4484</x:v>
      </x:c>
      <x:c r="N1499" t="str">
        <x:f>IF(I1499&gt;70,"70+ dB",IF(I1499&gt;55,"56-70 dB","41-55 dB"))</x:f>
        <x:v>56-70 dB</x:v>
      </x:c>
      <x:c r="O1499" t="str">
        <x:f>IF(I1499&gt;70,"High",IF(I1499&gt;55,"Moderate","Low"))</x:f>
        <x:v>Moderate</x:v>
      </x:c>
      <x:c r="P1499" t="str">
        <x:f>IF(I1499&gt;=70,"Yes","No")</x:f>
        <x:v>No</x:v>
      </x:c>
      <x:c r="Q1499" t="str">
        <x:f>TEXT(B1499,"yyyy-mm")</x:f>
        <x:v>2021-03</x:v>
      </x:c>
    </x:row>
    <x:row r="1500">
      <x:c r="A1500" t="str">
        <x:v>HYD10</x:v>
      </x:c>
      <x:c r="B1500" s="22" t="n">
        <x:f>DATE(C1500,D1500,1)</x:f>
        <x:v>44287</x:v>
      </x:c>
      <x:c r="C1500" t="n">
        <x:v>2021</x:v>
      </x:c>
      <x:c r="D1500" t="n">
        <x:v>4</x:v>
      </x:c>
      <x:c r="E1500" t="str">
        <x:f>TEXT(B1500,"mmm")</x:f>
        <x:v>Apr</x:v>
      </x:c>
      <x:c r="F1500" t="str">
        <x:f>"Q"&amp;ROUNDUP(D1500/3,0)</x:f>
        <x:v>Q2</x:v>
      </x:c>
      <x:c r="G1500" s="23" t="n">
        <x:v>68.39</x:v>
      </x:c>
      <x:c r="H1500" s="23" t="n">
        <x:v>65.34</x:v>
      </x:c>
      <x:c r="I1500" s="23" t="n">
        <x:v>66.9</x:v>
      </x:c>
      <x:c r="J1500" s="23" t="n">
        <x:f>G1500-H1500</x:f>
        <x:v>3.049999999999997</x:v>
      </x:c>
      <x:c r="K1500" t="str">
        <x:v>HINDCAST</x:v>
      </x:c>
      <x:c r="L1500" s="24" t="n">
        <x:v>17.4126</x:v>
      </x:c>
      <x:c r="M1500" s="24" t="n">
        <x:v>78.4484</x:v>
      </x:c>
      <x:c r="N1500" t="str">
        <x:f>IF(I1500&gt;70,"70+ dB",IF(I1500&gt;55,"56-70 dB","41-55 dB"))</x:f>
        <x:v>56-70 dB</x:v>
      </x:c>
      <x:c r="O1500" t="str">
        <x:f>IF(I1500&gt;70,"High",IF(I1500&gt;55,"Moderate","Low"))</x:f>
        <x:v>Moderate</x:v>
      </x:c>
      <x:c r="P1500" t="str">
        <x:f>IF(I1500&gt;=70,"Yes","No")</x:f>
        <x:v>No</x:v>
      </x:c>
      <x:c r="Q1500" t="str">
        <x:f>TEXT(B1500,"yyyy-mm")</x:f>
        <x:v>2021-04</x:v>
      </x:c>
    </x:row>
    <x:row r="1501">
      <x:c r="A1501" t="str">
        <x:v>HYD10</x:v>
      </x:c>
      <x:c r="B1501" s="22" t="n">
        <x:f>DATE(C1501,D1501,1)</x:f>
        <x:v>44317</x:v>
      </x:c>
      <x:c r="C1501" t="n">
        <x:v>2021</x:v>
      </x:c>
      <x:c r="D1501" t="n">
        <x:v>5</x:v>
      </x:c>
      <x:c r="E1501" t="str">
        <x:f>TEXT(B1501,"mmm")</x:f>
        <x:v>May</x:v>
      </x:c>
      <x:c r="F1501" t="str">
        <x:f>"Q"&amp;ROUNDUP(D1501/3,0)</x:f>
        <x:v>Q2</x:v>
      </x:c>
      <x:c r="G1501" s="23" t="n">
        <x:v>68.41</x:v>
      </x:c>
      <x:c r="H1501" s="23" t="n">
        <x:v>66.93</x:v>
      </x:c>
      <x:c r="I1501" s="23" t="n">
        <x:v>67.7</x:v>
      </x:c>
      <x:c r="J1501" s="23" t="n">
        <x:f>G1501-H1501</x:f>
        <x:v>1.4799999999999898</x:v>
      </x:c>
      <x:c r="K1501" t="str">
        <x:v>HINDCAST</x:v>
      </x:c>
      <x:c r="L1501" s="24" t="n">
        <x:v>17.4126</x:v>
      </x:c>
      <x:c r="M1501" s="24" t="n">
        <x:v>78.4484</x:v>
      </x:c>
      <x:c r="N1501" t="str">
        <x:f>IF(I1501&gt;70,"70+ dB",IF(I1501&gt;55,"56-70 dB","41-55 dB"))</x:f>
        <x:v>56-70 dB</x:v>
      </x:c>
      <x:c r="O1501" t="str">
        <x:f>IF(I1501&gt;70,"High",IF(I1501&gt;55,"Moderate","Low"))</x:f>
        <x:v>Moderate</x:v>
      </x:c>
      <x:c r="P1501" t="str">
        <x:f>IF(I1501&gt;=70,"Yes","No")</x:f>
        <x:v>No</x:v>
      </x:c>
      <x:c r="Q1501" t="str">
        <x:f>TEXT(B1501,"yyyy-mm")</x:f>
        <x:v>2021-05</x:v>
      </x:c>
    </x:row>
    <x:row r="1502">
      <x:c r="A1502" t="str">
        <x:v>HYD10</x:v>
      </x:c>
      <x:c r="B1502" s="22" t="n">
        <x:f>DATE(C1502,D1502,1)</x:f>
        <x:v>44348</x:v>
      </x:c>
      <x:c r="C1502" t="n">
        <x:v>2021</x:v>
      </x:c>
      <x:c r="D1502" t="n">
        <x:v>6</x:v>
      </x:c>
      <x:c r="E1502" t="str">
        <x:f>TEXT(B1502,"mmm")</x:f>
        <x:v>Jun</x:v>
      </x:c>
      <x:c r="F1502" t="str">
        <x:f>"Q"&amp;ROUNDUP(D1502/3,0)</x:f>
        <x:v>Q2</x:v>
      </x:c>
      <x:c r="G1502" s="23" t="n">
        <x:v>68.98</x:v>
      </x:c>
      <x:c r="H1502" s="23" t="n">
        <x:v>66.61</x:v>
      </x:c>
      <x:c r="I1502" s="23" t="n">
        <x:v>67.8</x:v>
      </x:c>
      <x:c r="J1502" s="23" t="n">
        <x:f>G1502-H1502</x:f>
        <x:v>2.3700000000000045</x:v>
      </x:c>
      <x:c r="K1502" t="str">
        <x:v>HINDCAST</x:v>
      </x:c>
      <x:c r="L1502" s="24" t="n">
        <x:v>17.4126</x:v>
      </x:c>
      <x:c r="M1502" s="24" t="n">
        <x:v>78.4484</x:v>
      </x:c>
      <x:c r="N1502" t="str">
        <x:f>IF(I1502&gt;70,"70+ dB",IF(I1502&gt;55,"56-70 dB","41-55 dB"))</x:f>
        <x:v>56-70 dB</x:v>
      </x:c>
      <x:c r="O1502" t="str">
        <x:f>IF(I1502&gt;70,"High",IF(I1502&gt;55,"Moderate","Low"))</x:f>
        <x:v>Moderate</x:v>
      </x:c>
      <x:c r="P1502" t="str">
        <x:f>IF(I1502&gt;=70,"Yes","No")</x:f>
        <x:v>No</x:v>
      </x:c>
      <x:c r="Q1502" t="str">
        <x:f>TEXT(B1502,"yyyy-mm")</x:f>
        <x:v>2021-06</x:v>
      </x:c>
    </x:row>
    <x:row r="1503">
      <x:c r="A1503" t="str">
        <x:v>HYD10</x:v>
      </x:c>
      <x:c r="B1503" s="22" t="n">
        <x:f>DATE(C1503,D1503,1)</x:f>
        <x:v>44378</x:v>
      </x:c>
      <x:c r="C1503" t="n">
        <x:v>2021</x:v>
      </x:c>
      <x:c r="D1503" t="n">
        <x:v>7</x:v>
      </x:c>
      <x:c r="E1503" t="str">
        <x:f>TEXT(B1503,"mmm")</x:f>
        <x:v>Jul</x:v>
      </x:c>
      <x:c r="F1503" t="str">
        <x:f>"Q"&amp;ROUNDUP(D1503/3,0)</x:f>
        <x:v>Q3</x:v>
      </x:c>
      <x:c r="G1503" s="23" t="n">
        <x:v>70.96</x:v>
      </x:c>
      <x:c r="H1503" s="23" t="n">
        <x:v>67.71</x:v>
      </x:c>
      <x:c r="I1503" s="23" t="n">
        <x:v>69.3</x:v>
      </x:c>
      <x:c r="J1503" s="23" t="n">
        <x:f>G1503-H1503</x:f>
        <x:v>3.25</x:v>
      </x:c>
      <x:c r="K1503" t="str">
        <x:v>HINDCAST</x:v>
      </x:c>
      <x:c r="L1503" s="24" t="n">
        <x:v>17.4126</x:v>
      </x:c>
      <x:c r="M1503" s="24" t="n">
        <x:v>78.4484</x:v>
      </x:c>
      <x:c r="N1503" t="str">
        <x:f>IF(I1503&gt;70,"70+ dB",IF(I1503&gt;55,"56-70 dB","41-55 dB"))</x:f>
        <x:v>56-70 dB</x:v>
      </x:c>
      <x:c r="O1503" t="str">
        <x:f>IF(I1503&gt;70,"High",IF(I1503&gt;55,"Moderate","Low"))</x:f>
        <x:v>Moderate</x:v>
      </x:c>
      <x:c r="P1503" t="str">
        <x:f>IF(I1503&gt;=70,"Yes","No")</x:f>
        <x:v>No</x:v>
      </x:c>
      <x:c r="Q1503" t="str">
        <x:f>TEXT(B1503,"yyyy-mm")</x:f>
        <x:v>2021-07</x:v>
      </x:c>
    </x:row>
    <x:row r="1504">
      <x:c r="A1504" t="str">
        <x:v>HYD10</x:v>
      </x:c>
      <x:c r="B1504" s="22" t="n">
        <x:f>DATE(C1504,D1504,1)</x:f>
        <x:v>44409</x:v>
      </x:c>
      <x:c r="C1504" t="n">
        <x:v>2021</x:v>
      </x:c>
      <x:c r="D1504" t="n">
        <x:v>8</x:v>
      </x:c>
      <x:c r="E1504" t="str">
        <x:f>TEXT(B1504,"mmm")</x:f>
        <x:v>Aug</x:v>
      </x:c>
      <x:c r="F1504" t="str">
        <x:f>"Q"&amp;ROUNDUP(D1504/3,0)</x:f>
        <x:v>Q3</x:v>
      </x:c>
      <x:c r="G1504" s="23" t="n">
        <x:v>71.47</x:v>
      </x:c>
      <x:c r="H1504" s="23" t="n">
        <x:v>66.72</x:v>
      </x:c>
      <x:c r="I1504" s="23" t="n">
        <x:v>69.1</x:v>
      </x:c>
      <x:c r="J1504" s="23" t="n">
        <x:f>G1504-H1504</x:f>
        <x:v>4.75</x:v>
      </x:c>
      <x:c r="K1504" t="str">
        <x:v>HINDCAST</x:v>
      </x:c>
      <x:c r="L1504" s="24" t="n">
        <x:v>17.4126</x:v>
      </x:c>
      <x:c r="M1504" s="24" t="n">
        <x:v>78.4484</x:v>
      </x:c>
      <x:c r="N1504" t="str">
        <x:f>IF(I1504&gt;70,"70+ dB",IF(I1504&gt;55,"56-70 dB","41-55 dB"))</x:f>
        <x:v>56-70 dB</x:v>
      </x:c>
      <x:c r="O1504" t="str">
        <x:f>IF(I1504&gt;70,"High",IF(I1504&gt;55,"Moderate","Low"))</x:f>
        <x:v>Moderate</x:v>
      </x:c>
      <x:c r="P1504" t="str">
        <x:f>IF(I1504&gt;=70,"Yes","No")</x:f>
        <x:v>No</x:v>
      </x:c>
      <x:c r="Q1504" t="str">
        <x:f>TEXT(B1504,"yyyy-mm")</x:f>
        <x:v>2021-08</x:v>
      </x:c>
    </x:row>
    <x:row r="1505">
      <x:c r="A1505" t="str">
        <x:v>HYD10</x:v>
      </x:c>
      <x:c r="B1505" s="22" t="n">
        <x:f>DATE(C1505,D1505,1)</x:f>
        <x:v>44440</x:v>
      </x:c>
      <x:c r="C1505" t="n">
        <x:v>2021</x:v>
      </x:c>
      <x:c r="D1505" t="n">
        <x:v>9</x:v>
      </x:c>
      <x:c r="E1505" t="str">
        <x:f>TEXT(B1505,"mmm")</x:f>
        <x:v>Sep</x:v>
      </x:c>
      <x:c r="F1505" t="str">
        <x:f>"Q"&amp;ROUNDUP(D1505/3,0)</x:f>
        <x:v>Q3</x:v>
      </x:c>
      <x:c r="G1505" s="23" t="n">
        <x:v>69.11</x:v>
      </x:c>
      <x:c r="H1505" s="23" t="n">
        <x:v>64.6</x:v>
      </x:c>
      <x:c r="I1505" s="23" t="n">
        <x:v>66.9</x:v>
      </x:c>
      <x:c r="J1505" s="23" t="n">
        <x:f>G1505-H1505</x:f>
        <x:v>4.510000000000005</x:v>
      </x:c>
      <x:c r="K1505" t="str">
        <x:v>HINDCAST</x:v>
      </x:c>
      <x:c r="L1505" s="24" t="n">
        <x:v>17.4126</x:v>
      </x:c>
      <x:c r="M1505" s="24" t="n">
        <x:v>78.4484</x:v>
      </x:c>
      <x:c r="N1505" t="str">
        <x:f>IF(I1505&gt;70,"70+ dB",IF(I1505&gt;55,"56-70 dB","41-55 dB"))</x:f>
        <x:v>56-70 dB</x:v>
      </x:c>
      <x:c r="O1505" t="str">
        <x:f>IF(I1505&gt;70,"High",IF(I1505&gt;55,"Moderate","Low"))</x:f>
        <x:v>Moderate</x:v>
      </x:c>
      <x:c r="P1505" t="str">
        <x:f>IF(I1505&gt;=70,"Yes","No")</x:f>
        <x:v>No</x:v>
      </x:c>
      <x:c r="Q1505" t="str">
        <x:f>TEXT(B1505,"yyyy-mm")</x:f>
        <x:v>2021-09</x:v>
      </x:c>
    </x:row>
    <x:row r="1506">
      <x:c r="A1506" t="str">
        <x:v>HYD10</x:v>
      </x:c>
      <x:c r="B1506" s="22" t="n">
        <x:f>DATE(C1506,D1506,1)</x:f>
        <x:v>44470</x:v>
      </x:c>
      <x:c r="C1506" t="n">
        <x:v>2021</x:v>
      </x:c>
      <x:c r="D1506" t="n">
        <x:v>10</x:v>
      </x:c>
      <x:c r="E1506" t="str">
        <x:f>TEXT(B1506,"mmm")</x:f>
        <x:v>Oct</x:v>
      </x:c>
      <x:c r="F1506" t="str">
        <x:f>"Q"&amp;ROUNDUP(D1506/3,0)</x:f>
        <x:v>Q4</x:v>
      </x:c>
      <x:c r="G1506" s="23" t="n">
        <x:v>68.54</x:v>
      </x:c>
      <x:c r="H1506" s="23" t="n">
        <x:v>63.95</x:v>
      </x:c>
      <x:c r="I1506" s="23" t="n">
        <x:v>66.2</x:v>
      </x:c>
      <x:c r="J1506" s="23" t="n">
        <x:f>G1506-H1506</x:f>
        <x:v>4.590000000000003</x:v>
      </x:c>
      <x:c r="K1506" t="str">
        <x:v>HINDCAST</x:v>
      </x:c>
      <x:c r="L1506" s="24" t="n">
        <x:v>17.4126</x:v>
      </x:c>
      <x:c r="M1506" s="24" t="n">
        <x:v>78.4484</x:v>
      </x:c>
      <x:c r="N1506" t="str">
        <x:f>IF(I1506&gt;70,"70+ dB",IF(I1506&gt;55,"56-70 dB","41-55 dB"))</x:f>
        <x:v>56-70 dB</x:v>
      </x:c>
      <x:c r="O1506" t="str">
        <x:f>IF(I1506&gt;70,"High",IF(I1506&gt;55,"Moderate","Low"))</x:f>
        <x:v>Moderate</x:v>
      </x:c>
      <x:c r="P1506" t="str">
        <x:f>IF(I1506&gt;=70,"Yes","No")</x:f>
        <x:v>No</x:v>
      </x:c>
      <x:c r="Q1506" t="str">
        <x:f>TEXT(B1506,"yyyy-mm")</x:f>
        <x:v>2021-10</x:v>
      </x:c>
    </x:row>
    <x:row r="1507">
      <x:c r="A1507" t="str">
        <x:v>HYD10</x:v>
      </x:c>
      <x:c r="B1507" s="22" t="n">
        <x:f>DATE(C1507,D1507,1)</x:f>
        <x:v>44501</x:v>
      </x:c>
      <x:c r="C1507" t="n">
        <x:v>2021</x:v>
      </x:c>
      <x:c r="D1507" t="n">
        <x:v>11</x:v>
      </x:c>
      <x:c r="E1507" t="str">
        <x:f>TEXT(B1507,"mmm")</x:f>
        <x:v>Nov</x:v>
      </x:c>
      <x:c r="F1507" t="str">
        <x:f>"Q"&amp;ROUNDUP(D1507/3,0)</x:f>
        <x:v>Q4</x:v>
      </x:c>
      <x:c r="G1507" s="23" t="n">
        <x:v>69.3</x:v>
      </x:c>
      <x:c r="H1507" s="23" t="n">
        <x:v>65.49</x:v>
      </x:c>
      <x:c r="I1507" s="23" t="n">
        <x:v>67.4</x:v>
      </x:c>
      <x:c r="J1507" s="23" t="n">
        <x:f>G1507-H1507</x:f>
        <x:v>3.8100000000000023</x:v>
      </x:c>
      <x:c r="K1507" t="str">
        <x:v>HINDCAST</x:v>
      </x:c>
      <x:c r="L1507" s="24" t="n">
        <x:v>17.4126</x:v>
      </x:c>
      <x:c r="M1507" s="24" t="n">
        <x:v>78.4484</x:v>
      </x:c>
      <x:c r="N1507" t="str">
        <x:f>IF(I1507&gt;70,"70+ dB",IF(I1507&gt;55,"56-70 dB","41-55 dB"))</x:f>
        <x:v>56-70 dB</x:v>
      </x:c>
      <x:c r="O1507" t="str">
        <x:f>IF(I1507&gt;70,"High",IF(I1507&gt;55,"Moderate","Low"))</x:f>
        <x:v>Moderate</x:v>
      </x:c>
      <x:c r="P1507" t="str">
        <x:f>IF(I1507&gt;=70,"Yes","No")</x:f>
        <x:v>No</x:v>
      </x:c>
      <x:c r="Q1507" t="str">
        <x:f>TEXT(B1507,"yyyy-mm")</x:f>
        <x:v>2021-11</x:v>
      </x:c>
    </x:row>
    <x:row r="1508">
      <x:c r="A1508" t="str">
        <x:v>HYD10</x:v>
      </x:c>
      <x:c r="B1508" s="22" t="n">
        <x:f>DATE(C1508,D1508,1)</x:f>
        <x:v>44531</x:v>
      </x:c>
      <x:c r="C1508" t="n">
        <x:v>2021</x:v>
      </x:c>
      <x:c r="D1508" t="n">
        <x:v>12</x:v>
      </x:c>
      <x:c r="E1508" t="str">
        <x:f>TEXT(B1508,"mmm")</x:f>
        <x:v>Dec</x:v>
      </x:c>
      <x:c r="F1508" t="str">
        <x:f>"Q"&amp;ROUNDUP(D1508/3,0)</x:f>
        <x:v>Q4</x:v>
      </x:c>
      <x:c r="G1508" s="23" t="n">
        <x:v>68.96</x:v>
      </x:c>
      <x:c r="H1508" s="23" t="n">
        <x:v>65.41</x:v>
      </x:c>
      <x:c r="I1508" s="23" t="n">
        <x:v>67.2</x:v>
      </x:c>
      <x:c r="J1508" s="23" t="n">
        <x:f>G1508-H1508</x:f>
        <x:v>3.549999999999997</x:v>
      </x:c>
      <x:c r="K1508" t="str">
        <x:v>HINDCAST</x:v>
      </x:c>
      <x:c r="L1508" s="24" t="n">
        <x:v>17.4126</x:v>
      </x:c>
      <x:c r="M1508" s="24" t="n">
        <x:v>78.4484</x:v>
      </x:c>
      <x:c r="N1508" t="str">
        <x:f>IF(I1508&gt;70,"70+ dB",IF(I1508&gt;55,"56-70 dB","41-55 dB"))</x:f>
        <x:v>56-70 dB</x:v>
      </x:c>
      <x:c r="O1508" t="str">
        <x:f>IF(I1508&gt;70,"High",IF(I1508&gt;55,"Moderate","Low"))</x:f>
        <x:v>Moderate</x:v>
      </x:c>
      <x:c r="P1508" t="str">
        <x:f>IF(I1508&gt;=70,"Yes","No")</x:f>
        <x:v>No</x:v>
      </x:c>
      <x:c r="Q1508" t="str">
        <x:f>TEXT(B1508,"yyyy-mm")</x:f>
        <x:v>2021-12</x:v>
      </x:c>
    </x:row>
    <x:row r="1509">
      <x:c r="A1509" t="str">
        <x:v>HYD10</x:v>
      </x:c>
      <x:c r="B1509" s="22" t="n">
        <x:f>DATE(C1509,D1509,1)</x:f>
        <x:v>44562</x:v>
      </x:c>
      <x:c r="C1509" t="n">
        <x:v>2022</x:v>
      </x:c>
      <x:c r="D1509" t="n">
        <x:v>1</x:v>
      </x:c>
      <x:c r="E1509" t="str">
        <x:f>TEXT(B1509,"mmm")</x:f>
        <x:v>Jan</x:v>
      </x:c>
      <x:c r="F1509" t="str">
        <x:f>"Q"&amp;ROUNDUP(D1509/3,0)</x:f>
        <x:v>Q1</x:v>
      </x:c>
      <x:c r="G1509" s="23" t="n">
        <x:v>68.55</x:v>
      </x:c>
      <x:c r="H1509" s="23" t="n">
        <x:v>64.13</x:v>
      </x:c>
      <x:c r="I1509" s="23" t="n">
        <x:v>66.3</x:v>
      </x:c>
      <x:c r="J1509" s="23" t="n">
        <x:f>G1509-H1509</x:f>
        <x:v>4.420000000000002</x:v>
      </x:c>
      <x:c r="K1509" t="str">
        <x:v>HINDCAST</x:v>
      </x:c>
      <x:c r="L1509" s="24" t="n">
        <x:v>17.4126</x:v>
      </x:c>
      <x:c r="M1509" s="24" t="n">
        <x:v>78.4484</x:v>
      </x:c>
      <x:c r="N1509" t="str">
        <x:f>IF(I1509&gt;70,"70+ dB",IF(I1509&gt;55,"56-70 dB","41-55 dB"))</x:f>
        <x:v>56-70 dB</x:v>
      </x:c>
      <x:c r="O1509" t="str">
        <x:f>IF(I1509&gt;70,"High",IF(I1509&gt;55,"Moderate","Low"))</x:f>
        <x:v>Moderate</x:v>
      </x:c>
      <x:c r="P1509" t="str">
        <x:f>IF(I1509&gt;=70,"Yes","No")</x:f>
        <x:v>No</x:v>
      </x:c>
      <x:c r="Q1509" t="str">
        <x:f>TEXT(B1509,"yyyy-mm")</x:f>
        <x:v>2022-01</x:v>
      </x:c>
    </x:row>
    <x:row r="1510">
      <x:c r="A1510" t="str">
        <x:v>HYD10</x:v>
      </x:c>
      <x:c r="B1510" s="22" t="n">
        <x:f>DATE(C1510,D1510,1)</x:f>
        <x:v>44593</x:v>
      </x:c>
      <x:c r="C1510" t="n">
        <x:v>2022</x:v>
      </x:c>
      <x:c r="D1510" t="n">
        <x:v>2</x:v>
      </x:c>
      <x:c r="E1510" t="str">
        <x:f>TEXT(B1510,"mmm")</x:f>
        <x:v>Feb</x:v>
      </x:c>
      <x:c r="F1510" t="str">
        <x:f>"Q"&amp;ROUNDUP(D1510/3,0)</x:f>
        <x:v>Q1</x:v>
      </x:c>
      <x:c r="G1510" s="23" t="n">
        <x:v>68.39</x:v>
      </x:c>
      <x:c r="H1510" s="23" t="n">
        <x:v>65.3</x:v>
      </x:c>
      <x:c r="I1510" s="23" t="n">
        <x:v>66.8</x:v>
      </x:c>
      <x:c r="J1510" s="23" t="n">
        <x:f>G1510-H1510</x:f>
        <x:v>3.0900000000000034</x:v>
      </x:c>
      <x:c r="K1510" t="str">
        <x:v>HINDCAST</x:v>
      </x:c>
      <x:c r="L1510" s="24" t="n">
        <x:v>17.4126</x:v>
      </x:c>
      <x:c r="M1510" s="24" t="n">
        <x:v>78.4484</x:v>
      </x:c>
      <x:c r="N1510" t="str">
        <x:f>IF(I1510&gt;70,"70+ dB",IF(I1510&gt;55,"56-70 dB","41-55 dB"))</x:f>
        <x:v>56-70 dB</x:v>
      </x:c>
      <x:c r="O1510" t="str">
        <x:f>IF(I1510&gt;70,"High",IF(I1510&gt;55,"Moderate","Low"))</x:f>
        <x:v>Moderate</x:v>
      </x:c>
      <x:c r="P1510" t="str">
        <x:f>IF(I1510&gt;=70,"Yes","No")</x:f>
        <x:v>No</x:v>
      </x:c>
      <x:c r="Q1510" t="str">
        <x:f>TEXT(B1510,"yyyy-mm")</x:f>
        <x:v>2022-02</x:v>
      </x:c>
    </x:row>
    <x:row r="1511">
      <x:c r="A1511" t="str">
        <x:v>HYD10</x:v>
      </x:c>
      <x:c r="B1511" s="22" t="n">
        <x:f>DATE(C1511,D1511,1)</x:f>
        <x:v>44621</x:v>
      </x:c>
      <x:c r="C1511" t="n">
        <x:v>2022</x:v>
      </x:c>
      <x:c r="D1511" t="n">
        <x:v>3</x:v>
      </x:c>
      <x:c r="E1511" t="str">
        <x:f>TEXT(B1511,"mmm")</x:f>
        <x:v>Mar</x:v>
      </x:c>
      <x:c r="F1511" t="str">
        <x:f>"Q"&amp;ROUNDUP(D1511/3,0)</x:f>
        <x:v>Q1</x:v>
      </x:c>
      <x:c r="G1511" s="23" t="n">
        <x:v>67.56</x:v>
      </x:c>
      <x:c r="H1511" s="23" t="n">
        <x:v>64.47</x:v>
      </x:c>
      <x:c r="I1511" s="23" t="n">
        <x:v>66</x:v>
      </x:c>
      <x:c r="J1511" s="23" t="n">
        <x:f>G1511-H1511</x:f>
        <x:v>3.0900000000000034</x:v>
      </x:c>
      <x:c r="K1511" t="str">
        <x:v>HINDCAST</x:v>
      </x:c>
      <x:c r="L1511" s="24" t="n">
        <x:v>17.4126</x:v>
      </x:c>
      <x:c r="M1511" s="24" t="n">
        <x:v>78.4484</x:v>
      </x:c>
      <x:c r="N1511" t="str">
        <x:f>IF(I1511&gt;70,"70+ dB",IF(I1511&gt;55,"56-70 dB","41-55 dB"))</x:f>
        <x:v>56-70 dB</x:v>
      </x:c>
      <x:c r="O1511" t="str">
        <x:f>IF(I1511&gt;70,"High",IF(I1511&gt;55,"Moderate","Low"))</x:f>
        <x:v>Moderate</x:v>
      </x:c>
      <x:c r="P1511" t="str">
        <x:f>IF(I1511&gt;=70,"Yes","No")</x:f>
        <x:v>No</x:v>
      </x:c>
      <x:c r="Q1511" t="str">
        <x:f>TEXT(B1511,"yyyy-mm")</x:f>
        <x:v>2022-03</x:v>
      </x:c>
    </x:row>
    <x:row r="1512">
      <x:c r="A1512" t="str">
        <x:v>HYD10</x:v>
      </x:c>
      <x:c r="B1512" s="22" t="n">
        <x:f>DATE(C1512,D1512,1)</x:f>
        <x:v>44652</x:v>
      </x:c>
      <x:c r="C1512" t="n">
        <x:v>2022</x:v>
      </x:c>
      <x:c r="D1512" t="n">
        <x:v>4</x:v>
      </x:c>
      <x:c r="E1512" t="str">
        <x:f>TEXT(B1512,"mmm")</x:f>
        <x:v>Apr</x:v>
      </x:c>
      <x:c r="F1512" t="str">
        <x:f>"Q"&amp;ROUNDUP(D1512/3,0)</x:f>
        <x:v>Q2</x:v>
      </x:c>
      <x:c r="G1512" s="23" t="n">
        <x:v>67.96</x:v>
      </x:c>
      <x:c r="H1512" s="23" t="n">
        <x:v>65.3</x:v>
      </x:c>
      <x:c r="I1512" s="23" t="n">
        <x:v>66.6</x:v>
      </x:c>
      <x:c r="J1512" s="23" t="n">
        <x:f>G1512-H1512</x:f>
        <x:v>2.6599999999999966</x:v>
      </x:c>
      <x:c r="K1512" t="str">
        <x:v>HINDCAST</x:v>
      </x:c>
      <x:c r="L1512" s="24" t="n">
        <x:v>17.4126</x:v>
      </x:c>
      <x:c r="M1512" s="24" t="n">
        <x:v>78.4484</x:v>
      </x:c>
      <x:c r="N1512" t="str">
        <x:f>IF(I1512&gt;70,"70+ dB",IF(I1512&gt;55,"56-70 dB","41-55 dB"))</x:f>
        <x:v>56-70 dB</x:v>
      </x:c>
      <x:c r="O1512" t="str">
        <x:f>IF(I1512&gt;70,"High",IF(I1512&gt;55,"Moderate","Low"))</x:f>
        <x:v>Moderate</x:v>
      </x:c>
      <x:c r="P1512" t="str">
        <x:f>IF(I1512&gt;=70,"Yes","No")</x:f>
        <x:v>No</x:v>
      </x:c>
      <x:c r="Q1512" t="str">
        <x:f>TEXT(B1512,"yyyy-mm")</x:f>
        <x:v>2022-04</x:v>
      </x:c>
    </x:row>
    <x:row r="1513">
      <x:c r="A1513" t="str">
        <x:v>HYD10</x:v>
      </x:c>
      <x:c r="B1513" s="22" t="n">
        <x:f>DATE(C1513,D1513,1)</x:f>
        <x:v>44682</x:v>
      </x:c>
      <x:c r="C1513" t="n">
        <x:v>2022</x:v>
      </x:c>
      <x:c r="D1513" t="n">
        <x:v>5</x:v>
      </x:c>
      <x:c r="E1513" t="str">
        <x:f>TEXT(B1513,"mmm")</x:f>
        <x:v>May</x:v>
      </x:c>
      <x:c r="F1513" t="str">
        <x:f>"Q"&amp;ROUNDUP(D1513/3,0)</x:f>
        <x:v>Q2</x:v>
      </x:c>
      <x:c r="G1513" s="23" t="n">
        <x:v>67.97</x:v>
      </x:c>
      <x:c r="H1513" s="23" t="n">
        <x:v>66.27</x:v>
      </x:c>
      <x:c r="I1513" s="23" t="n">
        <x:v>67.1</x:v>
      </x:c>
      <x:c r="J1513" s="23" t="n">
        <x:f>G1513-H1513</x:f>
        <x:v>1.7000000000000028</x:v>
      </x:c>
      <x:c r="K1513" t="str">
        <x:v>HINDCAST</x:v>
      </x:c>
      <x:c r="L1513" s="24" t="n">
        <x:v>17.4126</x:v>
      </x:c>
      <x:c r="M1513" s="24" t="n">
        <x:v>78.4484</x:v>
      </x:c>
      <x:c r="N1513" t="str">
        <x:f>IF(I1513&gt;70,"70+ dB",IF(I1513&gt;55,"56-70 dB","41-55 dB"))</x:f>
        <x:v>56-70 dB</x:v>
      </x:c>
      <x:c r="O1513" t="str">
        <x:f>IF(I1513&gt;70,"High",IF(I1513&gt;55,"Moderate","Low"))</x:f>
        <x:v>Moderate</x:v>
      </x:c>
      <x:c r="P1513" t="str">
        <x:f>IF(I1513&gt;=70,"Yes","No")</x:f>
        <x:v>No</x:v>
      </x:c>
      <x:c r="Q1513" t="str">
        <x:f>TEXT(B1513,"yyyy-mm")</x:f>
        <x:v>2022-05</x:v>
      </x:c>
    </x:row>
    <x:row r="1514">
      <x:c r="A1514" t="str">
        <x:v>HYD10</x:v>
      </x:c>
      <x:c r="B1514" s="22" t="n">
        <x:f>DATE(C1514,D1514,1)</x:f>
        <x:v>44713</x:v>
      </x:c>
      <x:c r="C1514" t="n">
        <x:v>2022</x:v>
      </x:c>
      <x:c r="D1514" t="n">
        <x:v>6</x:v>
      </x:c>
      <x:c r="E1514" t="str">
        <x:f>TEXT(B1514,"mmm")</x:f>
        <x:v>Jun</x:v>
      </x:c>
      <x:c r="F1514" t="str">
        <x:f>"Q"&amp;ROUNDUP(D1514/3,0)</x:f>
        <x:v>Q2</x:v>
      </x:c>
      <x:c r="G1514" s="23" t="n">
        <x:v>68.65</x:v>
      </x:c>
      <x:c r="H1514" s="23" t="n">
        <x:v>66.47</x:v>
      </x:c>
      <x:c r="I1514" s="23" t="n">
        <x:v>67.6</x:v>
      </x:c>
      <x:c r="J1514" s="23" t="n">
        <x:f>G1514-H1514</x:f>
        <x:v>2.180000000000007</x:v>
      </x:c>
      <x:c r="K1514" t="str">
        <x:v>HINDCAST</x:v>
      </x:c>
      <x:c r="L1514" s="24" t="n">
        <x:v>17.4126</x:v>
      </x:c>
      <x:c r="M1514" s="24" t="n">
        <x:v>78.4484</x:v>
      </x:c>
      <x:c r="N1514" t="str">
        <x:f>IF(I1514&gt;70,"70+ dB",IF(I1514&gt;55,"56-70 dB","41-55 dB"))</x:f>
        <x:v>56-70 dB</x:v>
      </x:c>
      <x:c r="O1514" t="str">
        <x:f>IF(I1514&gt;70,"High",IF(I1514&gt;55,"Moderate","Low"))</x:f>
        <x:v>Moderate</x:v>
      </x:c>
      <x:c r="P1514" t="str">
        <x:f>IF(I1514&gt;=70,"Yes","No")</x:f>
        <x:v>No</x:v>
      </x:c>
      <x:c r="Q1514" t="str">
        <x:f>TEXT(B1514,"yyyy-mm")</x:f>
        <x:v>2022-06</x:v>
      </x:c>
    </x:row>
    <x:row r="1515">
      <x:c r="A1515" t="str">
        <x:v>HYD10</x:v>
      </x:c>
      <x:c r="B1515" s="22" t="n">
        <x:f>DATE(C1515,D1515,1)</x:f>
        <x:v>44743</x:v>
      </x:c>
      <x:c r="C1515" t="n">
        <x:v>2022</x:v>
      </x:c>
      <x:c r="D1515" t="n">
        <x:v>7</x:v>
      </x:c>
      <x:c r="E1515" t="str">
        <x:f>TEXT(B1515,"mmm")</x:f>
        <x:v>Jul</x:v>
      </x:c>
      <x:c r="F1515" t="str">
        <x:f>"Q"&amp;ROUNDUP(D1515/3,0)</x:f>
        <x:v>Q3</x:v>
      </x:c>
      <x:c r="G1515" s="23" t="n">
        <x:v>70.64</x:v>
      </x:c>
      <x:c r="H1515" s="23" t="n">
        <x:v>67.53</x:v>
      </x:c>
      <x:c r="I1515" s="23" t="n">
        <x:v>69.1</x:v>
      </x:c>
      <x:c r="J1515" s="23" t="n">
        <x:f>G1515-H1515</x:f>
        <x:v>3.1099999999999994</x:v>
      </x:c>
      <x:c r="K1515" t="str">
        <x:v>HINDCAST</x:v>
      </x:c>
      <x:c r="L1515" s="24" t="n">
        <x:v>17.4126</x:v>
      </x:c>
      <x:c r="M1515" s="24" t="n">
        <x:v>78.4484</x:v>
      </x:c>
      <x:c r="N1515" t="str">
        <x:f>IF(I1515&gt;70,"70+ dB",IF(I1515&gt;55,"56-70 dB","41-55 dB"))</x:f>
        <x:v>56-70 dB</x:v>
      </x:c>
      <x:c r="O1515" t="str">
        <x:f>IF(I1515&gt;70,"High",IF(I1515&gt;55,"Moderate","Low"))</x:f>
        <x:v>Moderate</x:v>
      </x:c>
      <x:c r="P1515" t="str">
        <x:f>IF(I1515&gt;=70,"Yes","No")</x:f>
        <x:v>No</x:v>
      </x:c>
      <x:c r="Q1515" t="str">
        <x:f>TEXT(B1515,"yyyy-mm")</x:f>
        <x:v>2022-07</x:v>
      </x:c>
    </x:row>
    <x:row r="1516">
      <x:c r="A1516" t="str">
        <x:v>HYD10</x:v>
      </x:c>
      <x:c r="B1516" s="22" t="n">
        <x:f>DATE(C1516,D1516,1)</x:f>
        <x:v>44774</x:v>
      </x:c>
      <x:c r="C1516" t="n">
        <x:v>2022</x:v>
      </x:c>
      <x:c r="D1516" t="n">
        <x:v>8</x:v>
      </x:c>
      <x:c r="E1516" t="str">
        <x:f>TEXT(B1516,"mmm")</x:f>
        <x:v>Aug</x:v>
      </x:c>
      <x:c r="F1516" t="str">
        <x:f>"Q"&amp;ROUNDUP(D1516/3,0)</x:f>
        <x:v>Q3</x:v>
      </x:c>
      <x:c r="G1516" s="23" t="n">
        <x:v>71.28</x:v>
      </x:c>
      <x:c r="H1516" s="23" t="n">
        <x:v>66.93</x:v>
      </x:c>
      <x:c r="I1516" s="23" t="n">
        <x:v>69.1</x:v>
      </x:c>
      <x:c r="J1516" s="23" t="n">
        <x:f>G1516-H1516</x:f>
        <x:v>4.349999999999994</x:v>
      </x:c>
      <x:c r="K1516" t="str">
        <x:v>HINDCAST</x:v>
      </x:c>
      <x:c r="L1516" s="24" t="n">
        <x:v>17.4126</x:v>
      </x:c>
      <x:c r="M1516" s="24" t="n">
        <x:v>78.4484</x:v>
      </x:c>
      <x:c r="N1516" t="str">
        <x:f>IF(I1516&gt;70,"70+ dB",IF(I1516&gt;55,"56-70 dB","41-55 dB"))</x:f>
        <x:v>56-70 dB</x:v>
      </x:c>
      <x:c r="O1516" t="str">
        <x:f>IF(I1516&gt;70,"High",IF(I1516&gt;55,"Moderate","Low"))</x:f>
        <x:v>Moderate</x:v>
      </x:c>
      <x:c r="P1516" t="str">
        <x:f>IF(I1516&gt;=70,"Yes","No")</x:f>
        <x:v>No</x:v>
      </x:c>
      <x:c r="Q1516" t="str">
        <x:f>TEXT(B1516,"yyyy-mm")</x:f>
        <x:v>2022-08</x:v>
      </x:c>
    </x:row>
    <x:row r="1517">
      <x:c r="A1517" t="str">
        <x:v>HYD10</x:v>
      </x:c>
      <x:c r="B1517" s="22" t="n">
        <x:f>DATE(C1517,D1517,1)</x:f>
        <x:v>44805</x:v>
      </x:c>
      <x:c r="C1517" t="n">
        <x:v>2022</x:v>
      </x:c>
      <x:c r="D1517" t="n">
        <x:v>9</x:v>
      </x:c>
      <x:c r="E1517" t="str">
        <x:f>TEXT(B1517,"mmm")</x:f>
        <x:v>Sep</x:v>
      </x:c>
      <x:c r="F1517" t="str">
        <x:f>"Q"&amp;ROUNDUP(D1517/3,0)</x:f>
        <x:v>Q3</x:v>
      </x:c>
      <x:c r="G1517" s="23" t="n">
        <x:v>69.01</x:v>
      </x:c>
      <x:c r="H1517" s="23" t="n">
        <x:v>64.86</x:v>
      </x:c>
      <x:c r="I1517" s="23" t="n">
        <x:v>66.9</x:v>
      </x:c>
      <x:c r="J1517" s="23" t="n">
        <x:f>G1517-H1517</x:f>
        <x:v>4.150000000000006</x:v>
      </x:c>
      <x:c r="K1517" t="str">
        <x:v>HINDCAST</x:v>
      </x:c>
      <x:c r="L1517" s="24" t="n">
        <x:v>17.4126</x:v>
      </x:c>
      <x:c r="M1517" s="24" t="n">
        <x:v>78.4484</x:v>
      </x:c>
      <x:c r="N1517" t="str">
        <x:f>IF(I1517&gt;70,"70+ dB",IF(I1517&gt;55,"56-70 dB","41-55 dB"))</x:f>
        <x:v>56-70 dB</x:v>
      </x:c>
      <x:c r="O1517" t="str">
        <x:f>IF(I1517&gt;70,"High",IF(I1517&gt;55,"Moderate","Low"))</x:f>
        <x:v>Moderate</x:v>
      </x:c>
      <x:c r="P1517" t="str">
        <x:f>IF(I1517&gt;=70,"Yes","No")</x:f>
        <x:v>No</x:v>
      </x:c>
      <x:c r="Q1517" t="str">
        <x:f>TEXT(B1517,"yyyy-mm")</x:f>
        <x:v>2022-09</x:v>
      </x:c>
    </x:row>
    <x:row r="1518">
      <x:c r="A1518" t="str">
        <x:v>HYD10</x:v>
      </x:c>
      <x:c r="B1518" s="22" t="n">
        <x:f>DATE(C1518,D1518,1)</x:f>
        <x:v>44835</x:v>
      </x:c>
      <x:c r="C1518" t="n">
        <x:v>2022</x:v>
      </x:c>
      <x:c r="D1518" t="n">
        <x:v>10</x:v>
      </x:c>
      <x:c r="E1518" t="str">
        <x:f>TEXT(B1518,"mmm")</x:f>
        <x:v>Oct</x:v>
      </x:c>
      <x:c r="F1518" t="str">
        <x:f>"Q"&amp;ROUNDUP(D1518/3,0)</x:f>
        <x:v>Q4</x:v>
      </x:c>
      <x:c r="G1518" s="23" t="n">
        <x:v>68.32</x:v>
      </x:c>
      <x:c r="H1518" s="23" t="n">
        <x:v>64.47</x:v>
      </x:c>
      <x:c r="I1518" s="23" t="n">
        <x:v>66.4</x:v>
      </x:c>
      <x:c r="J1518" s="23" t="n">
        <x:f>G1518-H1518</x:f>
        <x:v>3.8499999999999943</x:v>
      </x:c>
      <x:c r="K1518" t="str">
        <x:v>HINDCAST</x:v>
      </x:c>
      <x:c r="L1518" s="24" t="n">
        <x:v>17.4126</x:v>
      </x:c>
      <x:c r="M1518" s="24" t="n">
        <x:v>78.4484</x:v>
      </x:c>
      <x:c r="N1518" t="str">
        <x:f>IF(I1518&gt;70,"70+ dB",IF(I1518&gt;55,"56-70 dB","41-55 dB"))</x:f>
        <x:v>56-70 dB</x:v>
      </x:c>
      <x:c r="O1518" t="str">
        <x:f>IF(I1518&gt;70,"High",IF(I1518&gt;55,"Moderate","Low"))</x:f>
        <x:v>Moderate</x:v>
      </x:c>
      <x:c r="P1518" t="str">
        <x:f>IF(I1518&gt;=70,"Yes","No")</x:f>
        <x:v>No</x:v>
      </x:c>
      <x:c r="Q1518" t="str">
        <x:f>TEXT(B1518,"yyyy-mm")</x:f>
        <x:v>2022-10</x:v>
      </x:c>
    </x:row>
    <x:row r="1519">
      <x:c r="A1519" t="str">
        <x:v>HYD10</x:v>
      </x:c>
      <x:c r="B1519" s="22" t="n">
        <x:f>DATE(C1519,D1519,1)</x:f>
        <x:v>44866</x:v>
      </x:c>
      <x:c r="C1519" t="n">
        <x:v>2022</x:v>
      </x:c>
      <x:c r="D1519" t="n">
        <x:v>11</x:v>
      </x:c>
      <x:c r="E1519" t="str">
        <x:f>TEXT(B1519,"mmm")</x:f>
        <x:v>Nov</x:v>
      </x:c>
      <x:c r="F1519" t="str">
        <x:f>"Q"&amp;ROUNDUP(D1519/3,0)</x:f>
        <x:v>Q4</x:v>
      </x:c>
      <x:c r="G1519" s="23" t="n">
        <x:v>68.89</x:v>
      </x:c>
      <x:c r="H1519" s="23" t="n">
        <x:v>65.39</x:v>
      </x:c>
      <x:c r="I1519" s="23" t="n">
        <x:v>67.1</x:v>
      </x:c>
      <x:c r="J1519" s="23" t="n">
        <x:f>G1519-H1519</x:f>
        <x:v>3.5</x:v>
      </x:c>
      <x:c r="K1519" t="str">
        <x:v>HINDCAST</x:v>
      </x:c>
      <x:c r="L1519" s="24" t="n">
        <x:v>17.4126</x:v>
      </x:c>
      <x:c r="M1519" s="24" t="n">
        <x:v>78.4484</x:v>
      </x:c>
      <x:c r="N1519" t="str">
        <x:f>IF(I1519&gt;70,"70+ dB",IF(I1519&gt;55,"56-70 dB","41-55 dB"))</x:f>
        <x:v>56-70 dB</x:v>
      </x:c>
      <x:c r="O1519" t="str">
        <x:f>IF(I1519&gt;70,"High",IF(I1519&gt;55,"Moderate","Low"))</x:f>
        <x:v>Moderate</x:v>
      </x:c>
      <x:c r="P1519" t="str">
        <x:f>IF(I1519&gt;=70,"Yes","No")</x:f>
        <x:v>No</x:v>
      </x:c>
      <x:c r="Q1519" t="str">
        <x:f>TEXT(B1519,"yyyy-mm")</x:f>
        <x:v>2022-11</x:v>
      </x:c>
    </x:row>
    <x:row r="1520">
      <x:c r="A1520" t="str">
        <x:v>HYD10</x:v>
      </x:c>
      <x:c r="B1520" s="22" t="n">
        <x:f>DATE(C1520,D1520,1)</x:f>
        <x:v>44896</x:v>
      </x:c>
      <x:c r="C1520" t="n">
        <x:v>2022</x:v>
      </x:c>
      <x:c r="D1520" t="n">
        <x:v>12</x:v>
      </x:c>
      <x:c r="E1520" t="str">
        <x:f>TEXT(B1520,"mmm")</x:f>
        <x:v>Dec</x:v>
      </x:c>
      <x:c r="F1520" t="str">
        <x:f>"Q"&amp;ROUNDUP(D1520/3,0)</x:f>
        <x:v>Q4</x:v>
      </x:c>
      <x:c r="G1520" s="23" t="n">
        <x:v>68.64</x:v>
      </x:c>
      <x:c r="H1520" s="23" t="n">
        <x:v>65.35</x:v>
      </x:c>
      <x:c r="I1520" s="23" t="n">
        <x:v>67</x:v>
      </x:c>
      <x:c r="J1520" s="23" t="n">
        <x:f>G1520-H1520</x:f>
        <x:v>3.2900000000000063</x:v>
      </x:c>
      <x:c r="K1520" t="str">
        <x:v>HINDCAST</x:v>
      </x:c>
      <x:c r="L1520" s="24" t="n">
        <x:v>17.4126</x:v>
      </x:c>
      <x:c r="M1520" s="24" t="n">
        <x:v>78.4484</x:v>
      </x:c>
      <x:c r="N1520" t="str">
        <x:f>IF(I1520&gt;70,"70+ dB",IF(I1520&gt;55,"56-70 dB","41-55 dB"))</x:f>
        <x:v>56-70 dB</x:v>
      </x:c>
      <x:c r="O1520" t="str">
        <x:f>IF(I1520&gt;70,"High",IF(I1520&gt;55,"Moderate","Low"))</x:f>
        <x:v>Moderate</x:v>
      </x:c>
      <x:c r="P1520" t="str">
        <x:f>IF(I1520&gt;=70,"Yes","No")</x:f>
        <x:v>No</x:v>
      </x:c>
      <x:c r="Q1520" t="str">
        <x:f>TEXT(B1520,"yyyy-mm")</x:f>
        <x:v>2022-12</x:v>
      </x:c>
    </x:row>
    <x:row r="1521">
      <x:c r="A1521" t="str">
        <x:v>HYD10</x:v>
      </x:c>
      <x:c r="B1521" s="22" t="n">
        <x:f>DATE(C1521,D1521,1)</x:f>
        <x:v>44927</x:v>
      </x:c>
      <x:c r="C1521" t="n">
        <x:v>2023</x:v>
      </x:c>
      <x:c r="D1521" t="n">
        <x:v>1</x:v>
      </x:c>
      <x:c r="E1521" t="str">
        <x:f>TEXT(B1521,"mmm")</x:f>
        <x:v>Jan</x:v>
      </x:c>
      <x:c r="F1521" t="str">
        <x:f>"Q"&amp;ROUNDUP(D1521/3,0)</x:f>
        <x:v>Q1</x:v>
      </x:c>
      <x:c r="G1521" s="23" t="n">
        <x:v>68.18</x:v>
      </x:c>
      <x:c r="H1521" s="23" t="n">
        <x:v>63.54</x:v>
      </x:c>
      <x:c r="I1521" s="23" t="n">
        <x:v>65.9</x:v>
      </x:c>
      <x:c r="J1521" s="23" t="n">
        <x:f>G1521-H1521</x:f>
        <x:v>4.640000000000008</x:v>
      </x:c>
      <x:c r="K1521" t="str">
        <x:v>HINDCAST</x:v>
      </x:c>
      <x:c r="L1521" s="24" t="n">
        <x:v>17.4126</x:v>
      </x:c>
      <x:c r="M1521" s="24" t="n">
        <x:v>78.4484</x:v>
      </x:c>
      <x:c r="N1521" t="str">
        <x:f>IF(I1521&gt;70,"70+ dB",IF(I1521&gt;55,"56-70 dB","41-55 dB"))</x:f>
        <x:v>56-70 dB</x:v>
      </x:c>
      <x:c r="O1521" t="str">
        <x:f>IF(I1521&gt;70,"High",IF(I1521&gt;55,"Moderate","Low"))</x:f>
        <x:v>Moderate</x:v>
      </x:c>
      <x:c r="P1521" t="str">
        <x:f>IF(I1521&gt;=70,"Yes","No")</x:f>
        <x:v>No</x:v>
      </x:c>
      <x:c r="Q1521" t="str">
        <x:f>TEXT(B1521,"yyyy-mm")</x:f>
        <x:v>2023-01</x:v>
      </x:c>
    </x:row>
    <x:row r="1522">
      <x:c r="A1522" t="str">
        <x:v>HYD10</x:v>
      </x:c>
      <x:c r="B1522" s="22" t="n">
        <x:f>DATE(C1522,D1522,1)</x:f>
        <x:v>44958</x:v>
      </x:c>
      <x:c r="C1522" t="n">
        <x:v>2023</x:v>
      </x:c>
      <x:c r="D1522" t="n">
        <x:v>2</x:v>
      </x:c>
      <x:c r="E1522" t="str">
        <x:f>TEXT(B1522,"mmm")</x:f>
        <x:v>Feb</x:v>
      </x:c>
      <x:c r="F1522" t="str">
        <x:f>"Q"&amp;ROUNDUP(D1522/3,0)</x:f>
        <x:v>Q1</x:v>
      </x:c>
      <x:c r="G1522" s="23" t="n">
        <x:v>67.99</x:v>
      </x:c>
      <x:c r="H1522" s="23" t="n">
        <x:v>64.8</x:v>
      </x:c>
      <x:c r="I1522" s="23" t="n">
        <x:v>66.4</x:v>
      </x:c>
      <x:c r="J1522" s="23" t="n">
        <x:f>G1522-H1522</x:f>
        <x:v>3.1899999999999977</x:v>
      </x:c>
      <x:c r="K1522" t="str">
        <x:v>HINDCAST</x:v>
      </x:c>
      <x:c r="L1522" s="24" t="n">
        <x:v>17.4126</x:v>
      </x:c>
      <x:c r="M1522" s="24" t="n">
        <x:v>78.4484</x:v>
      </x:c>
      <x:c r="N1522" t="str">
        <x:f>IF(I1522&gt;70,"70+ dB",IF(I1522&gt;55,"56-70 dB","41-55 dB"))</x:f>
        <x:v>56-70 dB</x:v>
      </x:c>
      <x:c r="O1522" t="str">
        <x:f>IF(I1522&gt;70,"High",IF(I1522&gt;55,"Moderate","Low"))</x:f>
        <x:v>Moderate</x:v>
      </x:c>
      <x:c r="P1522" t="str">
        <x:f>IF(I1522&gt;=70,"Yes","No")</x:f>
        <x:v>No</x:v>
      </x:c>
      <x:c r="Q1522" t="str">
        <x:f>TEXT(B1522,"yyyy-mm")</x:f>
        <x:v>2023-02</x:v>
      </x:c>
    </x:row>
    <x:row r="1523">
      <x:c r="A1523" t="str">
        <x:v>HYD10</x:v>
      </x:c>
      <x:c r="B1523" s="22" t="n">
        <x:f>DATE(C1523,D1523,1)</x:f>
        <x:v>44986</x:v>
      </x:c>
      <x:c r="C1523" t="n">
        <x:v>2023</x:v>
      </x:c>
      <x:c r="D1523" t="n">
        <x:v>3</x:v>
      </x:c>
      <x:c r="E1523" t="str">
        <x:f>TEXT(B1523,"mmm")</x:f>
        <x:v>Mar</x:v>
      </x:c>
      <x:c r="F1523" t="str">
        <x:f>"Q"&amp;ROUNDUP(D1523/3,0)</x:f>
        <x:v>Q1</x:v>
      </x:c>
      <x:c r="G1523" s="23" t="n">
        <x:v>67.21</x:v>
      </x:c>
      <x:c r="H1523" s="23" t="n">
        <x:v>64.03</x:v>
      </x:c>
      <x:c r="I1523" s="23" t="n">
        <x:v>65.6</x:v>
      </x:c>
      <x:c r="J1523" s="23" t="n">
        <x:f>G1523-H1523</x:f>
        <x:v>3.1799999999999926</x:v>
      </x:c>
      <x:c r="K1523" t="str">
        <x:v>HINDCAST</x:v>
      </x:c>
      <x:c r="L1523" s="24" t="n">
        <x:v>17.4126</x:v>
      </x:c>
      <x:c r="M1523" s="24" t="n">
        <x:v>78.4484</x:v>
      </x:c>
      <x:c r="N1523" t="str">
        <x:f>IF(I1523&gt;70,"70+ dB",IF(I1523&gt;55,"56-70 dB","41-55 dB"))</x:f>
        <x:v>56-70 dB</x:v>
      </x:c>
      <x:c r="O1523" t="str">
        <x:f>IF(I1523&gt;70,"High",IF(I1523&gt;55,"Moderate","Low"))</x:f>
        <x:v>Moderate</x:v>
      </x:c>
      <x:c r="P1523" t="str">
        <x:f>IF(I1523&gt;=70,"Yes","No")</x:f>
        <x:v>No</x:v>
      </x:c>
      <x:c r="Q1523" t="str">
        <x:f>TEXT(B1523,"yyyy-mm")</x:f>
        <x:v>2023-03</x:v>
      </x:c>
    </x:row>
    <x:row r="1524">
      <x:c r="A1524" t="str">
        <x:v>HYD10</x:v>
      </x:c>
      <x:c r="B1524" s="22" t="n">
        <x:f>DATE(C1524,D1524,1)</x:f>
        <x:v>45017</x:v>
      </x:c>
      <x:c r="C1524" t="n">
        <x:v>2023</x:v>
      </x:c>
      <x:c r="D1524" t="n">
        <x:v>4</x:v>
      </x:c>
      <x:c r="E1524" t="str">
        <x:f>TEXT(B1524,"mmm")</x:f>
        <x:v>Apr</x:v>
      </x:c>
      <x:c r="F1524" t="str">
        <x:f>"Q"&amp;ROUNDUP(D1524/3,0)</x:f>
        <x:v>Q2</x:v>
      </x:c>
      <x:c r="G1524" s="23" t="n">
        <x:v>67.69</x:v>
      </x:c>
      <x:c r="H1524" s="23" t="n">
        <x:v>64.8</x:v>
      </x:c>
      <x:c r="I1524" s="23" t="n">
        <x:v>66.2</x:v>
      </x:c>
      <x:c r="J1524" s="23" t="n">
        <x:f>G1524-H1524</x:f>
        <x:v>2.8900000000000006</x:v>
      </x:c>
      <x:c r="K1524" t="str">
        <x:v>HINDCAST</x:v>
      </x:c>
      <x:c r="L1524" s="24" t="n">
        <x:v>17.4126</x:v>
      </x:c>
      <x:c r="M1524" s="24" t="n">
        <x:v>78.4484</x:v>
      </x:c>
      <x:c r="N1524" t="str">
        <x:f>IF(I1524&gt;70,"70+ dB",IF(I1524&gt;55,"56-70 dB","41-55 dB"))</x:f>
        <x:v>56-70 dB</x:v>
      </x:c>
      <x:c r="O1524" t="str">
        <x:f>IF(I1524&gt;70,"High",IF(I1524&gt;55,"Moderate","Low"))</x:f>
        <x:v>Moderate</x:v>
      </x:c>
      <x:c r="P1524" t="str">
        <x:f>IF(I1524&gt;=70,"Yes","No")</x:f>
        <x:v>No</x:v>
      </x:c>
      <x:c r="Q1524" t="str">
        <x:f>TEXT(B1524,"yyyy-mm")</x:f>
        <x:v>2023-04</x:v>
      </x:c>
    </x:row>
    <x:row r="1525">
      <x:c r="A1525" t="str">
        <x:v>HYD10</x:v>
      </x:c>
      <x:c r="B1525" s="22" t="n">
        <x:f>DATE(C1525,D1525,1)</x:f>
        <x:v>45047</x:v>
      </x:c>
      <x:c r="C1525" t="n">
        <x:v>2023</x:v>
      </x:c>
      <x:c r="D1525" t="n">
        <x:v>5</x:v>
      </x:c>
      <x:c r="E1525" t="str">
        <x:f>TEXT(B1525,"mmm")</x:f>
        <x:v>May</x:v>
      </x:c>
      <x:c r="F1525" t="str">
        <x:f>"Q"&amp;ROUNDUP(D1525/3,0)</x:f>
        <x:v>Q2</x:v>
      </x:c>
      <x:c r="G1525" s="23" t="n">
        <x:v>67.7</x:v>
      </x:c>
      <x:c r="H1525" s="23" t="n">
        <x:v>66.19</x:v>
      </x:c>
      <x:c r="I1525" s="23" t="n">
        <x:v>66.9</x:v>
      </x:c>
      <x:c r="J1525" s="23" t="n">
        <x:f>G1525-H1525</x:f>
        <x:v>1.5100000000000051</x:v>
      </x:c>
      <x:c r="K1525" t="str">
        <x:v>HINDCAST</x:v>
      </x:c>
      <x:c r="L1525" s="24" t="n">
        <x:v>17.4126</x:v>
      </x:c>
      <x:c r="M1525" s="24" t="n">
        <x:v>78.4484</x:v>
      </x:c>
      <x:c r="N1525" t="str">
        <x:f>IF(I1525&gt;70,"70+ dB",IF(I1525&gt;55,"56-70 dB","41-55 dB"))</x:f>
        <x:v>56-70 dB</x:v>
      </x:c>
      <x:c r="O1525" t="str">
        <x:f>IF(I1525&gt;70,"High",IF(I1525&gt;55,"Moderate","Low"))</x:f>
        <x:v>Moderate</x:v>
      </x:c>
      <x:c r="P1525" t="str">
        <x:f>IF(I1525&gt;=70,"Yes","No")</x:f>
        <x:v>No</x:v>
      </x:c>
      <x:c r="Q1525" t="str">
        <x:f>TEXT(B1525,"yyyy-mm")</x:f>
        <x:v>2023-05</x:v>
      </x:c>
    </x:row>
    <x:row r="1526">
      <x:c r="A1526" t="str">
        <x:v>HYD10</x:v>
      </x:c>
      <x:c r="B1526" s="22" t="n">
        <x:f>DATE(C1526,D1526,1)</x:f>
        <x:v>45078</x:v>
      </x:c>
      <x:c r="C1526" t="n">
        <x:v>2023</x:v>
      </x:c>
      <x:c r="D1526" t="n">
        <x:v>6</x:v>
      </x:c>
      <x:c r="E1526" t="str">
        <x:f>TEXT(B1526,"mmm")</x:f>
        <x:v>Jun</x:v>
      </x:c>
      <x:c r="F1526" t="str">
        <x:f>"Q"&amp;ROUNDUP(D1526/3,0)</x:f>
        <x:v>Q2</x:v>
      </x:c>
      <x:c r="G1526" s="23" t="n">
        <x:v>68.32</x:v>
      </x:c>
      <x:c r="H1526" s="23" t="n">
        <x:v>66.03</x:v>
      </x:c>
      <x:c r="I1526" s="23" t="n">
        <x:v>67.2</x:v>
      </x:c>
      <x:c r="J1526" s="23" t="n">
        <x:f>G1526-H1526</x:f>
        <x:v>2.289999999999992</x:v>
      </x:c>
      <x:c r="K1526" t="str">
        <x:v>HINDCAST</x:v>
      </x:c>
      <x:c r="L1526" s="24" t="n">
        <x:v>17.4126</x:v>
      </x:c>
      <x:c r="M1526" s="24" t="n">
        <x:v>78.4484</x:v>
      </x:c>
      <x:c r="N1526" t="str">
        <x:f>IF(I1526&gt;70,"70+ dB",IF(I1526&gt;55,"56-70 dB","41-55 dB"))</x:f>
        <x:v>56-70 dB</x:v>
      </x:c>
      <x:c r="O1526" t="str">
        <x:f>IF(I1526&gt;70,"High",IF(I1526&gt;55,"Moderate","Low"))</x:f>
        <x:v>Moderate</x:v>
      </x:c>
      <x:c r="P1526" t="str">
        <x:f>IF(I1526&gt;=70,"Yes","No")</x:f>
        <x:v>No</x:v>
      </x:c>
      <x:c r="Q1526" t="str">
        <x:f>TEXT(B1526,"yyyy-mm")</x:f>
        <x:v>2023-06</x:v>
      </x:c>
    </x:row>
    <x:row r="1527">
      <x:c r="A1527" t="str">
        <x:v>HYD10</x:v>
      </x:c>
      <x:c r="B1527" s="22" t="n">
        <x:f>DATE(C1527,D1527,1)</x:f>
        <x:v>45108</x:v>
      </x:c>
      <x:c r="C1527" t="n">
        <x:v>2023</x:v>
      </x:c>
      <x:c r="D1527" t="n">
        <x:v>7</x:v>
      </x:c>
      <x:c r="E1527" t="str">
        <x:f>TEXT(B1527,"mmm")</x:f>
        <x:v>Jul</x:v>
      </x:c>
      <x:c r="F1527" t="str">
        <x:f>"Q"&amp;ROUNDUP(D1527/3,0)</x:f>
        <x:v>Q3</x:v>
      </x:c>
      <x:c r="G1527" s="23" t="n">
        <x:v>70.3</x:v>
      </x:c>
      <x:c r="H1527" s="23" t="n">
        <x:v>67.12</x:v>
      </x:c>
      <x:c r="I1527" s="23" t="n">
        <x:v>68.7</x:v>
      </x:c>
      <x:c r="J1527" s="23" t="n">
        <x:f>G1527-H1527</x:f>
        <x:v>3.1799999999999926</x:v>
      </x:c>
      <x:c r="K1527" t="str">
        <x:v>HINDCAST</x:v>
      </x:c>
      <x:c r="L1527" s="24" t="n">
        <x:v>17.4126</x:v>
      </x:c>
      <x:c r="M1527" s="24" t="n">
        <x:v>78.4484</x:v>
      </x:c>
      <x:c r="N1527" t="str">
        <x:f>IF(I1527&gt;70,"70+ dB",IF(I1527&gt;55,"56-70 dB","41-55 dB"))</x:f>
        <x:v>56-70 dB</x:v>
      </x:c>
      <x:c r="O1527" t="str">
        <x:f>IF(I1527&gt;70,"High",IF(I1527&gt;55,"Moderate","Low"))</x:f>
        <x:v>Moderate</x:v>
      </x:c>
      <x:c r="P1527" t="str">
        <x:f>IF(I1527&gt;=70,"Yes","No")</x:f>
        <x:v>No</x:v>
      </x:c>
      <x:c r="Q1527" t="str">
        <x:f>TEXT(B1527,"yyyy-mm")</x:f>
        <x:v>2023-07</x:v>
      </x:c>
    </x:row>
    <x:row r="1528">
      <x:c r="A1528" t="str">
        <x:v>HYD10</x:v>
      </x:c>
      <x:c r="B1528" s="22" t="n">
        <x:f>DATE(C1528,D1528,1)</x:f>
        <x:v>45139</x:v>
      </x:c>
      <x:c r="C1528" t="n">
        <x:v>2023</x:v>
      </x:c>
      <x:c r="D1528" t="n">
        <x:v>8</x:v>
      </x:c>
      <x:c r="E1528" t="str">
        <x:f>TEXT(B1528,"mmm")</x:f>
        <x:v>Aug</x:v>
      </x:c>
      <x:c r="F1528" t="str">
        <x:f>"Q"&amp;ROUNDUP(D1528/3,0)</x:f>
        <x:v>Q3</x:v>
      </x:c>
      <x:c r="G1528" s="23" t="n">
        <x:v>70.87</x:v>
      </x:c>
      <x:c r="H1528" s="23" t="n">
        <x:v>66.26</x:v>
      </x:c>
      <x:c r="I1528" s="23" t="n">
        <x:v>68.6</x:v>
      </x:c>
      <x:c r="J1528" s="23" t="n">
        <x:f>G1528-H1528</x:f>
        <x:v>4.609999999999999</x:v>
      </x:c>
      <x:c r="K1528" t="str">
        <x:v>HINDCAST</x:v>
      </x:c>
      <x:c r="L1528" s="24" t="n">
        <x:v>17.4126</x:v>
      </x:c>
      <x:c r="M1528" s="24" t="n">
        <x:v>78.4484</x:v>
      </x:c>
      <x:c r="N1528" t="str">
        <x:f>IF(I1528&gt;70,"70+ dB",IF(I1528&gt;55,"56-70 dB","41-55 dB"))</x:f>
        <x:v>56-70 dB</x:v>
      </x:c>
      <x:c r="O1528" t="str">
        <x:f>IF(I1528&gt;70,"High",IF(I1528&gt;55,"Moderate","Low"))</x:f>
        <x:v>Moderate</x:v>
      </x:c>
      <x:c r="P1528" t="str">
        <x:f>IF(I1528&gt;=70,"Yes","No")</x:f>
        <x:v>No</x:v>
      </x:c>
      <x:c r="Q1528" t="str">
        <x:f>TEXT(B1528,"yyyy-mm")</x:f>
        <x:v>2023-08</x:v>
      </x:c>
    </x:row>
    <x:row r="1529">
      <x:c r="A1529" t="str">
        <x:v>HYD10</x:v>
      </x:c>
      <x:c r="B1529" s="22" t="n">
        <x:f>DATE(C1529,D1529,1)</x:f>
        <x:v>45170</x:v>
      </x:c>
      <x:c r="C1529" t="n">
        <x:v>2023</x:v>
      </x:c>
      <x:c r="D1529" t="n">
        <x:v>9</x:v>
      </x:c>
      <x:c r="E1529" t="str">
        <x:f>TEXT(B1529,"mmm")</x:f>
        <x:v>Sep</x:v>
      </x:c>
      <x:c r="F1529" t="str">
        <x:f>"Q"&amp;ROUNDUP(D1529/3,0)</x:f>
        <x:v>Q3</x:v>
      </x:c>
      <x:c r="G1529" s="23" t="n">
        <x:v>68.54</x:v>
      </x:c>
      <x:c r="H1529" s="23" t="n">
        <x:v>64.15</x:v>
      </x:c>
      <x:c r="I1529" s="23" t="n">
        <x:v>66.3</x:v>
      </x:c>
      <x:c r="J1529" s="23" t="n">
        <x:f>G1529-H1529</x:f>
        <x:v>4.390000000000001</x:v>
      </x:c>
      <x:c r="K1529" t="str">
        <x:v>HINDCAST</x:v>
      </x:c>
      <x:c r="L1529" s="24" t="n">
        <x:v>17.4126</x:v>
      </x:c>
      <x:c r="M1529" s="24" t="n">
        <x:v>78.4484</x:v>
      </x:c>
      <x:c r="N1529" t="str">
        <x:f>IF(I1529&gt;70,"70+ dB",IF(I1529&gt;55,"56-70 dB","41-55 dB"))</x:f>
        <x:v>56-70 dB</x:v>
      </x:c>
      <x:c r="O1529" t="str">
        <x:f>IF(I1529&gt;70,"High",IF(I1529&gt;55,"Moderate","Low"))</x:f>
        <x:v>Moderate</x:v>
      </x:c>
      <x:c r="P1529" t="str">
        <x:f>IF(I1529&gt;=70,"Yes","No")</x:f>
        <x:v>No</x:v>
      </x:c>
      <x:c r="Q1529" t="str">
        <x:f>TEXT(B1529,"yyyy-mm")</x:f>
        <x:v>2023-09</x:v>
      </x:c>
    </x:row>
    <x:row r="1530">
      <x:c r="A1530" t="str">
        <x:v>HYD10</x:v>
      </x:c>
      <x:c r="B1530" s="22" t="n">
        <x:f>DATE(C1530,D1530,1)</x:f>
        <x:v>45200</x:v>
      </x:c>
      <x:c r="C1530" t="n">
        <x:v>2023</x:v>
      </x:c>
      <x:c r="D1530" t="n">
        <x:v>10</x:v>
      </x:c>
      <x:c r="E1530" t="str">
        <x:f>TEXT(B1530,"mmm")</x:f>
        <x:v>Oct</x:v>
      </x:c>
      <x:c r="F1530" t="str">
        <x:f>"Q"&amp;ROUNDUP(D1530/3,0)</x:f>
        <x:v>Q4</x:v>
      </x:c>
      <x:c r="G1530" s="23" t="n">
        <x:v>67.92</x:v>
      </x:c>
      <x:c r="H1530" s="23" t="n">
        <x:v>63.59</x:v>
      </x:c>
      <x:c r="I1530" s="23" t="n">
        <x:v>65.8</x:v>
      </x:c>
      <x:c r="J1530" s="23" t="n">
        <x:f>G1530-H1530</x:f>
        <x:v>4.329999999999998</x:v>
      </x:c>
      <x:c r="K1530" t="str">
        <x:v>HINDCAST</x:v>
      </x:c>
      <x:c r="L1530" s="24" t="n">
        <x:v>17.4126</x:v>
      </x:c>
      <x:c r="M1530" s="24" t="n">
        <x:v>78.4484</x:v>
      </x:c>
      <x:c r="N1530" t="str">
        <x:f>IF(I1530&gt;70,"70+ dB",IF(I1530&gt;55,"56-70 dB","41-55 dB"))</x:f>
        <x:v>56-70 dB</x:v>
      </x:c>
      <x:c r="O1530" t="str">
        <x:f>IF(I1530&gt;70,"High",IF(I1530&gt;55,"Moderate","Low"))</x:f>
        <x:v>Moderate</x:v>
      </x:c>
      <x:c r="P1530" t="str">
        <x:f>IF(I1530&gt;=70,"Yes","No")</x:f>
        <x:v>No</x:v>
      </x:c>
      <x:c r="Q1530" t="str">
        <x:f>TEXT(B1530,"yyyy-mm")</x:f>
        <x:v>2023-10</x:v>
      </x:c>
    </x:row>
    <x:row r="1531">
      <x:c r="A1531" t="str">
        <x:v>HYD10</x:v>
      </x:c>
      <x:c r="B1531" s="22" t="n">
        <x:f>DATE(C1531,D1531,1)</x:f>
        <x:v>45231</x:v>
      </x:c>
      <x:c r="C1531" t="n">
        <x:v>2023</x:v>
      </x:c>
      <x:c r="D1531" t="n">
        <x:v>11</x:v>
      </x:c>
      <x:c r="E1531" t="str">
        <x:f>TEXT(B1531,"mmm")</x:f>
        <x:v>Nov</x:v>
      </x:c>
      <x:c r="F1531" t="str">
        <x:f>"Q"&amp;ROUNDUP(D1531/3,0)</x:f>
        <x:v>Q4</x:v>
      </x:c>
      <x:c r="G1531" s="23" t="n">
        <x:v>68.6</x:v>
      </x:c>
      <x:c r="H1531" s="23" t="n">
        <x:v>64.93</x:v>
      </x:c>
      <x:c r="I1531" s="23" t="n">
        <x:v>66.8</x:v>
      </x:c>
      <x:c r="J1531" s="23" t="n">
        <x:f>G1531-H1531</x:f>
        <x:v>3.6699999999999875</x:v>
      </x:c>
      <x:c r="K1531" t="str">
        <x:v>HINDCAST</x:v>
      </x:c>
      <x:c r="L1531" s="24" t="n">
        <x:v>17.4126</x:v>
      </x:c>
      <x:c r="M1531" s="24" t="n">
        <x:v>78.4484</x:v>
      </x:c>
      <x:c r="N1531" t="str">
        <x:f>IF(I1531&gt;70,"70+ dB",IF(I1531&gt;55,"56-70 dB","41-55 dB"))</x:f>
        <x:v>56-70 dB</x:v>
      </x:c>
      <x:c r="O1531" t="str">
        <x:f>IF(I1531&gt;70,"High",IF(I1531&gt;55,"Moderate","Low"))</x:f>
        <x:v>Moderate</x:v>
      </x:c>
      <x:c r="P1531" t="str">
        <x:f>IF(I1531&gt;=70,"Yes","No")</x:f>
        <x:v>No</x:v>
      </x:c>
      <x:c r="Q1531" t="str">
        <x:f>TEXT(B1531,"yyyy-mm")</x:f>
        <x:v>2023-11</x:v>
      </x:c>
    </x:row>
    <x:row r="1532">
      <x:c r="A1532" t="str">
        <x:v>HYD10</x:v>
      </x:c>
      <x:c r="B1532" s="22" t="n">
        <x:f>DATE(C1532,D1532,1)</x:f>
        <x:v>45261</x:v>
      </x:c>
      <x:c r="C1532" t="n">
        <x:v>2023</x:v>
      </x:c>
      <x:c r="D1532" t="n">
        <x:v>12</x:v>
      </x:c>
      <x:c r="E1532" t="str">
        <x:f>TEXT(B1532,"mmm")</x:f>
        <x:v>Dec</x:v>
      </x:c>
      <x:c r="F1532" t="str">
        <x:f>"Q"&amp;ROUNDUP(D1532/3,0)</x:f>
        <x:v>Q4</x:v>
      </x:c>
      <x:c r="G1532" s="23" t="n">
        <x:v>68.3</x:v>
      </x:c>
      <x:c r="H1532" s="23" t="n">
        <x:v>64.86</x:v>
      </x:c>
      <x:c r="I1532" s="23" t="n">
        <x:v>66.6</x:v>
      </x:c>
      <x:c r="J1532" s="23" t="n">
        <x:f>G1532-H1532</x:f>
        <x:v>3.4399999999999977</x:v>
      </x:c>
      <x:c r="K1532" t="str">
        <x:v>HINDCAST</x:v>
      </x:c>
      <x:c r="L1532" s="24" t="n">
        <x:v>17.4126</x:v>
      </x:c>
      <x:c r="M1532" s="24" t="n">
        <x:v>78.4484</x:v>
      </x:c>
      <x:c r="N1532" t="str">
        <x:f>IF(I1532&gt;70,"70+ dB",IF(I1532&gt;55,"56-70 dB","41-55 dB"))</x:f>
        <x:v>56-70 dB</x:v>
      </x:c>
      <x:c r="O1532" t="str">
        <x:f>IF(I1532&gt;70,"High",IF(I1532&gt;55,"Moderate","Low"))</x:f>
        <x:v>Moderate</x:v>
      </x:c>
      <x:c r="P1532" t="str">
        <x:f>IF(I1532&gt;=70,"Yes","No")</x:f>
        <x:v>No</x:v>
      </x:c>
      <x:c r="Q1532" t="str">
        <x:f>TEXT(B1532,"yyyy-mm")</x:f>
        <x:v>2023-12</x:v>
      </x:c>
    </x:row>
    <x:row r="1533">
      <x:c r="A1533" t="str">
        <x:v>HYD10</x:v>
      </x:c>
      <x:c r="B1533" s="22" t="n">
        <x:f>DATE(C1533,D1533,1)</x:f>
        <x:v>45292</x:v>
      </x:c>
      <x:c r="C1533" t="n">
        <x:v>2024</x:v>
      </x:c>
      <x:c r="D1533" t="n">
        <x:v>1</x:v>
      </x:c>
      <x:c r="E1533" t="str">
        <x:f>TEXT(B1533,"mmm")</x:f>
        <x:v>Jan</x:v>
      </x:c>
      <x:c r="F1533" t="str">
        <x:f>"Q"&amp;ROUNDUP(D1533/3,0)</x:f>
        <x:v>Q1</x:v>
      </x:c>
      <x:c r="G1533" s="23" t="n">
        <x:v>67.87</x:v>
      </x:c>
      <x:c r="H1533" s="23" t="n">
        <x:v>63.41</x:v>
      </x:c>
      <x:c r="I1533" s="23" t="n">
        <x:v>65.6</x:v>
      </x:c>
      <x:c r="J1533" s="23" t="n">
        <x:f>G1533-H1533</x:f>
        <x:v>4.460000000000008</x:v>
      </x:c>
      <x:c r="K1533" t="str">
        <x:v>HINDCAST</x:v>
      </x:c>
      <x:c r="L1533" s="24" t="n">
        <x:v>17.4126</x:v>
      </x:c>
      <x:c r="M1533" s="24" t="n">
        <x:v>78.4484</x:v>
      </x:c>
      <x:c r="N1533" t="str">
        <x:f>IF(I1533&gt;70,"70+ dB",IF(I1533&gt;55,"56-70 dB","41-55 dB"))</x:f>
        <x:v>56-70 dB</x:v>
      </x:c>
      <x:c r="O1533" t="str">
        <x:f>IF(I1533&gt;70,"High",IF(I1533&gt;55,"Moderate","Low"))</x:f>
        <x:v>Moderate</x:v>
      </x:c>
      <x:c r="P1533" t="str">
        <x:f>IF(I1533&gt;=70,"Yes","No")</x:f>
        <x:v>No</x:v>
      </x:c>
      <x:c r="Q1533" t="str">
        <x:f>TEXT(B1533,"yyyy-mm")</x:f>
        <x:v>2024-01</x:v>
      </x:c>
    </x:row>
    <x:row r="1534">
      <x:c r="A1534" t="str">
        <x:v>HYD10</x:v>
      </x:c>
      <x:c r="B1534" s="22" t="n">
        <x:f>DATE(C1534,D1534,1)</x:f>
        <x:v>45323</x:v>
      </x:c>
      <x:c r="C1534" t="n">
        <x:v>2024</x:v>
      </x:c>
      <x:c r="D1534" t="n">
        <x:v>2</x:v>
      </x:c>
      <x:c r="E1534" t="str">
        <x:f>TEXT(B1534,"mmm")</x:f>
        <x:v>Feb</x:v>
      </x:c>
      <x:c r="F1534" t="str">
        <x:f>"Q"&amp;ROUNDUP(D1534/3,0)</x:f>
        <x:v>Q1</x:v>
      </x:c>
      <x:c r="G1534" s="23" t="n">
        <x:v>67.7</x:v>
      </x:c>
      <x:c r="H1534" s="23" t="n">
        <x:v>64.61</x:v>
      </x:c>
      <x:c r="I1534" s="23" t="n">
        <x:v>66.2</x:v>
      </x:c>
      <x:c r="J1534" s="23" t="n">
        <x:f>G1534-H1534</x:f>
        <x:v>3.0900000000000034</x:v>
      </x:c>
      <x:c r="K1534" t="str">
        <x:v>HINDCAST</x:v>
      </x:c>
      <x:c r="L1534" s="24" t="n">
        <x:v>17.4126</x:v>
      </x:c>
      <x:c r="M1534" s="24" t="n">
        <x:v>78.4484</x:v>
      </x:c>
      <x:c r="N1534" t="str">
        <x:f>IF(I1534&gt;70,"70+ dB",IF(I1534&gt;55,"56-70 dB","41-55 dB"))</x:f>
        <x:v>56-70 dB</x:v>
      </x:c>
      <x:c r="O1534" t="str">
        <x:f>IF(I1534&gt;70,"High",IF(I1534&gt;55,"Moderate","Low"))</x:f>
        <x:v>Moderate</x:v>
      </x:c>
      <x:c r="P1534" t="str">
        <x:f>IF(I1534&gt;=70,"Yes","No")</x:f>
        <x:v>No</x:v>
      </x:c>
      <x:c r="Q1534" t="str">
        <x:f>TEXT(B1534,"yyyy-mm")</x:f>
        <x:v>2024-02</x:v>
      </x:c>
    </x:row>
    <x:row r="1535">
      <x:c r="A1535" t="str">
        <x:v>HYD10</x:v>
      </x:c>
      <x:c r="B1535" s="22" t="n">
        <x:f>DATE(C1535,D1535,1)</x:f>
        <x:v>45352</x:v>
      </x:c>
      <x:c r="C1535" t="n">
        <x:v>2024</x:v>
      </x:c>
      <x:c r="D1535" t="n">
        <x:v>3</x:v>
      </x:c>
      <x:c r="E1535" t="str">
        <x:f>TEXT(B1535,"mmm")</x:f>
        <x:v>Mar</x:v>
      </x:c>
      <x:c r="F1535" t="str">
        <x:f>"Q"&amp;ROUNDUP(D1535/3,0)</x:f>
        <x:v>Q1</x:v>
      </x:c>
      <x:c r="G1535" s="23" t="n">
        <x:v>66.89</x:v>
      </x:c>
      <x:c r="H1535" s="23" t="n">
        <x:v>63.8</x:v>
      </x:c>
      <x:c r="I1535" s="23" t="n">
        <x:v>65.3</x:v>
      </x:c>
      <x:c r="J1535" s="23" t="n">
        <x:f>G1535-H1535</x:f>
        <x:v>3.0900000000000034</x:v>
      </x:c>
      <x:c r="K1535" t="str">
        <x:v>HINDCAST</x:v>
      </x:c>
      <x:c r="L1535" s="24" t="n">
        <x:v>17.4126</x:v>
      </x:c>
      <x:c r="M1535" s="24" t="n">
        <x:v>78.4484</x:v>
      </x:c>
      <x:c r="N1535" t="str">
        <x:f>IF(I1535&gt;70,"70+ dB",IF(I1535&gt;55,"56-70 dB","41-55 dB"))</x:f>
        <x:v>56-70 dB</x:v>
      </x:c>
      <x:c r="O1535" t="str">
        <x:f>IF(I1535&gt;70,"High",IF(I1535&gt;55,"Moderate","Low"))</x:f>
        <x:v>Moderate</x:v>
      </x:c>
      <x:c r="P1535" t="str">
        <x:f>IF(I1535&gt;=70,"Yes","No")</x:f>
        <x:v>No</x:v>
      </x:c>
      <x:c r="Q1535" t="str">
        <x:f>TEXT(B1535,"yyyy-mm")</x:f>
        <x:v>2024-03</x:v>
      </x:c>
    </x:row>
    <x:row r="1536">
      <x:c r="A1536" t="str">
        <x:v>HYD10</x:v>
      </x:c>
      <x:c r="B1536" s="22" t="n">
        <x:f>DATE(C1536,D1536,1)</x:f>
        <x:v>45383</x:v>
      </x:c>
      <x:c r="C1536" t="n">
        <x:v>2024</x:v>
      </x:c>
      <x:c r="D1536" t="n">
        <x:v>4</x:v>
      </x:c>
      <x:c r="E1536" t="str">
        <x:f>TEXT(B1536,"mmm")</x:f>
        <x:v>Apr</x:v>
      </x:c>
      <x:c r="F1536" t="str">
        <x:f>"Q"&amp;ROUNDUP(D1536/3,0)</x:f>
        <x:v>Q2</x:v>
      </x:c>
      <x:c r="G1536" s="23" t="n">
        <x:v>67.32</x:v>
      </x:c>
      <x:c r="H1536" s="23" t="n">
        <x:v>64.61</x:v>
      </x:c>
      <x:c r="I1536" s="23" t="n">
        <x:v>66</x:v>
      </x:c>
      <x:c r="J1536" s="23" t="n">
        <x:f>G1536-H1536</x:f>
        <x:v>2.7099999999999937</x:v>
      </x:c>
      <x:c r="K1536" t="str">
        <x:v>HINDCAST</x:v>
      </x:c>
      <x:c r="L1536" s="24" t="n">
        <x:v>17.4126</x:v>
      </x:c>
      <x:c r="M1536" s="24" t="n">
        <x:v>78.4484</x:v>
      </x:c>
      <x:c r="N1536" t="str">
        <x:f>IF(I1536&gt;70,"70+ dB",IF(I1536&gt;55,"56-70 dB","41-55 dB"))</x:f>
        <x:v>56-70 dB</x:v>
      </x:c>
      <x:c r="O1536" t="str">
        <x:f>IF(I1536&gt;70,"High",IF(I1536&gt;55,"Moderate","Low"))</x:f>
        <x:v>Moderate</x:v>
      </x:c>
      <x:c r="P1536" t="str">
        <x:f>IF(I1536&gt;=70,"Yes","No")</x:f>
        <x:v>No</x:v>
      </x:c>
      <x:c r="Q1536" t="str">
        <x:f>TEXT(B1536,"yyyy-mm")</x:f>
        <x:v>2024-04</x:v>
      </x:c>
    </x:row>
    <x:row r="1537">
      <x:c r="A1537" t="str">
        <x:v>HYD10</x:v>
      </x:c>
      <x:c r="B1537" s="22" t="n">
        <x:f>DATE(C1537,D1537,1)</x:f>
        <x:v>45413</x:v>
      </x:c>
      <x:c r="C1537" t="n">
        <x:v>2024</x:v>
      </x:c>
      <x:c r="D1537" t="n">
        <x:v>5</x:v>
      </x:c>
      <x:c r="E1537" t="str">
        <x:f>TEXT(B1537,"mmm")</x:f>
        <x:v>May</x:v>
      </x:c>
      <x:c r="F1537" t="str">
        <x:f>"Q"&amp;ROUNDUP(D1537/3,0)</x:f>
        <x:v>Q2</x:v>
      </x:c>
      <x:c r="G1537" s="23" t="n">
        <x:v>67.33</x:v>
      </x:c>
      <x:c r="H1537" s="23" t="n">
        <x:v>65.71</x:v>
      </x:c>
      <x:c r="I1537" s="23" t="n">
        <x:v>66.5</x:v>
      </x:c>
      <x:c r="J1537" s="23" t="n">
        <x:f>G1537-H1537</x:f>
        <x:v>1.6200000000000045</x:v>
      </x:c>
      <x:c r="K1537" t="str">
        <x:v>HINDCAST</x:v>
      </x:c>
      <x:c r="L1537" s="24" t="n">
        <x:v>17.4126</x:v>
      </x:c>
      <x:c r="M1537" s="24" t="n">
        <x:v>78.4484</x:v>
      </x:c>
      <x:c r="N1537" t="str">
        <x:f>IF(I1537&gt;70,"70+ dB",IF(I1537&gt;55,"56-70 dB","41-55 dB"))</x:f>
        <x:v>56-70 dB</x:v>
      </x:c>
      <x:c r="O1537" t="str">
        <x:f>IF(I1537&gt;70,"High",IF(I1537&gt;55,"Moderate","Low"))</x:f>
        <x:v>Moderate</x:v>
      </x:c>
      <x:c r="P1537" t="str">
        <x:f>IF(I1537&gt;=70,"Yes","No")</x:f>
        <x:v>No</x:v>
      </x:c>
      <x:c r="Q1537" t="str">
        <x:f>TEXT(B1537,"yyyy-mm")</x:f>
        <x:v>2024-05</x:v>
      </x:c>
    </x:row>
    <x:row r="1538">
      <x:c r="A1538" t="str">
        <x:v>HYD10</x:v>
      </x:c>
      <x:c r="B1538" s="22" t="n">
        <x:f>DATE(C1538,D1538,1)</x:f>
        <x:v>45444</x:v>
      </x:c>
      <x:c r="C1538" t="n">
        <x:v>2024</x:v>
      </x:c>
      <x:c r="D1538" t="n">
        <x:v>6</x:v>
      </x:c>
      <x:c r="E1538" t="str">
        <x:f>TEXT(B1538,"mmm")</x:f>
        <x:v>Jun</x:v>
      </x:c>
      <x:c r="F1538" t="str">
        <x:f>"Q"&amp;ROUNDUP(D1538/3,0)</x:f>
        <x:v>Q2</x:v>
      </x:c>
      <x:c r="G1538" s="23" t="n">
        <x:v>67.99</x:v>
      </x:c>
      <x:c r="H1538" s="23" t="n">
        <x:v>65.8</x:v>
      </x:c>
      <x:c r="I1538" s="23" t="n">
        <x:v>66.9</x:v>
      </x:c>
      <x:c r="J1538" s="23" t="n">
        <x:f>G1538-H1538</x:f>
        <x:v>2.1899999999999977</x:v>
      </x:c>
      <x:c r="K1538" t="str">
        <x:v>HINDCAST</x:v>
      </x:c>
      <x:c r="L1538" s="24" t="n">
        <x:v>17.4126</x:v>
      </x:c>
      <x:c r="M1538" s="24" t="n">
        <x:v>78.4484</x:v>
      </x:c>
      <x:c r="N1538" t="str">
        <x:f>IF(I1538&gt;70,"70+ dB",IF(I1538&gt;55,"56-70 dB","41-55 dB"))</x:f>
        <x:v>56-70 dB</x:v>
      </x:c>
      <x:c r="O1538" t="str">
        <x:f>IF(I1538&gt;70,"High",IF(I1538&gt;55,"Moderate","Low"))</x:f>
        <x:v>Moderate</x:v>
      </x:c>
      <x:c r="P1538" t="str">
        <x:f>IF(I1538&gt;=70,"Yes","No")</x:f>
        <x:v>No</x:v>
      </x:c>
      <x:c r="Q1538" t="str">
        <x:f>TEXT(B1538,"yyyy-mm")</x:f>
        <x:v>2024-06</x:v>
      </x:c>
    </x:row>
    <x:row r="1539">
      <x:c r="A1539" t="str">
        <x:v>HYD10</x:v>
      </x:c>
      <x:c r="B1539" s="22" t="n">
        <x:f>DATE(C1539,D1539,1)</x:f>
        <x:v>45474</x:v>
      </x:c>
      <x:c r="C1539" t="n">
        <x:v>2024</x:v>
      </x:c>
      <x:c r="D1539" t="n">
        <x:v>7</x:v>
      </x:c>
      <x:c r="E1539" t="str">
        <x:f>TEXT(B1539,"mmm")</x:f>
        <x:v>Jul</x:v>
      </x:c>
      <x:c r="F1539" t="str">
        <x:f>"Q"&amp;ROUNDUP(D1539/3,0)</x:f>
        <x:v>Q3</x:v>
      </x:c>
      <x:c r="G1539" s="23" t="n">
        <x:v>69.97</x:v>
      </x:c>
      <x:c r="H1539" s="23" t="n">
        <x:v>66.86</x:v>
      </x:c>
      <x:c r="I1539" s="23" t="n">
        <x:v>68.4</x:v>
      </x:c>
      <x:c r="J1539" s="23" t="n">
        <x:f>G1539-H1539</x:f>
        <x:v>3.1099999999999994</x:v>
      </x:c>
      <x:c r="K1539" t="str">
        <x:v>HINDCAST</x:v>
      </x:c>
      <x:c r="L1539" s="24" t="n">
        <x:v>17.4126</x:v>
      </x:c>
      <x:c r="M1539" s="24" t="n">
        <x:v>78.4484</x:v>
      </x:c>
      <x:c r="N1539" t="str">
        <x:f>IF(I1539&gt;70,"70+ dB",IF(I1539&gt;55,"56-70 dB","41-55 dB"))</x:f>
        <x:v>56-70 dB</x:v>
      </x:c>
      <x:c r="O1539" t="str">
        <x:f>IF(I1539&gt;70,"High",IF(I1539&gt;55,"Moderate","Low"))</x:f>
        <x:v>Moderate</x:v>
      </x:c>
      <x:c r="P1539" t="str">
        <x:f>IF(I1539&gt;=70,"Yes","No")</x:f>
        <x:v>No</x:v>
      </x:c>
      <x:c r="Q1539" t="str">
        <x:f>TEXT(B1539,"yyyy-mm")</x:f>
        <x:v>2024-07</x:v>
      </x:c>
    </x:row>
    <x:row r="1540">
      <x:c r="A1540" t="str">
        <x:v>HYD10</x:v>
      </x:c>
      <x:c r="B1540" s="22" t="n">
        <x:f>DATE(C1540,D1540,1)</x:f>
        <x:v>45505</x:v>
      </x:c>
      <x:c r="C1540" t="n">
        <x:v>2024</x:v>
      </x:c>
      <x:c r="D1540" t="n">
        <x:v>8</x:v>
      </x:c>
      <x:c r="E1540" t="str">
        <x:f>TEXT(B1540,"mmm")</x:f>
        <x:v>Aug</x:v>
      </x:c>
      <x:c r="F1540" t="str">
        <x:f>"Q"&amp;ROUNDUP(D1540/3,0)</x:f>
        <x:v>Q3</x:v>
      </x:c>
      <x:c r="G1540" s="23" t="n">
        <x:v>70.58</x:v>
      </x:c>
      <x:c r="H1540" s="23" t="n">
        <x:v>66.18</x:v>
      </x:c>
      <x:c r="I1540" s="23" t="n">
        <x:v>68.4</x:v>
      </x:c>
      <x:c r="J1540" s="23" t="n">
        <x:f>G1540-H1540</x:f>
        <x:v>4.3999999999999915</x:v>
      </x:c>
      <x:c r="K1540" t="str">
        <x:v>HINDCAST</x:v>
      </x:c>
      <x:c r="L1540" s="24" t="n">
        <x:v>17.4126</x:v>
      </x:c>
      <x:c r="M1540" s="24" t="n">
        <x:v>78.4484</x:v>
      </x:c>
      <x:c r="N1540" t="str">
        <x:f>IF(I1540&gt;70,"70+ dB",IF(I1540&gt;55,"56-70 dB","41-55 dB"))</x:f>
        <x:v>56-70 dB</x:v>
      </x:c>
      <x:c r="O1540" t="str">
        <x:f>IF(I1540&gt;70,"High",IF(I1540&gt;55,"Moderate","Low"))</x:f>
        <x:v>Moderate</x:v>
      </x:c>
      <x:c r="P1540" t="str">
        <x:f>IF(I1540&gt;=70,"Yes","No")</x:f>
        <x:v>No</x:v>
      </x:c>
      <x:c r="Q1540" t="str">
        <x:f>TEXT(B1540,"yyyy-mm")</x:f>
        <x:v>2024-08</x:v>
      </x:c>
    </x:row>
    <x:row r="1541">
      <x:c r="A1541" t="str">
        <x:v>HYD10</x:v>
      </x:c>
      <x:c r="B1541" s="22" t="n">
        <x:f>DATE(C1541,D1541,1)</x:f>
        <x:v>45536</x:v>
      </x:c>
      <x:c r="C1541" t="n">
        <x:v>2024</x:v>
      </x:c>
      <x:c r="D1541" t="n">
        <x:v>9</x:v>
      </x:c>
      <x:c r="E1541" t="str">
        <x:f>TEXT(B1541,"mmm")</x:f>
        <x:v>Sep</x:v>
      </x:c>
      <x:c r="F1541" t="str">
        <x:f>"Q"&amp;ROUNDUP(D1541/3,0)</x:f>
        <x:v>Q3</x:v>
      </x:c>
      <x:c r="G1541" s="23" t="n">
        <x:v>68.29</x:v>
      </x:c>
      <x:c r="H1541" s="23" t="n">
        <x:v>64.1</x:v>
      </x:c>
      <x:c r="I1541" s="23" t="n">
        <x:v>66.2</x:v>
      </x:c>
      <x:c r="J1541" s="23" t="n">
        <x:f>G1541-H1541</x:f>
        <x:v>4.190000000000012</x:v>
      </x:c>
      <x:c r="K1541" t="str">
        <x:v>HINDCAST</x:v>
      </x:c>
      <x:c r="L1541" s="24" t="n">
        <x:v>17.4126</x:v>
      </x:c>
      <x:c r="M1541" s="24" t="n">
        <x:v>78.4484</x:v>
      </x:c>
      <x:c r="N1541" t="str">
        <x:f>IF(I1541&gt;70,"70+ dB",IF(I1541&gt;55,"56-70 dB","41-55 dB"))</x:f>
        <x:v>56-70 dB</x:v>
      </x:c>
      <x:c r="O1541" t="str">
        <x:f>IF(I1541&gt;70,"High",IF(I1541&gt;55,"Moderate","Low"))</x:f>
        <x:v>Moderate</x:v>
      </x:c>
      <x:c r="P1541" t="str">
        <x:f>IF(I1541&gt;=70,"Yes","No")</x:f>
        <x:v>No</x:v>
      </x:c>
      <x:c r="Q1541" t="str">
        <x:f>TEXT(B1541,"yyyy-mm")</x:f>
        <x:v>2024-09</x:v>
      </x:c>
    </x:row>
    <x:row r="1542">
      <x:c r="A1542" t="str">
        <x:v>HYD10</x:v>
      </x:c>
      <x:c r="B1542" s="22" t="n">
        <x:f>DATE(C1542,D1542,1)</x:f>
        <x:v>45566</x:v>
      </x:c>
      <x:c r="C1542" t="n">
        <x:v>2024</x:v>
      </x:c>
      <x:c r="D1542" t="n">
        <x:v>10</x:v>
      </x:c>
      <x:c r="E1542" t="str">
        <x:f>TEXT(B1542,"mmm")</x:f>
        <x:v>Oct</x:v>
      </x:c>
      <x:c r="F1542" t="str">
        <x:f>"Q"&amp;ROUNDUP(D1542/3,0)</x:f>
        <x:v>Q4</x:v>
      </x:c>
      <x:c r="G1542" s="23" t="n">
        <x:v>67.63</x:v>
      </x:c>
      <x:c r="H1542" s="23" t="n">
        <x:v>63.65</x:v>
      </x:c>
      <x:c r="I1542" s="23" t="n">
        <x:v>65.6</x:v>
      </x:c>
      <x:c r="J1542" s="23" t="n">
        <x:f>G1542-H1542</x:f>
        <x:v>3.979999999999997</x:v>
      </x:c>
      <x:c r="K1542" t="str">
        <x:v>HINDCAST</x:v>
      </x:c>
      <x:c r="L1542" s="24" t="n">
        <x:v>17.4126</x:v>
      </x:c>
      <x:c r="M1542" s="24" t="n">
        <x:v>78.4484</x:v>
      </x:c>
      <x:c r="N1542" t="str">
        <x:f>IF(I1542&gt;70,"70+ dB",IF(I1542&gt;55,"56-70 dB","41-55 dB"))</x:f>
        <x:v>56-70 dB</x:v>
      </x:c>
      <x:c r="O1542" t="str">
        <x:f>IF(I1542&gt;70,"High",IF(I1542&gt;55,"Moderate","Low"))</x:f>
        <x:v>Moderate</x:v>
      </x:c>
      <x:c r="P1542" t="str">
        <x:f>IF(I1542&gt;=70,"Yes","No")</x:f>
        <x:v>No</x:v>
      </x:c>
      <x:c r="Q1542" t="str">
        <x:f>TEXT(B1542,"yyyy-mm")</x:f>
        <x:v>2024-10</x:v>
      </x:c>
    </x:row>
    <x:row r="1543">
      <x:c r="A1543" t="str">
        <x:v>HYD10</x:v>
      </x:c>
      <x:c r="B1543" s="22" t="n">
        <x:f>DATE(C1543,D1543,1)</x:f>
        <x:v>45597</x:v>
      </x:c>
      <x:c r="C1543" t="n">
        <x:v>2024</x:v>
      </x:c>
      <x:c r="D1543" t="n">
        <x:v>11</x:v>
      </x:c>
      <x:c r="E1543" t="str">
        <x:f>TEXT(B1543,"mmm")</x:f>
        <x:v>Nov</x:v>
      </x:c>
      <x:c r="F1543" t="str">
        <x:f>"Q"&amp;ROUNDUP(D1543/3,0)</x:f>
        <x:v>Q4</x:v>
      </x:c>
      <x:c r="G1543" s="23" t="n">
        <x:v>68.25</x:v>
      </x:c>
      <x:c r="H1543" s="23" t="n">
        <x:v>64.71</x:v>
      </x:c>
      <x:c r="I1543" s="23" t="n">
        <x:v>66.5</x:v>
      </x:c>
      <x:c r="J1543" s="23" t="n">
        <x:f>G1543-H1543</x:f>
        <x:v>3.5400000000000063</x:v>
      </x:c>
      <x:c r="K1543" t="str">
        <x:v>HINDCAST</x:v>
      </x:c>
      <x:c r="L1543" s="24" t="n">
        <x:v>17.4126</x:v>
      </x:c>
      <x:c r="M1543" s="24" t="n">
        <x:v>78.4484</x:v>
      </x:c>
      <x:c r="N1543" t="str">
        <x:f>IF(I1543&gt;70,"70+ dB",IF(I1543&gt;55,"56-70 dB","41-55 dB"))</x:f>
        <x:v>56-70 dB</x:v>
      </x:c>
      <x:c r="O1543" t="str">
        <x:f>IF(I1543&gt;70,"High",IF(I1543&gt;55,"Moderate","Low"))</x:f>
        <x:v>Moderate</x:v>
      </x:c>
      <x:c r="P1543" t="str">
        <x:f>IF(I1543&gt;=70,"Yes","No")</x:f>
        <x:v>No</x:v>
      </x:c>
      <x:c r="Q1543" t="str">
        <x:f>TEXT(B1543,"yyyy-mm")</x:f>
        <x:v>2024-11</x:v>
      </x:c>
    </x:row>
    <x:row r="1544">
      <x:c r="A1544" t="str">
        <x:v>HYD10</x:v>
      </x:c>
      <x:c r="B1544" s="22" t="n">
        <x:f>DATE(C1544,D1544,1)</x:f>
        <x:v>45627</x:v>
      </x:c>
      <x:c r="C1544" t="n">
        <x:v>2024</x:v>
      </x:c>
      <x:c r="D1544" t="n">
        <x:v>12</x:v>
      </x:c>
      <x:c r="E1544" t="str">
        <x:f>TEXT(B1544,"mmm")</x:f>
        <x:v>Dec</x:v>
      </x:c>
      <x:c r="F1544" t="str">
        <x:f>"Q"&amp;ROUNDUP(D1544/3,0)</x:f>
        <x:v>Q4</x:v>
      </x:c>
      <x:c r="G1544" s="23" t="n">
        <x:v>67.97</x:v>
      </x:c>
      <x:c r="H1544" s="23" t="n">
        <x:v>64.66</x:v>
      </x:c>
      <x:c r="I1544" s="23" t="n">
        <x:v>66.3</x:v>
      </x:c>
      <x:c r="J1544" s="23" t="n">
        <x:f>G1544-H1544</x:f>
        <x:v>3.3100000000000023</x:v>
      </x:c>
      <x:c r="K1544" t="str">
        <x:v>HINDCAST</x:v>
      </x:c>
      <x:c r="L1544" s="24" t="n">
        <x:v>17.4126</x:v>
      </x:c>
      <x:c r="M1544" s="24" t="n">
        <x:v>78.4484</x:v>
      </x:c>
      <x:c r="N1544" t="str">
        <x:f>IF(I1544&gt;70,"70+ dB",IF(I1544&gt;55,"56-70 dB","41-55 dB"))</x:f>
        <x:v>56-70 dB</x:v>
      </x:c>
      <x:c r="O1544" t="str">
        <x:f>IF(I1544&gt;70,"High",IF(I1544&gt;55,"Moderate","Low"))</x:f>
        <x:v>Moderate</x:v>
      </x:c>
      <x:c r="P1544" t="str">
        <x:f>IF(I1544&gt;=70,"Yes","No")</x:f>
        <x:v>No</x:v>
      </x:c>
      <x:c r="Q1544" t="str">
        <x:f>TEXT(B1544,"yyyy-mm")</x:f>
        <x:v>2024-12</x:v>
      </x:c>
    </x:row>
    <x:row r="1545">
      <x:c r="A1545" t="str">
        <x:v>HYD10</x:v>
      </x:c>
      <x:c r="B1545" s="22" t="n">
        <x:f>DATE(C1545,D1545,1)</x:f>
        <x:v>45658</x:v>
      </x:c>
      <x:c r="C1545" t="n">
        <x:v>2025</x:v>
      </x:c>
      <x:c r="D1545" t="n">
        <x:v>1</x:v>
      </x:c>
      <x:c r="E1545" t="str">
        <x:f>TEXT(B1545,"mmm")</x:f>
        <x:v>Jan</x:v>
      </x:c>
      <x:c r="F1545" t="str">
        <x:f>"Q"&amp;ROUNDUP(D1545/3,0)</x:f>
        <x:v>Q1</x:v>
      </x:c>
      <x:c r="G1545" s="23" t="n">
        <x:v>67.52</x:v>
      </x:c>
      <x:c r="H1545" s="23" t="n">
        <x:v>62.97</x:v>
      </x:c>
      <x:c r="I1545" s="23" t="n">
        <x:v>65.2</x:v>
      </x:c>
      <x:c r="J1545" s="23" t="n">
        <x:f>G1545-H1545</x:f>
        <x:v>4.549999999999997</x:v>
      </x:c>
      <x:c r="K1545" t="str">
        <x:v>HINDCAST</x:v>
      </x:c>
      <x:c r="L1545" s="24" t="n">
        <x:v>17.4126</x:v>
      </x:c>
      <x:c r="M1545" s="24" t="n">
        <x:v>78.4484</x:v>
      </x:c>
      <x:c r="N1545" t="str">
        <x:f>IF(I1545&gt;70,"70+ dB",IF(I1545&gt;55,"56-70 dB","41-55 dB"))</x:f>
        <x:v>56-70 dB</x:v>
      </x:c>
      <x:c r="O1545" t="str">
        <x:f>IF(I1545&gt;70,"High",IF(I1545&gt;55,"Moderate","Low"))</x:f>
        <x:v>Moderate</x:v>
      </x:c>
      <x:c r="P1545" t="str">
        <x:f>IF(I1545&gt;=70,"Yes","No")</x:f>
        <x:v>No</x:v>
      </x:c>
      <x:c r="Q1545" t="str">
        <x:f>TEXT(B1545,"yyyy-mm")</x:f>
        <x:v>2025-01</x:v>
      </x:c>
    </x:row>
    <x:row r="1546">
      <x:c r="A1546" t="str">
        <x:v>HYD10</x:v>
      </x:c>
      <x:c r="B1546" s="22" t="n">
        <x:f>DATE(C1546,D1546,1)</x:f>
        <x:v>45689</x:v>
      </x:c>
      <x:c r="C1546" t="n">
        <x:v>2025</x:v>
      </x:c>
      <x:c r="D1546" t="n">
        <x:v>2</x:v>
      </x:c>
      <x:c r="E1546" t="str">
        <x:f>TEXT(B1546,"mmm")</x:f>
        <x:v>Feb</x:v>
      </x:c>
      <x:c r="F1546" t="str">
        <x:f>"Q"&amp;ROUNDUP(D1546/3,0)</x:f>
        <x:v>Q1</x:v>
      </x:c>
      <x:c r="G1546" s="23" t="n">
        <x:v>67.34</x:v>
      </x:c>
      <x:c r="H1546" s="23" t="n">
        <x:v>64.21</x:v>
      </x:c>
      <x:c r="I1546" s="23" t="n">
        <x:v>65.8</x:v>
      </x:c>
      <x:c r="J1546" s="23" t="n">
        <x:f>G1546-H1546</x:f>
        <x:v>3.1300000000000097</x:v>
      </x:c>
      <x:c r="K1546" t="str">
        <x:v>HINDCAST</x:v>
      </x:c>
      <x:c r="L1546" s="24" t="n">
        <x:v>17.4126</x:v>
      </x:c>
      <x:c r="M1546" s="24" t="n">
        <x:v>78.4484</x:v>
      </x:c>
      <x:c r="N1546" t="str">
        <x:f>IF(I1546&gt;70,"70+ dB",IF(I1546&gt;55,"56-70 dB","41-55 dB"))</x:f>
        <x:v>56-70 dB</x:v>
      </x:c>
      <x:c r="O1546" t="str">
        <x:f>IF(I1546&gt;70,"High",IF(I1546&gt;55,"Moderate","Low"))</x:f>
        <x:v>Moderate</x:v>
      </x:c>
      <x:c r="P1546" t="str">
        <x:f>IF(I1546&gt;=70,"Yes","No")</x:f>
        <x:v>No</x:v>
      </x:c>
      <x:c r="Q1546" t="str">
        <x:f>TEXT(B1546,"yyyy-mm")</x:f>
        <x:v>2025-02</x:v>
      </x:c>
    </x:row>
    <x:row r="1547">
      <x:c r="A1547" t="str">
        <x:v>HYD10</x:v>
      </x:c>
      <x:c r="B1547" s="22" t="n">
        <x:f>DATE(C1547,D1547,1)</x:f>
        <x:v>45717</x:v>
      </x:c>
      <x:c r="C1547" t="n">
        <x:v>2025</x:v>
      </x:c>
      <x:c r="D1547" t="n">
        <x:v>3</x:v>
      </x:c>
      <x:c r="E1547" t="str">
        <x:f>TEXT(B1547,"mmm")</x:f>
        <x:v>Mar</x:v>
      </x:c>
      <x:c r="F1547" t="str">
        <x:f>"Q"&amp;ROUNDUP(D1547/3,0)</x:f>
        <x:v>Q1</x:v>
      </x:c>
      <x:c r="G1547" s="23" t="n">
        <x:v>66.55</x:v>
      </x:c>
      <x:c r="H1547" s="23" t="n">
        <x:v>63.43</x:v>
      </x:c>
      <x:c r="I1547" s="23" t="n">
        <x:v>65</x:v>
      </x:c>
      <x:c r="J1547" s="23" t="n">
        <x:f>G1547-H1547</x:f>
        <x:v>3.1199999999999974</x:v>
      </x:c>
      <x:c r="K1547" t="str">
        <x:v>HINDCAST</x:v>
      </x:c>
      <x:c r="L1547" s="24" t="n">
        <x:v>17.4126</x:v>
      </x:c>
      <x:c r="M1547" s="24" t="n">
        <x:v>78.4484</x:v>
      </x:c>
      <x:c r="N1547" t="str">
        <x:f>IF(I1547&gt;70,"70+ dB",IF(I1547&gt;55,"56-70 dB","41-55 dB"))</x:f>
        <x:v>56-70 dB</x:v>
      </x:c>
      <x:c r="O1547" t="str">
        <x:f>IF(I1547&gt;70,"High",IF(I1547&gt;55,"Moderate","Low"))</x:f>
        <x:v>Moderate</x:v>
      </x:c>
      <x:c r="P1547" t="str">
        <x:f>IF(I1547&gt;=70,"Yes","No")</x:f>
        <x:v>No</x:v>
      </x:c>
      <x:c r="Q1547" t="str">
        <x:f>TEXT(B1547,"yyyy-mm")</x:f>
        <x:v>2025-03</x:v>
      </x:c>
    </x:row>
    <x:row r="1548">
      <x:c r="A1548" t="str">
        <x:v>HYD10</x:v>
      </x:c>
      <x:c r="B1548" s="22" t="n">
        <x:f>DATE(C1548,D1548,1)</x:f>
        <x:v>45748</x:v>
      </x:c>
      <x:c r="C1548" t="n">
        <x:v>2025</x:v>
      </x:c>
      <x:c r="D1548" t="n">
        <x:v>4</x:v>
      </x:c>
      <x:c r="E1548" t="str">
        <x:f>TEXT(B1548,"mmm")</x:f>
        <x:v>Apr</x:v>
      </x:c>
      <x:c r="F1548" t="str">
        <x:f>"Q"&amp;ROUNDUP(D1548/3,0)</x:f>
        <x:v>Q2</x:v>
      </x:c>
      <x:c r="G1548" s="23" t="n">
        <x:v>67.01</x:v>
      </x:c>
      <x:c r="H1548" s="23" t="n">
        <x:v>64.21</x:v>
      </x:c>
      <x:c r="I1548" s="23" t="n">
        <x:v>65.6</x:v>
      </x:c>
      <x:c r="J1548" s="23" t="n">
        <x:f>G1548-H1548</x:f>
        <x:v>2.8000000000000114</x:v>
      </x:c>
      <x:c r="K1548" t="str">
        <x:v>HINDCAST</x:v>
      </x:c>
      <x:c r="L1548" s="24" t="n">
        <x:v>17.4126</x:v>
      </x:c>
      <x:c r="M1548" s="24" t="n">
        <x:v>78.4484</x:v>
      </x:c>
      <x:c r="N1548" t="str">
        <x:f>IF(I1548&gt;70,"70+ dB",IF(I1548&gt;55,"56-70 dB","41-55 dB"))</x:f>
        <x:v>56-70 dB</x:v>
      </x:c>
      <x:c r="O1548" t="str">
        <x:f>IF(I1548&gt;70,"High",IF(I1548&gt;55,"Moderate","Low"))</x:f>
        <x:v>Moderate</x:v>
      </x:c>
      <x:c r="P1548" t="str">
        <x:f>IF(I1548&gt;=70,"Yes","No")</x:f>
        <x:v>No</x:v>
      </x:c>
      <x:c r="Q1548" t="str">
        <x:f>TEXT(B1548,"yyyy-mm")</x:f>
        <x:v>2025-04</x:v>
      </x:c>
    </x:row>
    <x:row r="1549">
      <x:c r="A1549" t="str">
        <x:v>HYD10</x:v>
      </x:c>
      <x:c r="B1549" s="22" t="n">
        <x:f>DATE(C1549,D1549,1)</x:f>
        <x:v>45778</x:v>
      </x:c>
      <x:c r="C1549" t="n">
        <x:v>2025</x:v>
      </x:c>
      <x:c r="D1549" t="n">
        <x:v>5</x:v>
      </x:c>
      <x:c r="E1549" t="str">
        <x:f>TEXT(B1549,"mmm")</x:f>
        <x:v>May</x:v>
      </x:c>
      <x:c r="F1549" t="str">
        <x:f>"Q"&amp;ROUNDUP(D1549/3,0)</x:f>
        <x:v>Q2</x:v>
      </x:c>
      <x:c r="G1549" s="23" t="n">
        <x:v>67.02</x:v>
      </x:c>
      <x:c r="H1549" s="23" t="n">
        <x:v>65.5</x:v>
      </x:c>
      <x:c r="I1549" s="23" t="n">
        <x:v>66.3</x:v>
      </x:c>
      <x:c r="J1549" s="23" t="n">
        <x:f>G1549-H1549</x:f>
        <x:v>1.519999999999996</x:v>
      </x:c>
      <x:c r="K1549" t="str">
        <x:v>HINDCAST</x:v>
      </x:c>
      <x:c r="L1549" s="24" t="n">
        <x:v>17.4126</x:v>
      </x:c>
      <x:c r="M1549" s="24" t="n">
        <x:v>78.4484</x:v>
      </x:c>
      <x:c r="N1549" t="str">
        <x:f>IF(I1549&gt;70,"70+ dB",IF(I1549&gt;55,"56-70 dB","41-55 dB"))</x:f>
        <x:v>56-70 dB</x:v>
      </x:c>
      <x:c r="O1549" t="str">
        <x:f>IF(I1549&gt;70,"High",IF(I1549&gt;55,"Moderate","Low"))</x:f>
        <x:v>Moderate</x:v>
      </x:c>
      <x:c r="P1549" t="str">
        <x:f>IF(I1549&gt;=70,"Yes","No")</x:f>
        <x:v>No</x:v>
      </x:c>
      <x:c r="Q1549" t="str">
        <x:f>TEXT(B1549,"yyyy-mm")</x:f>
        <x:v>2025-05</x:v>
      </x:c>
    </x:row>
    <x:row r="1550">
      <x:c r="A1550" t="str">
        <x:v>HYD10</x:v>
      </x:c>
      <x:c r="B1550" s="22" t="n">
        <x:f>DATE(C1550,D1550,1)</x:f>
        <x:v>45809</x:v>
      </x:c>
      <x:c r="C1550" t="n">
        <x:v>2025</x:v>
      </x:c>
      <x:c r="D1550" t="n">
        <x:v>6</x:v>
      </x:c>
      <x:c r="E1550" t="str">
        <x:f>TEXT(B1550,"mmm")</x:f>
        <x:v>Jun</x:v>
      </x:c>
      <x:c r="F1550" t="str">
        <x:f>"Q"&amp;ROUNDUP(D1550/3,0)</x:f>
        <x:v>Q2</x:v>
      </x:c>
      <x:c r="G1550" s="23" t="n">
        <x:v>67.65</x:v>
      </x:c>
      <x:c r="H1550" s="23" t="n">
        <x:v>65.43</x:v>
      </x:c>
      <x:c r="I1550" s="23" t="n">
        <x:v>66.5</x:v>
      </x:c>
      <x:c r="J1550" s="23" t="n">
        <x:f>G1550-H1550</x:f>
        <x:v>2.219999999999999</x:v>
      </x:c>
      <x:c r="K1550" t="str">
        <x:v>HINDCAST</x:v>
      </x:c>
      <x:c r="L1550" s="24" t="n">
        <x:v>17.4126</x:v>
      </x:c>
      <x:c r="M1550" s="24" t="n">
        <x:v>78.4484</x:v>
      </x:c>
      <x:c r="N1550" t="str">
        <x:f>IF(I1550&gt;70,"70+ dB",IF(I1550&gt;55,"56-70 dB","41-55 dB"))</x:f>
        <x:v>56-70 dB</x:v>
      </x:c>
      <x:c r="O1550" t="str">
        <x:f>IF(I1550&gt;70,"High",IF(I1550&gt;55,"Moderate","Low"))</x:f>
        <x:v>Moderate</x:v>
      </x:c>
      <x:c r="P1550" t="str">
        <x:f>IF(I1550&gt;=70,"Yes","No")</x:f>
        <x:v>No</x:v>
      </x:c>
      <x:c r="Q1550" t="str">
        <x:f>TEXT(B1550,"yyyy-mm")</x:f>
        <x:v>2025-06</x:v>
      </x:c>
    </x:row>
    <x:row r="1551">
      <x:c r="A1551" t="str">
        <x:v>HYD10</x:v>
      </x:c>
      <x:c r="B1551" s="22" t="n">
        <x:f>DATE(C1551,D1551,1)</x:f>
        <x:v>45839</x:v>
      </x:c>
      <x:c r="C1551" t="n">
        <x:v>2025</x:v>
      </x:c>
      <x:c r="D1551" t="n">
        <x:v>7</x:v>
      </x:c>
      <x:c r="E1551" t="str">
        <x:f>TEXT(B1551,"mmm")</x:f>
        <x:v>Jul</x:v>
      </x:c>
      <x:c r="F1551" t="str">
        <x:f>"Q"&amp;ROUNDUP(D1551/3,0)</x:f>
        <x:v>Q3</x:v>
      </x:c>
      <x:c r="G1551" s="23" t="n">
        <x:v>69.64</x:v>
      </x:c>
      <x:c r="H1551" s="23" t="n">
        <x:v>66.51</x:v>
      </x:c>
      <x:c r="I1551" s="23" t="n">
        <x:v>68.1</x:v>
      </x:c>
      <x:c r="J1551" s="23" t="n">
        <x:f>G1551-H1551</x:f>
        <x:v>3.1299999999999955</x:v>
      </x:c>
      <x:c r="K1551" t="str">
        <x:v>HINDCAST</x:v>
      </x:c>
      <x:c r="L1551" s="24" t="n">
        <x:v>17.4126</x:v>
      </x:c>
      <x:c r="M1551" s="24" t="n">
        <x:v>78.4484</x:v>
      </x:c>
      <x:c r="N1551" t="str">
        <x:f>IF(I1551&gt;70,"70+ dB",IF(I1551&gt;55,"56-70 dB","41-55 dB"))</x:f>
        <x:v>56-70 dB</x:v>
      </x:c>
      <x:c r="O1551" t="str">
        <x:f>IF(I1551&gt;70,"High",IF(I1551&gt;55,"Moderate","Low"))</x:f>
        <x:v>Moderate</x:v>
      </x:c>
      <x:c r="P1551" t="str">
        <x:f>IF(I1551&gt;=70,"Yes","No")</x:f>
        <x:v>No</x:v>
      </x:c>
      <x:c r="Q1551" t="str">
        <x:f>TEXT(B1551,"yyyy-mm")</x:f>
        <x:v>2025-07</x:v>
      </x:c>
    </x:row>
    <x:row r="1552">
      <x:c r="A1552" t="str">
        <x:v>HYD10</x:v>
      </x:c>
      <x:c r="B1552" s="22" t="n">
        <x:f>DATE(C1552,D1552,1)</x:f>
        <x:v>45870</x:v>
      </x:c>
      <x:c r="C1552" t="n">
        <x:v>2025</x:v>
      </x:c>
      <x:c r="D1552" t="n">
        <x:v>8</x:v>
      </x:c>
      <x:c r="E1552" t="str">
        <x:f>TEXT(B1552,"mmm")</x:f>
        <x:v>Aug</x:v>
      </x:c>
      <x:c r="F1552" t="str">
        <x:f>"Q"&amp;ROUNDUP(D1552/3,0)</x:f>
        <x:v>Q3</x:v>
      </x:c>
      <x:c r="G1552" s="23" t="n">
        <x:v>70.22</x:v>
      </x:c>
      <x:c r="H1552" s="23" t="n">
        <x:v>65.7</x:v>
      </x:c>
      <x:c r="I1552" s="23" t="n">
        <x:v>68</x:v>
      </x:c>
      <x:c r="J1552" s="23" t="n">
        <x:f>G1552-H1552</x:f>
        <x:v>4.519999999999996</x:v>
      </x:c>
      <x:c r="K1552" t="str">
        <x:v>HINDCAST</x:v>
      </x:c>
      <x:c r="L1552" s="24" t="n">
        <x:v>17.4126</x:v>
      </x:c>
      <x:c r="M1552" s="24" t="n">
        <x:v>78.4484</x:v>
      </x:c>
      <x:c r="N1552" t="str">
        <x:f>IF(I1552&gt;70,"70+ dB",IF(I1552&gt;55,"56-70 dB","41-55 dB"))</x:f>
        <x:v>56-70 dB</x:v>
      </x:c>
      <x:c r="O1552" t="str">
        <x:f>IF(I1552&gt;70,"High",IF(I1552&gt;55,"Moderate","Low"))</x:f>
        <x:v>Moderate</x:v>
      </x:c>
      <x:c r="P1552" t="str">
        <x:f>IF(I1552&gt;=70,"Yes","No")</x:f>
        <x:v>No</x:v>
      </x:c>
      <x:c r="Q1552" t="str">
        <x:f>TEXT(B1552,"yyyy-mm")</x:f>
        <x:v>2025-08</x:v>
      </x:c>
    </x:row>
    <x:row r="1553">
      <x:c r="A1553" t="str">
        <x:v>HYD10</x:v>
      </x:c>
      <x:c r="B1553" s="22" t="n">
        <x:f>DATE(C1553,D1553,1)</x:f>
        <x:v>45901</x:v>
      </x:c>
      <x:c r="C1553" t="n">
        <x:v>2025</x:v>
      </x:c>
      <x:c r="D1553" t="n">
        <x:v>9</x:v>
      </x:c>
      <x:c r="E1553" t="str">
        <x:f>TEXT(B1553,"mmm")</x:f>
        <x:v>Sep</x:v>
      </x:c>
      <x:c r="F1553" t="str">
        <x:f>"Q"&amp;ROUNDUP(D1553/3,0)</x:f>
        <x:v>Q3</x:v>
      </x:c>
      <x:c r="G1553" s="23" t="n">
        <x:v>67.91</x:v>
      </x:c>
      <x:c r="H1553" s="23" t="n">
        <x:v>63.6</x:v>
      </x:c>
      <x:c r="I1553" s="23" t="n">
        <x:v>65.8</x:v>
      </x:c>
      <x:c r="J1553" s="23" t="n">
        <x:f>G1553-H1553</x:f>
        <x:v>4.309999999999995</x:v>
      </x:c>
      <x:c r="K1553" t="str">
        <x:v>HINDCAST</x:v>
      </x:c>
      <x:c r="L1553" s="24" t="n">
        <x:v>17.4126</x:v>
      </x:c>
      <x:c r="M1553" s="24" t="n">
        <x:v>78.4484</x:v>
      </x:c>
      <x:c r="N1553" t="str">
        <x:f>IF(I1553&gt;70,"70+ dB",IF(I1553&gt;55,"56-70 dB","41-55 dB"))</x:f>
        <x:v>56-70 dB</x:v>
      </x:c>
      <x:c r="O1553" t="str">
        <x:f>IF(I1553&gt;70,"High",IF(I1553&gt;55,"Moderate","Low"))</x:f>
        <x:v>Moderate</x:v>
      </x:c>
      <x:c r="P1553" t="str">
        <x:f>IF(I1553&gt;=70,"Yes","No")</x:f>
        <x:v>No</x:v>
      </x:c>
      <x:c r="Q1553" t="str">
        <x:f>TEXT(B1553,"yyyy-mm")</x:f>
        <x:v>2025-09</x:v>
      </x:c>
    </x:row>
    <x:row r="1554">
      <x:c r="A1554" t="str">
        <x:v>HYD10</x:v>
      </x:c>
      <x:c r="B1554" s="22" t="n">
        <x:f>DATE(C1554,D1554,1)</x:f>
        <x:v>45931</x:v>
      </x:c>
      <x:c r="C1554" t="n">
        <x:v>2025</x:v>
      </x:c>
      <x:c r="D1554" t="n">
        <x:v>10</x:v>
      </x:c>
      <x:c r="E1554" t="str">
        <x:f>TEXT(B1554,"mmm")</x:f>
        <x:v>Oct</x:v>
      </x:c>
      <x:c r="F1554" t="str">
        <x:f>"Q"&amp;ROUNDUP(D1554/3,0)</x:f>
        <x:v>Q4</x:v>
      </x:c>
      <x:c r="G1554" s="23" t="n">
        <x:v>67.27</x:v>
      </x:c>
      <x:c r="H1554" s="23" t="n">
        <x:v>63.08</x:v>
      </x:c>
      <x:c r="I1554" s="23" t="n">
        <x:v>65.2</x:v>
      </x:c>
      <x:c r="J1554" s="23" t="n">
        <x:f>G1554-H1554</x:f>
        <x:v>4.189999999999998</x:v>
      </x:c>
      <x:c r="K1554" t="str">
        <x:v>HINDCAST</x:v>
      </x:c>
      <x:c r="L1554" s="24" t="n">
        <x:v>17.4126</x:v>
      </x:c>
      <x:c r="M1554" s="24" t="n">
        <x:v>78.4484</x:v>
      </x:c>
      <x:c r="N1554" t="str">
        <x:f>IF(I1554&gt;70,"70+ dB",IF(I1554&gt;55,"56-70 dB","41-55 dB"))</x:f>
        <x:v>56-70 dB</x:v>
      </x:c>
      <x:c r="O1554" t="str">
        <x:f>IF(I1554&gt;70,"High",IF(I1554&gt;55,"Moderate","Low"))</x:f>
        <x:v>Moderate</x:v>
      </x:c>
      <x:c r="P1554" t="str">
        <x:f>IF(I1554&gt;=70,"Yes","No")</x:f>
        <x:v>No</x:v>
      </x:c>
      <x:c r="Q1554" t="str">
        <x:f>TEXT(B1554,"yyyy-mm")</x:f>
        <x:v>2025-10</x:v>
      </x:c>
    </x:row>
    <x:row r="1555">
      <x:c r="A1555" t="str">
        <x:v>HYD10</x:v>
      </x:c>
      <x:c r="B1555" s="22" t="n">
        <x:f>DATE(C1555,D1555,1)</x:f>
        <x:v>45962</x:v>
      </x:c>
      <x:c r="C1555" t="n">
        <x:v>2025</x:v>
      </x:c>
      <x:c r="D1555" t="n">
        <x:v>11</x:v>
      </x:c>
      <x:c r="E1555" t="str">
        <x:f>TEXT(B1555,"mmm")</x:f>
        <x:v>Nov</x:v>
      </x:c>
      <x:c r="F1555" t="str">
        <x:f>"Q"&amp;ROUNDUP(D1555/3,0)</x:f>
        <x:v>Q4</x:v>
      </x:c>
      <x:c r="G1555" s="23" t="n">
        <x:v>67.93</x:v>
      </x:c>
      <x:c r="H1555" s="23" t="n">
        <x:v>64.33</x:v>
      </x:c>
      <x:c r="I1555" s="23" t="n">
        <x:v>66.1</x:v>
      </x:c>
      <x:c r="J1555" s="23" t="n">
        <x:f>G1555-H1555</x:f>
        <x:v>3.6000000000000085</x:v>
      </x:c>
      <x:c r="K1555" t="str">
        <x:v>HINDCAST</x:v>
      </x:c>
      <x:c r="L1555" s="24" t="n">
        <x:v>17.4126</x:v>
      </x:c>
      <x:c r="M1555" s="24" t="n">
        <x:v>78.4484</x:v>
      </x:c>
      <x:c r="N1555" t="str">
        <x:f>IF(I1555&gt;70,"70+ dB",IF(I1555&gt;55,"56-70 dB","41-55 dB"))</x:f>
        <x:v>56-70 dB</x:v>
      </x:c>
      <x:c r="O1555" t="str">
        <x:f>IF(I1555&gt;70,"High",IF(I1555&gt;55,"Moderate","Low"))</x:f>
        <x:v>Moderate</x:v>
      </x:c>
      <x:c r="P1555" t="str">
        <x:f>IF(I1555&gt;=70,"Yes","No")</x:f>
        <x:v>No</x:v>
      </x:c>
      <x:c r="Q1555" t="str">
        <x:f>TEXT(B1555,"yyyy-mm")</x:f>
        <x:v>2025-11</x:v>
      </x:c>
    </x:row>
    <x:row r="1556">
      <x:c r="A1556" t="str">
        <x:v>HYD10</x:v>
      </x:c>
      <x:c r="B1556" s="22" t="n">
        <x:f>DATE(C1556,D1556,1)</x:f>
        <x:v>45992</x:v>
      </x:c>
      <x:c r="C1556" t="n">
        <x:v>2025</x:v>
      </x:c>
      <x:c r="D1556" t="n">
        <x:v>12</x:v>
      </x:c>
      <x:c r="E1556" t="str">
        <x:f>TEXT(B1556,"mmm")</x:f>
        <x:v>Dec</x:v>
      </x:c>
      <x:c r="F1556" t="str">
        <x:f>"Q"&amp;ROUNDUP(D1556/3,0)</x:f>
        <x:v>Q4</x:v>
      </x:c>
      <x:c r="G1556" s="23" t="n">
        <x:v>67.63</x:v>
      </x:c>
      <x:c r="H1556" s="23" t="n">
        <x:v>64.26</x:v>
      </x:c>
      <x:c r="I1556" s="23" t="n">
        <x:v>65.9</x:v>
      </x:c>
      <x:c r="J1556" s="23" t="n">
        <x:f>G1556-H1556</x:f>
        <x:v>3.3699999999999903</x:v>
      </x:c>
      <x:c r="K1556" t="str">
        <x:v>HINDCAST</x:v>
      </x:c>
      <x:c r="L1556" s="24" t="n">
        <x:v>17.4126</x:v>
      </x:c>
      <x:c r="M1556" s="24" t="n">
        <x:v>78.4484</x:v>
      </x:c>
      <x:c r="N1556" t="str">
        <x:f>IF(I1556&gt;70,"70+ dB",IF(I1556&gt;55,"56-70 dB","41-55 dB"))</x:f>
        <x:v>56-70 dB</x:v>
      </x:c>
      <x:c r="O1556" t="str">
        <x:f>IF(I1556&gt;70,"High",IF(I1556&gt;55,"Moderate","Low"))</x:f>
        <x:v>Moderate</x:v>
      </x:c>
      <x:c r="P1556" t="str">
        <x:f>IF(I1556&gt;=70,"Yes","No")</x:f>
        <x:v>No</x:v>
      </x:c>
      <x:c r="Q1556" t="str">
        <x:f>TEXT(B1556,"yyyy-mm")</x:f>
        <x:v>2025-12</x:v>
      </x:c>
    </x:row>
  </x:sheetData>
  <x:pageMargins left="0.7" right="0.7" top="0.75" bottom="0.75" header="0.3" footer="0.3"/>
  <x:tableParts count="1">
    <x:tablePart xmlns:r="http://schemas.openxmlformats.org/officeDocument/2006/relationships" r:id="R6d3d9401f4cc44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30000114440918" hidden="0" customWidth="1"/>
    <x:col min="2" max="2" width="15.75" hidden="0" customWidth="1"/>
    <x:col min="3" max="3" width="13.880000114440918" hidden="0" customWidth="1"/>
    <x:col min="4" max="4" width="13.630000114440918" hidden="0" customWidth="1"/>
    <x:col min="5" max="5" width="22.6299991607666" hidden="0" customWidth="1"/>
    <x:col min="6" max="6" width="21" hidden="0" customWidth="1"/>
    <x:col min="7" max="7" width="9" hidden="0" customWidth="1"/>
    <x:col min="8" max="8" width="14" hidden="0" customWidth="1"/>
    <x:col min="9" max="9" width="13.630000114440918" hidden="0" customWidth="1"/>
    <x:col min="10" max="10" width="42" hidden="0" customWidth="1"/>
    <x:col min="11" max="11" width="13.880000114440918" hidden="0" customWidth="1"/>
    <x:col min="12" max="12" width="19.25" hidden="0" customWidth="1"/>
    <x:col min="13" max="13" width="11.630000114440918" hidden="0" customWidth="1"/>
  </x:cols>
  <x:sheetData>
    <x:row r="1">
      <x:c r="A1" t="str">
        <x:v>Station</x:v>
      </x:c>
      <x:c r="B1" t="str">
        <x:v>Horizon_Months</x:v>
      </x:c>
      <x:c r="C1" t="str">
        <x:v>Forecast_Date</x:v>
      </x:c>
      <x:c r="D1" t="str">
        <x:v>Forecast_Year</x:v>
      </x:c>
      <x:c r="E1" t="str">
        <x:v>Forecast_Month_Number</x:v>
      </x:c>
      <x:c r="F1" t="str">
        <x:v>Forecast_Month_Name</x:v>
      </x:c>
      <x:c r="G1" t="str">
        <x:v>Quarter</x:v>
      </x:c>
      <x:c r="H1" t="str">
        <x:v>Predicted_AQI</x:v>
      </x:c>
      <x:c r="I1" t="str">
        <x:v>AQI_Category</x:v>
      </x:c>
      <x:c r="J1" t="str">
        <x:v>Health_Concern</x:v>
      </x:c>
      <x:c r="K1" t="str">
        <x:v>Severity_Rank</x:v>
      </x:c>
      <x:c r="L1" t="str">
        <x:v>Poor_Or_Worse_Flag</x:v>
      </x:c>
      <x:c r="M1" t="str">
        <x:v>Period_Key</x:v>
      </x:c>
    </x:row>
    <x:row r="2">
      <x:c r="A2" t="str">
        <x:v>Ameerpet</x:v>
      </x:c>
      <x:c r="B2" t="n">
        <x:v>1</x:v>
      </x:c>
      <x:c r="C2" s="22" t="n">
        <x:v>46054</x:v>
      </x:c>
      <x:c r="D2" t="n">
        <x:f>YEAR(C2)</x:f>
        <x:v>2026</x:v>
      </x:c>
      <x:c r="E2" t="n">
        <x:f>MONTH(C2)</x:f>
        <x:v>2</x:v>
      </x:c>
      <x:c r="F2" t="str">
        <x:f>TEXT(C2,"mmm")</x:f>
        <x:v>Feb</x:v>
      </x:c>
      <x:c r="G2" t="str">
        <x:f>"Q"&amp;ROUNDUP(E2/3,0)</x:f>
        <x:v>Q1</x:v>
      </x:c>
      <x:c r="H2" s="25" t="n">
        <x:v>261.67</x:v>
      </x:c>
      <x:c r="I2" t="str">
        <x:f>IF(H2&lt;=50,"Good",IF(H2&lt;=100,"Satisfactory",IF(H2&lt;=200,"Moderate",IF(H2&lt;=300,"Poor",IF(H2&lt;=400,"Very Poor","Severe")))))</x:f>
        <x:v>Poor</x:v>
      </x:c>
      <x:c r="J2" s="20" t="str">
        <x:f>IF(H2&lt;=50,"Minimal",IF(H2&lt;=100,"Minor discomfort",IF(H2&lt;=200,"Breathing discomfort for sensitive groups",IF(H2&lt;=300,"Breathing discomfort on prolonged exposure",IF(H2&lt;=400,"Respiratory illness risk","Serious health impact")))))</x:f>
        <x:v>Breathing discomfort on prolonged exposure</x:v>
      </x:c>
      <x:c r="K2" t="n">
        <x:f>IF(H2&lt;=50,1,IF(H2&lt;=100,2,IF(H2&lt;=200,3,IF(H2&lt;=300,4,IF(H2&lt;=400,5,6)))))</x:f>
        <x:v>4</x:v>
      </x:c>
      <x:c r="L2" t="str">
        <x:f>IF(H2&gt;200,"Yes","No")</x:f>
        <x:v>Yes</x:v>
      </x:c>
      <x:c r="M2" t="str">
        <x:f>TEXT(C2,"yyyy-mm")</x:f>
        <x:v>2026-02</x:v>
      </x:c>
    </x:row>
    <x:row r="3">
      <x:c r="A3" t="str">
        <x:v>Ameerpet</x:v>
      </x:c>
      <x:c r="B3" t="n">
        <x:v>2</x:v>
      </x:c>
      <x:c r="C3" s="22" t="n">
        <x:v>46082</x:v>
      </x:c>
      <x:c r="D3" t="n">
        <x:f>YEAR(C3)</x:f>
        <x:v>2026</x:v>
      </x:c>
      <x:c r="E3" t="n">
        <x:f>MONTH(C3)</x:f>
        <x:v>3</x:v>
      </x:c>
      <x:c r="F3" t="str">
        <x:f>TEXT(C3,"mmm")</x:f>
        <x:v>Mar</x:v>
      </x:c>
      <x:c r="G3" t="str">
        <x:f>"Q"&amp;ROUNDUP(E3/3,0)</x:f>
        <x:v>Q1</x:v>
      </x:c>
      <x:c r="H3" s="25" t="n">
        <x:v>239.61</x:v>
      </x:c>
      <x:c r="I3" t="str">
        <x:f>IF(H3&lt;=50,"Good",IF(H3&lt;=100,"Satisfactory",IF(H3&lt;=200,"Moderate",IF(H3&lt;=300,"Poor",IF(H3&lt;=400,"Very Poor","Severe")))))</x:f>
        <x:v>Poor</x:v>
      </x:c>
      <x:c r="J3" s="20" t="str">
        <x:f>IF(H3&lt;=50,"Minimal",IF(H3&lt;=100,"Minor discomfort",IF(H3&lt;=200,"Breathing discomfort for sensitive groups",IF(H3&lt;=300,"Breathing discomfort on prolonged exposure",IF(H3&lt;=400,"Respiratory illness risk","Serious health impact")))))</x:f>
        <x:v>Breathing discomfort on prolonged exposure</x:v>
      </x:c>
      <x:c r="K3" t="n">
        <x:f>IF(H3&lt;=50,1,IF(H3&lt;=100,2,IF(H3&lt;=200,3,IF(H3&lt;=300,4,IF(H3&lt;=400,5,6)))))</x:f>
        <x:v>4</x:v>
      </x:c>
      <x:c r="L3" t="str">
        <x:f>IF(H3&gt;200,"Yes","No")</x:f>
        <x:v>Yes</x:v>
      </x:c>
      <x:c r="M3" t="str">
        <x:f>TEXT(C3,"yyyy-mm")</x:f>
        <x:v>2026-03</x:v>
      </x:c>
    </x:row>
    <x:row r="4">
      <x:c r="A4" t="str">
        <x:v>Ameerpet</x:v>
      </x:c>
      <x:c r="B4" t="n">
        <x:v>3</x:v>
      </x:c>
      <x:c r="C4" s="22" t="n">
        <x:v>46113</x:v>
      </x:c>
      <x:c r="D4" t="n">
        <x:f>YEAR(C4)</x:f>
        <x:v>2026</x:v>
      </x:c>
      <x:c r="E4" t="n">
        <x:f>MONTH(C4)</x:f>
        <x:v>4</x:v>
      </x:c>
      <x:c r="F4" t="str">
        <x:f>TEXT(C4,"mmm")</x:f>
        <x:v>Apr</x:v>
      </x:c>
      <x:c r="G4" t="str">
        <x:f>"Q"&amp;ROUNDUP(E4/3,0)</x:f>
        <x:v>Q2</x:v>
      </x:c>
      <x:c r="H4" s="25" t="n">
        <x:v>261.88</x:v>
      </x:c>
      <x:c r="I4" t="str">
        <x:f>IF(H4&lt;=50,"Good",IF(H4&lt;=100,"Satisfactory",IF(H4&lt;=200,"Moderate",IF(H4&lt;=300,"Poor",IF(H4&lt;=400,"Very Poor","Severe")))))</x:f>
        <x:v>Poor</x:v>
      </x:c>
      <x:c r="J4" s="20" t="str">
        <x:f>IF(H4&lt;=50,"Minimal",IF(H4&lt;=100,"Minor discomfort",IF(H4&lt;=200,"Breathing discomfort for sensitive groups",IF(H4&lt;=300,"Breathing discomfort on prolonged exposure",IF(H4&lt;=400,"Respiratory illness risk","Serious health impact")))))</x:f>
        <x:v>Breathing discomfort on prolonged exposure</x:v>
      </x:c>
      <x:c r="K4" t="n">
        <x:f>IF(H4&lt;=50,1,IF(H4&lt;=100,2,IF(H4&lt;=200,3,IF(H4&lt;=300,4,IF(H4&lt;=400,5,6)))))</x:f>
        <x:v>4</x:v>
      </x:c>
      <x:c r="L4" t="str">
        <x:f>IF(H4&gt;200,"Yes","No")</x:f>
        <x:v>Yes</x:v>
      </x:c>
      <x:c r="M4" t="str">
        <x:f>TEXT(C4,"yyyy-mm")</x:f>
        <x:v>2026-04</x:v>
      </x:c>
    </x:row>
    <x:row r="5">
      <x:c r="A5" t="str">
        <x:v>Ameerpet</x:v>
      </x:c>
      <x:c r="B5" t="n">
        <x:v>6</x:v>
      </x:c>
      <x:c r="C5" s="22" t="n">
        <x:v>46204</x:v>
      </x:c>
      <x:c r="D5" t="n">
        <x:f>YEAR(C5)</x:f>
        <x:v>2026</x:v>
      </x:c>
      <x:c r="E5" t="n">
        <x:f>MONTH(C5)</x:f>
        <x:v>7</x:v>
      </x:c>
      <x:c r="F5" t="str">
        <x:f>TEXT(C5,"mmm")</x:f>
        <x:v>Jul</x:v>
      </x:c>
      <x:c r="G5" t="str">
        <x:f>"Q"&amp;ROUNDUP(E5/3,0)</x:f>
        <x:v>Q3</x:v>
      </x:c>
      <x:c r="H5" s="25" t="n">
        <x:v>242.02</x:v>
      </x:c>
      <x:c r="I5" t="str">
        <x:f>IF(H5&lt;=50,"Good",IF(H5&lt;=100,"Satisfactory",IF(H5&lt;=200,"Moderate",IF(H5&lt;=300,"Poor",IF(H5&lt;=400,"Very Poor","Severe")))))</x:f>
        <x:v>Poor</x:v>
      </x:c>
      <x:c r="J5" s="20" t="str">
        <x:f>IF(H5&lt;=50,"Minimal",IF(H5&lt;=100,"Minor discomfort",IF(H5&lt;=200,"Breathing discomfort for sensitive groups",IF(H5&lt;=300,"Breathing discomfort on prolonged exposure",IF(H5&lt;=400,"Respiratory illness risk","Serious health impact")))))</x:f>
        <x:v>Breathing discomfort on prolonged exposure</x:v>
      </x:c>
      <x:c r="K5" t="n">
        <x:f>IF(H5&lt;=50,1,IF(H5&lt;=100,2,IF(H5&lt;=200,3,IF(H5&lt;=300,4,IF(H5&lt;=400,5,6)))))</x:f>
        <x:v>4</x:v>
      </x:c>
      <x:c r="L5" t="str">
        <x:f>IF(H5&gt;200,"Yes","No")</x:f>
        <x:v>Yes</x:v>
      </x:c>
      <x:c r="M5" t="str">
        <x:f>TEXT(C5,"yyyy-mm")</x:f>
        <x:v>2026-07</x:v>
      </x:c>
    </x:row>
    <x:row r="6">
      <x:c r="A6" t="str">
        <x:v>Banjara Hills</x:v>
      </x:c>
      <x:c r="B6" t="n">
        <x:v>1</x:v>
      </x:c>
      <x:c r="C6" s="22" t="n">
        <x:v>46054</x:v>
      </x:c>
      <x:c r="D6" t="n">
        <x:f>YEAR(C6)</x:f>
        <x:v>2026</x:v>
      </x:c>
      <x:c r="E6" t="n">
        <x:f>MONTH(C6)</x:f>
        <x:v>2</x:v>
      </x:c>
      <x:c r="F6" t="str">
        <x:f>TEXT(C6,"mmm")</x:f>
        <x:v>Feb</x:v>
      </x:c>
      <x:c r="G6" t="str">
        <x:f>"Q"&amp;ROUNDUP(E6/3,0)</x:f>
        <x:v>Q1</x:v>
      </x:c>
      <x:c r="H6" s="25" t="n">
        <x:v>223</x:v>
      </x:c>
      <x:c r="I6" t="str">
        <x:f>IF(H6&lt;=50,"Good",IF(H6&lt;=100,"Satisfactory",IF(H6&lt;=200,"Moderate",IF(H6&lt;=300,"Poor",IF(H6&lt;=400,"Very Poor","Severe")))))</x:f>
        <x:v>Poor</x:v>
      </x:c>
      <x:c r="J6" s="20" t="str">
        <x:f>IF(H6&lt;=50,"Minimal",IF(H6&lt;=100,"Minor discomfort",IF(H6&lt;=200,"Breathing discomfort for sensitive groups",IF(H6&lt;=300,"Breathing discomfort on prolonged exposure",IF(H6&lt;=400,"Respiratory illness risk","Serious health impact")))))</x:f>
        <x:v>Breathing discomfort on prolonged exposure</x:v>
      </x:c>
      <x:c r="K6" t="n">
        <x:f>IF(H6&lt;=50,1,IF(H6&lt;=100,2,IF(H6&lt;=200,3,IF(H6&lt;=300,4,IF(H6&lt;=400,5,6)))))</x:f>
        <x:v>4</x:v>
      </x:c>
      <x:c r="L6" t="str">
        <x:f>IF(H6&gt;200,"Yes","No")</x:f>
        <x:v>Yes</x:v>
      </x:c>
      <x:c r="M6" t="str">
        <x:f>TEXT(C6,"yyyy-mm")</x:f>
        <x:v>2026-02</x:v>
      </x:c>
    </x:row>
    <x:row r="7">
      <x:c r="A7" t="str">
        <x:v>Banjara Hills</x:v>
      </x:c>
      <x:c r="B7" t="n">
        <x:v>2</x:v>
      </x:c>
      <x:c r="C7" s="22" t="n">
        <x:v>46082</x:v>
      </x:c>
      <x:c r="D7" t="n">
        <x:f>YEAR(C7)</x:f>
        <x:v>2026</x:v>
      </x:c>
      <x:c r="E7" t="n">
        <x:f>MONTH(C7)</x:f>
        <x:v>3</x:v>
      </x:c>
      <x:c r="F7" t="str">
        <x:f>TEXT(C7,"mmm")</x:f>
        <x:v>Mar</x:v>
      </x:c>
      <x:c r="G7" t="str">
        <x:f>"Q"&amp;ROUNDUP(E7/3,0)</x:f>
        <x:v>Q1</x:v>
      </x:c>
      <x:c r="H7" s="25" t="n">
        <x:v>211.93</x:v>
      </x:c>
      <x:c r="I7" t="str">
        <x:f>IF(H7&lt;=50,"Good",IF(H7&lt;=100,"Satisfactory",IF(H7&lt;=200,"Moderate",IF(H7&lt;=300,"Poor",IF(H7&lt;=400,"Very Poor","Severe")))))</x:f>
        <x:v>Poor</x:v>
      </x:c>
      <x:c r="J7" s="20" t="str">
        <x:f>IF(H7&lt;=50,"Minimal",IF(H7&lt;=100,"Minor discomfort",IF(H7&lt;=200,"Breathing discomfort for sensitive groups",IF(H7&lt;=300,"Breathing discomfort on prolonged exposure",IF(H7&lt;=400,"Respiratory illness risk","Serious health impact")))))</x:f>
        <x:v>Breathing discomfort on prolonged exposure</x:v>
      </x:c>
      <x:c r="K7" t="n">
        <x:f>IF(H7&lt;=50,1,IF(H7&lt;=100,2,IF(H7&lt;=200,3,IF(H7&lt;=300,4,IF(H7&lt;=400,5,6)))))</x:f>
        <x:v>4</x:v>
      </x:c>
      <x:c r="L7" t="str">
        <x:f>IF(H7&gt;200,"Yes","No")</x:f>
        <x:v>Yes</x:v>
      </x:c>
      <x:c r="M7" t="str">
        <x:f>TEXT(C7,"yyyy-mm")</x:f>
        <x:v>2026-03</x:v>
      </x:c>
    </x:row>
    <x:row r="8">
      <x:c r="A8" t="str">
        <x:v>Banjara Hills</x:v>
      </x:c>
      <x:c r="B8" t="n">
        <x:v>3</x:v>
      </x:c>
      <x:c r="C8" s="22" t="n">
        <x:v>46113</x:v>
      </x:c>
      <x:c r="D8" t="n">
        <x:f>YEAR(C8)</x:f>
        <x:v>2026</x:v>
      </x:c>
      <x:c r="E8" t="n">
        <x:f>MONTH(C8)</x:f>
        <x:v>4</x:v>
      </x:c>
      <x:c r="F8" t="str">
        <x:f>TEXT(C8,"mmm")</x:f>
        <x:v>Apr</x:v>
      </x:c>
      <x:c r="G8" t="str">
        <x:f>"Q"&amp;ROUNDUP(E8/3,0)</x:f>
        <x:v>Q2</x:v>
      </x:c>
      <x:c r="H8" s="25" t="n">
        <x:v>211.93</x:v>
      </x:c>
      <x:c r="I8" t="str">
        <x:f>IF(H8&lt;=50,"Good",IF(H8&lt;=100,"Satisfactory",IF(H8&lt;=200,"Moderate",IF(H8&lt;=300,"Poor",IF(H8&lt;=400,"Very Poor","Severe")))))</x:f>
        <x:v>Poor</x:v>
      </x:c>
      <x:c r="J8" s="20" t="str">
        <x:f>IF(H8&lt;=50,"Minimal",IF(H8&lt;=100,"Minor discomfort",IF(H8&lt;=200,"Breathing discomfort for sensitive groups",IF(H8&lt;=300,"Breathing discomfort on prolonged exposure",IF(H8&lt;=400,"Respiratory illness risk","Serious health impact")))))</x:f>
        <x:v>Breathing discomfort on prolonged exposure</x:v>
      </x:c>
      <x:c r="K8" t="n">
        <x:f>IF(H8&lt;=50,1,IF(H8&lt;=100,2,IF(H8&lt;=200,3,IF(H8&lt;=300,4,IF(H8&lt;=400,5,6)))))</x:f>
        <x:v>4</x:v>
      </x:c>
      <x:c r="L8" t="str">
        <x:f>IF(H8&gt;200,"Yes","No")</x:f>
        <x:v>Yes</x:v>
      </x:c>
      <x:c r="M8" t="str">
        <x:f>TEXT(C8,"yyyy-mm")</x:f>
        <x:v>2026-04</x:v>
      </x:c>
    </x:row>
    <x:row r="9">
      <x:c r="A9" t="str">
        <x:v>Banjara Hills</x:v>
      </x:c>
      <x:c r="B9" t="n">
        <x:v>6</x:v>
      </x:c>
      <x:c r="C9" s="22" t="n">
        <x:v>46204</x:v>
      </x:c>
      <x:c r="D9" t="n">
        <x:f>YEAR(C9)</x:f>
        <x:v>2026</x:v>
      </x:c>
      <x:c r="E9" t="n">
        <x:f>MONTH(C9)</x:f>
        <x:v>7</x:v>
      </x:c>
      <x:c r="F9" t="str">
        <x:f>TEXT(C9,"mmm")</x:f>
        <x:v>Jul</x:v>
      </x:c>
      <x:c r="G9" t="str">
        <x:f>"Q"&amp;ROUNDUP(E9/3,0)</x:f>
        <x:v>Q3</x:v>
      </x:c>
      <x:c r="H9" s="25" t="n">
        <x:v>222.17</x:v>
      </x:c>
      <x:c r="I9" t="str">
        <x:f>IF(H9&lt;=50,"Good",IF(H9&lt;=100,"Satisfactory",IF(H9&lt;=200,"Moderate",IF(H9&lt;=300,"Poor",IF(H9&lt;=400,"Very Poor","Severe")))))</x:f>
        <x:v>Poor</x:v>
      </x:c>
      <x:c r="J9" s="20" t="str">
        <x:f>IF(H9&lt;=50,"Minimal",IF(H9&lt;=100,"Minor discomfort",IF(H9&lt;=200,"Breathing discomfort for sensitive groups",IF(H9&lt;=300,"Breathing discomfort on prolonged exposure",IF(H9&lt;=400,"Respiratory illness risk","Serious health impact")))))</x:f>
        <x:v>Breathing discomfort on prolonged exposure</x:v>
      </x:c>
      <x:c r="K9" t="n">
        <x:f>IF(H9&lt;=50,1,IF(H9&lt;=100,2,IF(H9&lt;=200,3,IF(H9&lt;=300,4,IF(H9&lt;=400,5,6)))))</x:f>
        <x:v>4</x:v>
      </x:c>
      <x:c r="L9" t="str">
        <x:f>IF(H9&gt;200,"Yes","No")</x:f>
        <x:v>Yes</x:v>
      </x:c>
      <x:c r="M9" t="str">
        <x:f>TEXT(C9,"yyyy-mm")</x:f>
        <x:v>2026-07</x:v>
      </x:c>
    </x:row>
    <x:row r="10">
      <x:c r="A10" t="str">
        <x:v>Charminar</x:v>
      </x:c>
      <x:c r="B10" t="n">
        <x:v>1</x:v>
      </x:c>
      <x:c r="C10" s="22" t="n">
        <x:v>46054</x:v>
      </x:c>
      <x:c r="D10" t="n">
        <x:f>YEAR(C10)</x:f>
        <x:v>2026</x:v>
      </x:c>
      <x:c r="E10" t="n">
        <x:f>MONTH(C10)</x:f>
        <x:v>2</x:v>
      </x:c>
      <x:c r="F10" t="str">
        <x:f>TEXT(C10,"mmm")</x:f>
        <x:v>Feb</x:v>
      </x:c>
      <x:c r="G10" t="str">
        <x:f>"Q"&amp;ROUNDUP(E10/3,0)</x:f>
        <x:v>Q1</x:v>
      </x:c>
      <x:c r="H10" s="25" t="n">
        <x:v>189.4</x:v>
      </x:c>
      <x:c r="I10" t="str">
        <x:f>IF(H10&lt;=50,"Good",IF(H10&lt;=100,"Satisfactory",IF(H10&lt;=200,"Moderate",IF(H10&lt;=300,"Poor",IF(H10&lt;=400,"Very Poor","Severe")))))</x:f>
        <x:v>Moderate</x:v>
      </x:c>
      <x:c r="J10" s="20" t="str">
        <x:f>IF(H10&lt;=50,"Minimal",IF(H10&lt;=100,"Minor discomfort",IF(H10&lt;=200,"Breathing discomfort for sensitive groups",IF(H10&lt;=300,"Breathing discomfort on prolonged exposure",IF(H10&lt;=400,"Respiratory illness risk","Serious health impact")))))</x:f>
        <x:v>Breathing discomfort for sensitive groups</x:v>
      </x:c>
      <x:c r="K10" t="n">
        <x:f>IF(H10&lt;=50,1,IF(H10&lt;=100,2,IF(H10&lt;=200,3,IF(H10&lt;=300,4,IF(H10&lt;=400,5,6)))))</x:f>
        <x:v>3</x:v>
      </x:c>
      <x:c r="L10" t="str">
        <x:f>IF(H10&gt;200,"Yes","No")</x:f>
        <x:v>No</x:v>
      </x:c>
      <x:c r="M10" t="str">
        <x:f>TEXT(C10,"yyyy-mm")</x:f>
        <x:v>2026-02</x:v>
      </x:c>
    </x:row>
    <x:row r="11">
      <x:c r="A11" t="str">
        <x:v>Charminar</x:v>
      </x:c>
      <x:c r="B11" t="n">
        <x:v>2</x:v>
      </x:c>
      <x:c r="C11" s="22" t="n">
        <x:v>46082</x:v>
      </x:c>
      <x:c r="D11" t="n">
        <x:f>YEAR(C11)</x:f>
        <x:v>2026</x:v>
      </x:c>
      <x:c r="E11" t="n">
        <x:f>MONTH(C11)</x:f>
        <x:v>3</x:v>
      </x:c>
      <x:c r="F11" t="str">
        <x:f>TEXT(C11,"mmm")</x:f>
        <x:v>Mar</x:v>
      </x:c>
      <x:c r="G11" t="str">
        <x:f>"Q"&amp;ROUNDUP(E11/3,0)</x:f>
        <x:v>Q1</x:v>
      </x:c>
      <x:c r="H11" s="25" t="n">
        <x:v>181.72</x:v>
      </x:c>
      <x:c r="I11" t="str">
        <x:f>IF(H11&lt;=50,"Good",IF(H11&lt;=100,"Satisfactory",IF(H11&lt;=200,"Moderate",IF(H11&lt;=300,"Poor",IF(H11&lt;=400,"Very Poor","Severe")))))</x:f>
        <x:v>Moderate</x:v>
      </x:c>
      <x:c r="J11" s="20" t="str">
        <x:f>IF(H11&lt;=50,"Minimal",IF(H11&lt;=100,"Minor discomfort",IF(H11&lt;=200,"Breathing discomfort for sensitive groups",IF(H11&lt;=300,"Breathing discomfort on prolonged exposure",IF(H11&lt;=400,"Respiratory illness risk","Serious health impact")))))</x:f>
        <x:v>Breathing discomfort for sensitive groups</x:v>
      </x:c>
      <x:c r="K11" t="n">
        <x:f>IF(H11&lt;=50,1,IF(H11&lt;=100,2,IF(H11&lt;=200,3,IF(H11&lt;=300,4,IF(H11&lt;=400,5,6)))))</x:f>
        <x:v>3</x:v>
      </x:c>
      <x:c r="L11" t="str">
        <x:f>IF(H11&gt;200,"Yes","No")</x:f>
        <x:v>No</x:v>
      </x:c>
      <x:c r="M11" t="str">
        <x:f>TEXT(C11,"yyyy-mm")</x:f>
        <x:v>2026-03</x:v>
      </x:c>
    </x:row>
    <x:row r="12">
      <x:c r="A12" t="str">
        <x:v>Charminar</x:v>
      </x:c>
      <x:c r="B12" t="n">
        <x:v>3</x:v>
      </x:c>
      <x:c r="C12" s="22" t="n">
        <x:v>46113</x:v>
      </x:c>
      <x:c r="D12" t="n">
        <x:f>YEAR(C12)</x:f>
        <x:v>2026</x:v>
      </x:c>
      <x:c r="E12" t="n">
        <x:f>MONTH(C12)</x:f>
        <x:v>4</x:v>
      </x:c>
      <x:c r="F12" t="str">
        <x:f>TEXT(C12,"mmm")</x:f>
        <x:v>Apr</x:v>
      </x:c>
      <x:c r="G12" t="str">
        <x:f>"Q"&amp;ROUNDUP(E12/3,0)</x:f>
        <x:v>Q2</x:v>
      </x:c>
      <x:c r="H12" s="25" t="n">
        <x:v>189.81</x:v>
      </x:c>
      <x:c r="I12" t="str">
        <x:f>IF(H12&lt;=50,"Good",IF(H12&lt;=100,"Satisfactory",IF(H12&lt;=200,"Moderate",IF(H12&lt;=300,"Poor",IF(H12&lt;=400,"Very Poor","Severe")))))</x:f>
        <x:v>Moderate</x:v>
      </x:c>
      <x:c r="J12" s="20" t="str">
        <x:f>IF(H12&lt;=50,"Minimal",IF(H12&lt;=100,"Minor discomfort",IF(H12&lt;=200,"Breathing discomfort for sensitive groups",IF(H12&lt;=300,"Breathing discomfort on prolonged exposure",IF(H12&lt;=400,"Respiratory illness risk","Serious health impact")))))</x:f>
        <x:v>Breathing discomfort for sensitive groups</x:v>
      </x:c>
      <x:c r="K12" t="n">
        <x:f>IF(H12&lt;=50,1,IF(H12&lt;=100,2,IF(H12&lt;=200,3,IF(H12&lt;=300,4,IF(H12&lt;=400,5,6)))))</x:f>
        <x:v>3</x:v>
      </x:c>
      <x:c r="L12" t="str">
        <x:f>IF(H12&gt;200,"Yes","No")</x:f>
        <x:v>No</x:v>
      </x:c>
      <x:c r="M12" t="str">
        <x:f>TEXT(C12,"yyyy-mm")</x:f>
        <x:v>2026-04</x:v>
      </x:c>
    </x:row>
    <x:row r="13">
      <x:c r="A13" t="str">
        <x:v>Charminar</x:v>
      </x:c>
      <x:c r="B13" t="n">
        <x:v>6</x:v>
      </x:c>
      <x:c r="C13" s="22" t="n">
        <x:v>46204</x:v>
      </x:c>
      <x:c r="D13" t="n">
        <x:f>YEAR(C13)</x:f>
        <x:v>2026</x:v>
      </x:c>
      <x:c r="E13" t="n">
        <x:f>MONTH(C13)</x:f>
        <x:v>7</x:v>
      </x:c>
      <x:c r="F13" t="str">
        <x:f>TEXT(C13,"mmm")</x:f>
        <x:v>Jul</x:v>
      </x:c>
      <x:c r="G13" t="str">
        <x:f>"Q"&amp;ROUNDUP(E13/3,0)</x:f>
        <x:v>Q3</x:v>
      </x:c>
      <x:c r="H13" s="25" t="n">
        <x:v>195.8</x:v>
      </x:c>
      <x:c r="I13" t="str">
        <x:f>IF(H13&lt;=50,"Good",IF(H13&lt;=100,"Satisfactory",IF(H13&lt;=200,"Moderate",IF(H13&lt;=300,"Poor",IF(H13&lt;=400,"Very Poor","Severe")))))</x:f>
        <x:v>Moderate</x:v>
      </x:c>
      <x:c r="J13" s="20" t="str">
        <x:f>IF(H13&lt;=50,"Minimal",IF(H13&lt;=100,"Minor discomfort",IF(H13&lt;=200,"Breathing discomfort for sensitive groups",IF(H13&lt;=300,"Breathing discomfort on prolonged exposure",IF(H13&lt;=400,"Respiratory illness risk","Serious health impact")))))</x:f>
        <x:v>Breathing discomfort for sensitive groups</x:v>
      </x:c>
      <x:c r="K13" t="n">
        <x:f>IF(H13&lt;=50,1,IF(H13&lt;=100,2,IF(H13&lt;=200,3,IF(H13&lt;=300,4,IF(H13&lt;=400,5,6)))))</x:f>
        <x:v>3</x:v>
      </x:c>
      <x:c r="L13" t="str">
        <x:f>IF(H13&gt;200,"Yes","No")</x:f>
        <x:v>No</x:v>
      </x:c>
      <x:c r="M13" t="str">
        <x:f>TEXT(C13,"yyyy-mm")</x:f>
        <x:v>2026-07</x:v>
      </x:c>
    </x:row>
    <x:row r="14">
      <x:c r="A14" t="str">
        <x:v>Gachibowli</x:v>
      </x:c>
      <x:c r="B14" t="n">
        <x:v>1</x:v>
      </x:c>
      <x:c r="C14" s="22" t="n">
        <x:v>46054</x:v>
      </x:c>
      <x:c r="D14" t="n">
        <x:f>YEAR(C14)</x:f>
        <x:v>2026</x:v>
      </x:c>
      <x:c r="E14" t="n">
        <x:f>MONTH(C14)</x:f>
        <x:v>2</x:v>
      </x:c>
      <x:c r="F14" t="str">
        <x:f>TEXT(C14,"mmm")</x:f>
        <x:v>Feb</x:v>
      </x:c>
      <x:c r="G14" t="str">
        <x:f>"Q"&amp;ROUNDUP(E14/3,0)</x:f>
        <x:v>Q1</x:v>
      </x:c>
      <x:c r="H14" s="25" t="n">
        <x:v>240.53</x:v>
      </x:c>
      <x:c r="I14" t="str">
        <x:f>IF(H14&lt;=50,"Good",IF(H14&lt;=100,"Satisfactory",IF(H14&lt;=200,"Moderate",IF(H14&lt;=300,"Poor",IF(H14&lt;=400,"Very Poor","Severe")))))</x:f>
        <x:v>Poor</x:v>
      </x:c>
      <x:c r="J14" s="20" t="str">
        <x:f>IF(H14&lt;=50,"Minimal",IF(H14&lt;=100,"Minor discomfort",IF(H14&lt;=200,"Breathing discomfort for sensitive groups",IF(H14&lt;=300,"Breathing discomfort on prolonged exposure",IF(H14&lt;=400,"Respiratory illness risk","Serious health impact")))))</x:f>
        <x:v>Breathing discomfort on prolonged exposure</x:v>
      </x:c>
      <x:c r="K14" t="n">
        <x:f>IF(H14&lt;=50,1,IF(H14&lt;=100,2,IF(H14&lt;=200,3,IF(H14&lt;=300,4,IF(H14&lt;=400,5,6)))))</x:f>
        <x:v>4</x:v>
      </x:c>
      <x:c r="L14" t="str">
        <x:f>IF(H14&gt;200,"Yes","No")</x:f>
        <x:v>Yes</x:v>
      </x:c>
      <x:c r="M14" t="str">
        <x:f>TEXT(C14,"yyyy-mm")</x:f>
        <x:v>2026-02</x:v>
      </x:c>
    </x:row>
    <x:row r="15">
      <x:c r="A15" t="str">
        <x:v>Gachibowli</x:v>
      </x:c>
      <x:c r="B15" t="n">
        <x:v>2</x:v>
      </x:c>
      <x:c r="C15" s="22" t="n">
        <x:v>46082</x:v>
      </x:c>
      <x:c r="D15" t="n">
        <x:f>YEAR(C15)</x:f>
        <x:v>2026</x:v>
      </x:c>
      <x:c r="E15" t="n">
        <x:f>MONTH(C15)</x:f>
        <x:v>3</x:v>
      </x:c>
      <x:c r="F15" t="str">
        <x:f>TEXT(C15,"mmm")</x:f>
        <x:v>Mar</x:v>
      </x:c>
      <x:c r="G15" t="str">
        <x:f>"Q"&amp;ROUNDUP(E15/3,0)</x:f>
        <x:v>Q1</x:v>
      </x:c>
      <x:c r="H15" s="25" t="n">
        <x:v>244.18</x:v>
      </x:c>
      <x:c r="I15" t="str">
        <x:f>IF(H15&lt;=50,"Good",IF(H15&lt;=100,"Satisfactory",IF(H15&lt;=200,"Moderate",IF(H15&lt;=300,"Poor",IF(H15&lt;=400,"Very Poor","Severe")))))</x:f>
        <x:v>Poor</x:v>
      </x:c>
      <x:c r="J15" s="20" t="str">
        <x:f>IF(H15&lt;=50,"Minimal",IF(H15&lt;=100,"Minor discomfort",IF(H15&lt;=200,"Breathing discomfort for sensitive groups",IF(H15&lt;=300,"Breathing discomfort on prolonged exposure",IF(H15&lt;=400,"Respiratory illness risk","Serious health impact")))))</x:f>
        <x:v>Breathing discomfort on prolonged exposure</x:v>
      </x:c>
      <x:c r="K15" t="n">
        <x:f>IF(H15&lt;=50,1,IF(H15&lt;=100,2,IF(H15&lt;=200,3,IF(H15&lt;=300,4,IF(H15&lt;=400,5,6)))))</x:f>
        <x:v>4</x:v>
      </x:c>
      <x:c r="L15" t="str">
        <x:f>IF(H15&gt;200,"Yes","No")</x:f>
        <x:v>Yes</x:v>
      </x:c>
      <x:c r="M15" t="str">
        <x:f>TEXT(C15,"yyyy-mm")</x:f>
        <x:v>2026-03</x:v>
      </x:c>
    </x:row>
    <x:row r="16">
      <x:c r="A16" t="str">
        <x:v>Gachibowli</x:v>
      </x:c>
      <x:c r="B16" t="n">
        <x:v>3</x:v>
      </x:c>
      <x:c r="C16" s="22" t="n">
        <x:v>46113</x:v>
      </x:c>
      <x:c r="D16" t="n">
        <x:f>YEAR(C16)</x:f>
        <x:v>2026</x:v>
      </x:c>
      <x:c r="E16" t="n">
        <x:f>MONTH(C16)</x:f>
        <x:v>4</x:v>
      </x:c>
      <x:c r="F16" t="str">
        <x:f>TEXT(C16,"mmm")</x:f>
        <x:v>Apr</x:v>
      </x:c>
      <x:c r="G16" t="str">
        <x:f>"Q"&amp;ROUNDUP(E16/3,0)</x:f>
        <x:v>Q2</x:v>
      </x:c>
      <x:c r="H16" s="25" t="n">
        <x:v>242.37</x:v>
      </x:c>
      <x:c r="I16" t="str">
        <x:f>IF(H16&lt;=50,"Good",IF(H16&lt;=100,"Satisfactory",IF(H16&lt;=200,"Moderate",IF(H16&lt;=300,"Poor",IF(H16&lt;=400,"Very Poor","Severe")))))</x:f>
        <x:v>Poor</x:v>
      </x:c>
      <x:c r="J16" s="20" t="str">
        <x:f>IF(H16&lt;=50,"Minimal",IF(H16&lt;=100,"Minor discomfort",IF(H16&lt;=200,"Breathing discomfort for sensitive groups",IF(H16&lt;=300,"Breathing discomfort on prolonged exposure",IF(H16&lt;=400,"Respiratory illness risk","Serious health impact")))))</x:f>
        <x:v>Breathing discomfort on prolonged exposure</x:v>
      </x:c>
      <x:c r="K16" t="n">
        <x:f>IF(H16&lt;=50,1,IF(H16&lt;=100,2,IF(H16&lt;=200,3,IF(H16&lt;=300,4,IF(H16&lt;=400,5,6)))))</x:f>
        <x:v>4</x:v>
      </x:c>
      <x:c r="L16" t="str">
        <x:f>IF(H16&gt;200,"Yes","No")</x:f>
        <x:v>Yes</x:v>
      </x:c>
      <x:c r="M16" t="str">
        <x:f>TEXT(C16,"yyyy-mm")</x:f>
        <x:v>2026-04</x:v>
      </x:c>
    </x:row>
    <x:row r="17">
      <x:c r="A17" t="str">
        <x:v>Gachibowli</x:v>
      </x:c>
      <x:c r="B17" t="n">
        <x:v>6</x:v>
      </x:c>
      <x:c r="C17" s="22" t="n">
        <x:v>46204</x:v>
      </x:c>
      <x:c r="D17" t="n">
        <x:f>YEAR(C17)</x:f>
        <x:v>2026</x:v>
      </x:c>
      <x:c r="E17" t="n">
        <x:f>MONTH(C17)</x:f>
        <x:v>7</x:v>
      </x:c>
      <x:c r="F17" t="str">
        <x:f>TEXT(C17,"mmm")</x:f>
        <x:v>Jul</x:v>
      </x:c>
      <x:c r="G17" t="str">
        <x:f>"Q"&amp;ROUNDUP(E17/3,0)</x:f>
        <x:v>Q3</x:v>
      </x:c>
      <x:c r="H17" s="25" t="n">
        <x:v>242.36</x:v>
      </x:c>
      <x:c r="I17" t="str">
        <x:f>IF(H17&lt;=50,"Good",IF(H17&lt;=100,"Satisfactory",IF(H17&lt;=200,"Moderate",IF(H17&lt;=300,"Poor",IF(H17&lt;=400,"Very Poor","Severe")))))</x:f>
        <x:v>Poor</x:v>
      </x:c>
      <x:c r="J17" s="20" t="str">
        <x:f>IF(H17&lt;=50,"Minimal",IF(H17&lt;=100,"Minor discomfort",IF(H17&lt;=200,"Breathing discomfort for sensitive groups",IF(H17&lt;=300,"Breathing discomfort on prolonged exposure",IF(H17&lt;=400,"Respiratory illness risk","Serious health impact")))))</x:f>
        <x:v>Breathing discomfort on prolonged exposure</x:v>
      </x:c>
      <x:c r="K17" t="n">
        <x:f>IF(H17&lt;=50,1,IF(H17&lt;=100,2,IF(H17&lt;=200,3,IF(H17&lt;=300,4,IF(H17&lt;=400,5,6)))))</x:f>
        <x:v>4</x:v>
      </x:c>
      <x:c r="L17" t="str">
        <x:f>IF(H17&gt;200,"Yes","No")</x:f>
        <x:v>Yes</x:v>
      </x:c>
      <x:c r="M17" t="str">
        <x:f>TEXT(C17,"yyyy-mm")</x:f>
        <x:v>2026-07</x:v>
      </x:c>
    </x:row>
    <x:row r="18">
      <x:c r="A18" t="str">
        <x:v>Kukatpally</x:v>
      </x:c>
      <x:c r="B18" t="n">
        <x:v>1</x:v>
      </x:c>
      <x:c r="C18" s="22" t="n">
        <x:v>46054</x:v>
      </x:c>
      <x:c r="D18" t="n">
        <x:f>YEAR(C18)</x:f>
        <x:v>2026</x:v>
      </x:c>
      <x:c r="E18" t="n">
        <x:f>MONTH(C18)</x:f>
        <x:v>2</x:v>
      </x:c>
      <x:c r="F18" t="str">
        <x:f>TEXT(C18,"mmm")</x:f>
        <x:v>Feb</x:v>
      </x:c>
      <x:c r="G18" t="str">
        <x:f>"Q"&amp;ROUNDUP(E18/3,0)</x:f>
        <x:v>Q1</x:v>
      </x:c>
      <x:c r="H18" s="25" t="n">
        <x:v>166.16</x:v>
      </x:c>
      <x:c r="I18" t="str">
        <x:f>IF(H18&lt;=50,"Good",IF(H18&lt;=100,"Satisfactory",IF(H18&lt;=200,"Moderate",IF(H18&lt;=300,"Poor",IF(H18&lt;=400,"Very Poor","Severe")))))</x:f>
        <x:v>Moderate</x:v>
      </x:c>
      <x:c r="J18" s="20" t="str">
        <x:f>IF(H18&lt;=50,"Minimal",IF(H18&lt;=100,"Minor discomfort",IF(H18&lt;=200,"Breathing discomfort for sensitive groups",IF(H18&lt;=300,"Breathing discomfort on prolonged exposure",IF(H18&lt;=400,"Respiratory illness risk","Serious health impact")))))</x:f>
        <x:v>Breathing discomfort for sensitive groups</x:v>
      </x:c>
      <x:c r="K18" t="n">
        <x:f>IF(H18&lt;=50,1,IF(H18&lt;=100,2,IF(H18&lt;=200,3,IF(H18&lt;=300,4,IF(H18&lt;=400,5,6)))))</x:f>
        <x:v>3</x:v>
      </x:c>
      <x:c r="L18" t="str">
        <x:f>IF(H18&gt;200,"Yes","No")</x:f>
        <x:v>No</x:v>
      </x:c>
      <x:c r="M18" t="str">
        <x:f>TEXT(C18,"yyyy-mm")</x:f>
        <x:v>2026-02</x:v>
      </x:c>
    </x:row>
    <x:row r="19">
      <x:c r="A19" t="str">
        <x:v>Kukatpally</x:v>
      </x:c>
      <x:c r="B19" t="n">
        <x:v>2</x:v>
      </x:c>
      <x:c r="C19" s="22" t="n">
        <x:v>46082</x:v>
      </x:c>
      <x:c r="D19" t="n">
        <x:f>YEAR(C19)</x:f>
        <x:v>2026</x:v>
      </x:c>
      <x:c r="E19" t="n">
        <x:f>MONTH(C19)</x:f>
        <x:v>3</x:v>
      </x:c>
      <x:c r="F19" t="str">
        <x:f>TEXT(C19,"mmm")</x:f>
        <x:v>Mar</x:v>
      </x:c>
      <x:c r="G19" t="str">
        <x:f>"Q"&amp;ROUNDUP(E19/3,0)</x:f>
        <x:v>Q1</x:v>
      </x:c>
      <x:c r="H19" s="25" t="n">
        <x:v>166.12</x:v>
      </x:c>
      <x:c r="I19" t="str">
        <x:f>IF(H19&lt;=50,"Good",IF(H19&lt;=100,"Satisfactory",IF(H19&lt;=200,"Moderate",IF(H19&lt;=300,"Poor",IF(H19&lt;=400,"Very Poor","Severe")))))</x:f>
        <x:v>Moderate</x:v>
      </x:c>
      <x:c r="J19" s="20" t="str">
        <x:f>IF(H19&lt;=50,"Minimal",IF(H19&lt;=100,"Minor discomfort",IF(H19&lt;=200,"Breathing discomfort for sensitive groups",IF(H19&lt;=300,"Breathing discomfort on prolonged exposure",IF(H19&lt;=400,"Respiratory illness risk","Serious health impact")))))</x:f>
        <x:v>Breathing discomfort for sensitive groups</x:v>
      </x:c>
      <x:c r="K19" t="n">
        <x:f>IF(H19&lt;=50,1,IF(H19&lt;=100,2,IF(H19&lt;=200,3,IF(H19&lt;=300,4,IF(H19&lt;=400,5,6)))))</x:f>
        <x:v>3</x:v>
      </x:c>
      <x:c r="L19" t="str">
        <x:f>IF(H19&gt;200,"Yes","No")</x:f>
        <x:v>No</x:v>
      </x:c>
      <x:c r="M19" t="str">
        <x:f>TEXT(C19,"yyyy-mm")</x:f>
        <x:v>2026-03</x:v>
      </x:c>
    </x:row>
    <x:row r="20">
      <x:c r="A20" t="str">
        <x:v>Kukatpally</x:v>
      </x:c>
      <x:c r="B20" t="n">
        <x:v>3</x:v>
      </x:c>
      <x:c r="C20" s="22" t="n">
        <x:v>46113</x:v>
      </x:c>
      <x:c r="D20" t="n">
        <x:f>YEAR(C20)</x:f>
        <x:v>2026</x:v>
      </x:c>
      <x:c r="E20" t="n">
        <x:f>MONTH(C20)</x:f>
        <x:v>4</x:v>
      </x:c>
      <x:c r="F20" t="str">
        <x:f>TEXT(C20,"mmm")</x:f>
        <x:v>Apr</x:v>
      </x:c>
      <x:c r="G20" t="str">
        <x:f>"Q"&amp;ROUNDUP(E20/3,0)</x:f>
        <x:v>Q2</x:v>
      </x:c>
      <x:c r="H20" s="25" t="n">
        <x:v>181.82</x:v>
      </x:c>
      <x:c r="I20" t="str">
        <x:f>IF(H20&lt;=50,"Good",IF(H20&lt;=100,"Satisfactory",IF(H20&lt;=200,"Moderate",IF(H20&lt;=300,"Poor",IF(H20&lt;=400,"Very Poor","Severe")))))</x:f>
        <x:v>Moderate</x:v>
      </x:c>
      <x:c r="J20" s="20" t="str">
        <x:f>IF(H20&lt;=50,"Minimal",IF(H20&lt;=100,"Minor discomfort",IF(H20&lt;=200,"Breathing discomfort for sensitive groups",IF(H20&lt;=300,"Breathing discomfort on prolonged exposure",IF(H20&lt;=400,"Respiratory illness risk","Serious health impact")))))</x:f>
        <x:v>Breathing discomfort for sensitive groups</x:v>
      </x:c>
      <x:c r="K20" t="n">
        <x:f>IF(H20&lt;=50,1,IF(H20&lt;=100,2,IF(H20&lt;=200,3,IF(H20&lt;=300,4,IF(H20&lt;=400,5,6)))))</x:f>
        <x:v>3</x:v>
      </x:c>
      <x:c r="L20" t="str">
        <x:f>IF(H20&gt;200,"Yes","No")</x:f>
        <x:v>No</x:v>
      </x:c>
      <x:c r="M20" t="str">
        <x:f>TEXT(C20,"yyyy-mm")</x:f>
        <x:v>2026-04</x:v>
      </x:c>
    </x:row>
    <x:row r="21">
      <x:c r="A21" t="str">
        <x:v>Kukatpally</x:v>
      </x:c>
      <x:c r="B21" t="n">
        <x:v>6</x:v>
      </x:c>
      <x:c r="C21" s="22" t="n">
        <x:v>46204</x:v>
      </x:c>
      <x:c r="D21" t="n">
        <x:f>YEAR(C21)</x:f>
        <x:v>2026</x:v>
      </x:c>
      <x:c r="E21" t="n">
        <x:f>MONTH(C21)</x:f>
        <x:v>7</x:v>
      </x:c>
      <x:c r="F21" t="str">
        <x:f>TEXT(C21,"mmm")</x:f>
        <x:v>Jul</x:v>
      </x:c>
      <x:c r="G21" t="str">
        <x:f>"Q"&amp;ROUNDUP(E21/3,0)</x:f>
        <x:v>Q3</x:v>
      </x:c>
      <x:c r="H21" s="25" t="n">
        <x:v>183</x:v>
      </x:c>
      <x:c r="I21" t="str">
        <x:f>IF(H21&lt;=50,"Good",IF(H21&lt;=100,"Satisfactory",IF(H21&lt;=200,"Moderate",IF(H21&lt;=300,"Poor",IF(H21&lt;=400,"Very Poor","Severe")))))</x:f>
        <x:v>Moderate</x:v>
      </x:c>
      <x:c r="J21" s="20" t="str">
        <x:f>IF(H21&lt;=50,"Minimal",IF(H21&lt;=100,"Minor discomfort",IF(H21&lt;=200,"Breathing discomfort for sensitive groups",IF(H21&lt;=300,"Breathing discomfort on prolonged exposure",IF(H21&lt;=400,"Respiratory illness risk","Serious health impact")))))</x:f>
        <x:v>Breathing discomfort for sensitive groups</x:v>
      </x:c>
      <x:c r="K21" t="n">
        <x:f>IF(H21&lt;=50,1,IF(H21&lt;=100,2,IF(H21&lt;=200,3,IF(H21&lt;=300,4,IF(H21&lt;=400,5,6)))))</x:f>
        <x:v>3</x:v>
      </x:c>
      <x:c r="L21" t="str">
        <x:f>IF(H21&gt;200,"Yes","No")</x:f>
        <x:v>No</x:v>
      </x:c>
      <x:c r="M21" t="str">
        <x:f>TEXT(C21,"yyyy-mm")</x:f>
        <x:v>2026-07</x:v>
      </x:c>
    </x:row>
    <x:row r="22">
      <x:c r="A22" t="str">
        <x:v>LB Nagar</x:v>
      </x:c>
      <x:c r="B22" t="n">
        <x:v>1</x:v>
      </x:c>
      <x:c r="C22" s="22" t="n">
        <x:v>46054</x:v>
      </x:c>
      <x:c r="D22" t="n">
        <x:f>YEAR(C22)</x:f>
        <x:v>2026</x:v>
      </x:c>
      <x:c r="E22" t="n">
        <x:f>MONTH(C22)</x:f>
        <x:v>2</x:v>
      </x:c>
      <x:c r="F22" t="str">
        <x:f>TEXT(C22,"mmm")</x:f>
        <x:v>Feb</x:v>
      </x:c>
      <x:c r="G22" t="str">
        <x:f>"Q"&amp;ROUNDUP(E22/3,0)</x:f>
        <x:v>Q1</x:v>
      </x:c>
      <x:c r="H22" s="25" t="n">
        <x:v>169</x:v>
      </x:c>
      <x:c r="I22" t="str">
        <x:f>IF(H22&lt;=50,"Good",IF(H22&lt;=100,"Satisfactory",IF(H22&lt;=200,"Moderate",IF(H22&lt;=300,"Poor",IF(H22&lt;=400,"Very Poor","Severe")))))</x:f>
        <x:v>Moderate</x:v>
      </x:c>
      <x:c r="J22" s="20" t="str">
        <x:f>IF(H22&lt;=50,"Minimal",IF(H22&lt;=100,"Minor discomfort",IF(H22&lt;=200,"Breathing discomfort for sensitive groups",IF(H22&lt;=300,"Breathing discomfort on prolonged exposure",IF(H22&lt;=400,"Respiratory illness risk","Serious health impact")))))</x:f>
        <x:v>Breathing discomfort for sensitive groups</x:v>
      </x:c>
      <x:c r="K22" t="n">
        <x:f>IF(H22&lt;=50,1,IF(H22&lt;=100,2,IF(H22&lt;=200,3,IF(H22&lt;=300,4,IF(H22&lt;=400,5,6)))))</x:f>
        <x:v>3</x:v>
      </x:c>
      <x:c r="L22" t="str">
        <x:f>IF(H22&gt;200,"Yes","No")</x:f>
        <x:v>No</x:v>
      </x:c>
      <x:c r="M22" t="str">
        <x:f>TEXT(C22,"yyyy-mm")</x:f>
        <x:v>2026-02</x:v>
      </x:c>
    </x:row>
    <x:row r="23">
      <x:c r="A23" t="str">
        <x:v>LB Nagar</x:v>
      </x:c>
      <x:c r="B23" t="n">
        <x:v>2</x:v>
      </x:c>
      <x:c r="C23" s="22" t="n">
        <x:v>46082</x:v>
      </x:c>
      <x:c r="D23" t="n">
        <x:f>YEAR(C23)</x:f>
        <x:v>2026</x:v>
      </x:c>
      <x:c r="E23" t="n">
        <x:f>MONTH(C23)</x:f>
        <x:v>3</x:v>
      </x:c>
      <x:c r="F23" t="str">
        <x:f>TEXT(C23,"mmm")</x:f>
        <x:v>Mar</x:v>
      </x:c>
      <x:c r="G23" t="str">
        <x:f>"Q"&amp;ROUNDUP(E23/3,0)</x:f>
        <x:v>Q1</x:v>
      </x:c>
      <x:c r="H23" s="25" t="n">
        <x:v>161.43</x:v>
      </x:c>
      <x:c r="I23" t="str">
        <x:f>IF(H23&lt;=50,"Good",IF(H23&lt;=100,"Satisfactory",IF(H23&lt;=200,"Moderate",IF(H23&lt;=300,"Poor",IF(H23&lt;=400,"Very Poor","Severe")))))</x:f>
        <x:v>Moderate</x:v>
      </x:c>
      <x:c r="J23" s="20" t="str">
        <x:f>IF(H23&lt;=50,"Minimal",IF(H23&lt;=100,"Minor discomfort",IF(H23&lt;=200,"Breathing discomfort for sensitive groups",IF(H23&lt;=300,"Breathing discomfort on prolonged exposure",IF(H23&lt;=400,"Respiratory illness risk","Serious health impact")))))</x:f>
        <x:v>Breathing discomfort for sensitive groups</x:v>
      </x:c>
      <x:c r="K23" t="n">
        <x:f>IF(H23&lt;=50,1,IF(H23&lt;=100,2,IF(H23&lt;=200,3,IF(H23&lt;=300,4,IF(H23&lt;=400,5,6)))))</x:f>
        <x:v>3</x:v>
      </x:c>
      <x:c r="L23" t="str">
        <x:f>IF(H23&gt;200,"Yes","No")</x:f>
        <x:v>No</x:v>
      </x:c>
      <x:c r="M23" t="str">
        <x:f>TEXT(C23,"yyyy-mm")</x:f>
        <x:v>2026-03</x:v>
      </x:c>
    </x:row>
    <x:row r="24">
      <x:c r="A24" t="str">
        <x:v>LB Nagar</x:v>
      </x:c>
      <x:c r="B24" t="n">
        <x:v>3</x:v>
      </x:c>
      <x:c r="C24" s="22" t="n">
        <x:v>46113</x:v>
      </x:c>
      <x:c r="D24" t="n">
        <x:f>YEAR(C24)</x:f>
        <x:v>2026</x:v>
      </x:c>
      <x:c r="E24" t="n">
        <x:f>MONTH(C24)</x:f>
        <x:v>4</x:v>
      </x:c>
      <x:c r="F24" t="str">
        <x:f>TEXT(C24,"mmm")</x:f>
        <x:v>Apr</x:v>
      </x:c>
      <x:c r="G24" t="str">
        <x:f>"Q"&amp;ROUNDUP(E24/3,0)</x:f>
        <x:v>Q2</x:v>
      </x:c>
      <x:c r="H24" s="25" t="n">
        <x:v>171.42</x:v>
      </x:c>
      <x:c r="I24" t="str">
        <x:f>IF(H24&lt;=50,"Good",IF(H24&lt;=100,"Satisfactory",IF(H24&lt;=200,"Moderate",IF(H24&lt;=300,"Poor",IF(H24&lt;=400,"Very Poor","Severe")))))</x:f>
        <x:v>Moderate</x:v>
      </x:c>
      <x:c r="J24" s="20" t="str">
        <x:f>IF(H24&lt;=50,"Minimal",IF(H24&lt;=100,"Minor discomfort",IF(H24&lt;=200,"Breathing discomfort for sensitive groups",IF(H24&lt;=300,"Breathing discomfort on prolonged exposure",IF(H24&lt;=400,"Respiratory illness risk","Serious health impact")))))</x:f>
        <x:v>Breathing discomfort for sensitive groups</x:v>
      </x:c>
      <x:c r="K24" t="n">
        <x:f>IF(H24&lt;=50,1,IF(H24&lt;=100,2,IF(H24&lt;=200,3,IF(H24&lt;=300,4,IF(H24&lt;=400,5,6)))))</x:f>
        <x:v>3</x:v>
      </x:c>
      <x:c r="L24" t="str">
        <x:f>IF(H24&gt;200,"Yes","No")</x:f>
        <x:v>No</x:v>
      </x:c>
      <x:c r="M24" t="str">
        <x:f>TEXT(C24,"yyyy-mm")</x:f>
        <x:v>2026-04</x:v>
      </x:c>
    </x:row>
    <x:row r="25">
      <x:c r="A25" t="str">
        <x:v>LB Nagar</x:v>
      </x:c>
      <x:c r="B25" t="n">
        <x:v>6</x:v>
      </x:c>
      <x:c r="C25" s="22" t="n">
        <x:v>46204</x:v>
      </x:c>
      <x:c r="D25" t="n">
        <x:f>YEAR(C25)</x:f>
        <x:v>2026</x:v>
      </x:c>
      <x:c r="E25" t="n">
        <x:f>MONTH(C25)</x:f>
        <x:v>7</x:v>
      </x:c>
      <x:c r="F25" t="str">
        <x:f>TEXT(C25,"mmm")</x:f>
        <x:v>Jul</x:v>
      </x:c>
      <x:c r="G25" t="str">
        <x:f>"Q"&amp;ROUNDUP(E25/3,0)</x:f>
        <x:v>Q3</x:v>
      </x:c>
      <x:c r="H25" s="25" t="n">
        <x:v>162.25</x:v>
      </x:c>
      <x:c r="I25" t="str">
        <x:f>IF(H25&lt;=50,"Good",IF(H25&lt;=100,"Satisfactory",IF(H25&lt;=200,"Moderate",IF(H25&lt;=300,"Poor",IF(H25&lt;=400,"Very Poor","Severe")))))</x:f>
        <x:v>Moderate</x:v>
      </x:c>
      <x:c r="J25" s="20" t="str">
        <x:f>IF(H25&lt;=50,"Minimal",IF(H25&lt;=100,"Minor discomfort",IF(H25&lt;=200,"Breathing discomfort for sensitive groups",IF(H25&lt;=300,"Breathing discomfort on prolonged exposure",IF(H25&lt;=400,"Respiratory illness risk","Serious health impact")))))</x:f>
        <x:v>Breathing discomfort for sensitive groups</x:v>
      </x:c>
      <x:c r="K25" t="n">
        <x:f>IF(H25&lt;=50,1,IF(H25&lt;=100,2,IF(H25&lt;=200,3,IF(H25&lt;=300,4,IF(H25&lt;=400,5,6)))))</x:f>
        <x:v>3</x:v>
      </x:c>
      <x:c r="L25" t="str">
        <x:f>IF(H25&gt;200,"Yes","No")</x:f>
        <x:v>No</x:v>
      </x:c>
      <x:c r="M25" t="str">
        <x:f>TEXT(C25,"yyyy-mm")</x:f>
        <x:v>2026-07</x:v>
      </x:c>
    </x:row>
    <x:row r="26">
      <x:c r="A26" t="str">
        <x:v>Madhapur</x:v>
      </x:c>
      <x:c r="B26" t="n">
        <x:v>1</x:v>
      </x:c>
      <x:c r="C26" s="22" t="n">
        <x:v>46054</x:v>
      </x:c>
      <x:c r="D26" t="n">
        <x:f>YEAR(C26)</x:f>
        <x:v>2026</x:v>
      </x:c>
      <x:c r="E26" t="n">
        <x:f>MONTH(C26)</x:f>
        <x:v>2</x:v>
      </x:c>
      <x:c r="F26" t="str">
        <x:f>TEXT(C26,"mmm")</x:f>
        <x:v>Feb</x:v>
      </x:c>
      <x:c r="G26" t="str">
        <x:f>"Q"&amp;ROUNDUP(E26/3,0)</x:f>
        <x:v>Q1</x:v>
      </x:c>
      <x:c r="H26" s="25" t="n">
        <x:v>168.96</x:v>
      </x:c>
      <x:c r="I26" t="str">
        <x:f>IF(H26&lt;=50,"Good",IF(H26&lt;=100,"Satisfactory",IF(H26&lt;=200,"Moderate",IF(H26&lt;=300,"Poor",IF(H26&lt;=400,"Very Poor","Severe")))))</x:f>
        <x:v>Moderate</x:v>
      </x:c>
      <x:c r="J26" s="20" t="str">
        <x:f>IF(H26&lt;=50,"Minimal",IF(H26&lt;=100,"Minor discomfort",IF(H26&lt;=200,"Breathing discomfort for sensitive groups",IF(H26&lt;=300,"Breathing discomfort on prolonged exposure",IF(H26&lt;=400,"Respiratory illness risk","Serious health impact")))))</x:f>
        <x:v>Breathing discomfort for sensitive groups</x:v>
      </x:c>
      <x:c r="K26" t="n">
        <x:f>IF(H26&lt;=50,1,IF(H26&lt;=100,2,IF(H26&lt;=200,3,IF(H26&lt;=300,4,IF(H26&lt;=400,5,6)))))</x:f>
        <x:v>3</x:v>
      </x:c>
      <x:c r="L26" t="str">
        <x:f>IF(H26&gt;200,"Yes","No")</x:f>
        <x:v>No</x:v>
      </x:c>
      <x:c r="M26" t="str">
        <x:f>TEXT(C26,"yyyy-mm")</x:f>
        <x:v>2026-02</x:v>
      </x:c>
    </x:row>
    <x:row r="27">
      <x:c r="A27" t="str">
        <x:v>Madhapur</x:v>
      </x:c>
      <x:c r="B27" t="n">
        <x:v>2</x:v>
      </x:c>
      <x:c r="C27" s="22" t="n">
        <x:v>46082</x:v>
      </x:c>
      <x:c r="D27" t="n">
        <x:f>YEAR(C27)</x:f>
        <x:v>2026</x:v>
      </x:c>
      <x:c r="E27" t="n">
        <x:f>MONTH(C27)</x:f>
        <x:v>3</x:v>
      </x:c>
      <x:c r="F27" t="str">
        <x:f>TEXT(C27,"mmm")</x:f>
        <x:v>Mar</x:v>
      </x:c>
      <x:c r="G27" t="str">
        <x:f>"Q"&amp;ROUNDUP(E27/3,0)</x:f>
        <x:v>Q1</x:v>
      </x:c>
      <x:c r="H27" s="25" t="n">
        <x:v>175.36</x:v>
      </x:c>
      <x:c r="I27" t="str">
        <x:f>IF(H27&lt;=50,"Good",IF(H27&lt;=100,"Satisfactory",IF(H27&lt;=200,"Moderate",IF(H27&lt;=300,"Poor",IF(H27&lt;=400,"Very Poor","Severe")))))</x:f>
        <x:v>Moderate</x:v>
      </x:c>
      <x:c r="J27" s="20" t="str">
        <x:f>IF(H27&lt;=50,"Minimal",IF(H27&lt;=100,"Minor discomfort",IF(H27&lt;=200,"Breathing discomfort for sensitive groups",IF(H27&lt;=300,"Breathing discomfort on prolonged exposure",IF(H27&lt;=400,"Respiratory illness risk","Serious health impact")))))</x:f>
        <x:v>Breathing discomfort for sensitive groups</x:v>
      </x:c>
      <x:c r="K27" t="n">
        <x:f>IF(H27&lt;=50,1,IF(H27&lt;=100,2,IF(H27&lt;=200,3,IF(H27&lt;=300,4,IF(H27&lt;=400,5,6)))))</x:f>
        <x:v>3</x:v>
      </x:c>
      <x:c r="L27" t="str">
        <x:f>IF(H27&gt;200,"Yes","No")</x:f>
        <x:v>No</x:v>
      </x:c>
      <x:c r="M27" t="str">
        <x:f>TEXT(C27,"yyyy-mm")</x:f>
        <x:v>2026-03</x:v>
      </x:c>
    </x:row>
    <x:row r="28">
      <x:c r="A28" t="str">
        <x:v>Madhapur</x:v>
      </x:c>
      <x:c r="B28" t="n">
        <x:v>3</x:v>
      </x:c>
      <x:c r="C28" s="22" t="n">
        <x:v>46113</x:v>
      </x:c>
      <x:c r="D28" t="n">
        <x:f>YEAR(C28)</x:f>
        <x:v>2026</x:v>
      </x:c>
      <x:c r="E28" t="n">
        <x:f>MONTH(C28)</x:f>
        <x:v>4</x:v>
      </x:c>
      <x:c r="F28" t="str">
        <x:f>TEXT(C28,"mmm")</x:f>
        <x:v>Apr</x:v>
      </x:c>
      <x:c r="G28" t="str">
        <x:f>"Q"&amp;ROUNDUP(E28/3,0)</x:f>
        <x:v>Q2</x:v>
      </x:c>
      <x:c r="H28" s="25" t="n">
        <x:v>177.43</x:v>
      </x:c>
      <x:c r="I28" t="str">
        <x:f>IF(H28&lt;=50,"Good",IF(H28&lt;=100,"Satisfactory",IF(H28&lt;=200,"Moderate",IF(H28&lt;=300,"Poor",IF(H28&lt;=400,"Very Poor","Severe")))))</x:f>
        <x:v>Moderate</x:v>
      </x:c>
      <x:c r="J28" s="20" t="str">
        <x:f>IF(H28&lt;=50,"Minimal",IF(H28&lt;=100,"Minor discomfort",IF(H28&lt;=200,"Breathing discomfort for sensitive groups",IF(H28&lt;=300,"Breathing discomfort on prolonged exposure",IF(H28&lt;=400,"Respiratory illness risk","Serious health impact")))))</x:f>
        <x:v>Breathing discomfort for sensitive groups</x:v>
      </x:c>
      <x:c r="K28" t="n">
        <x:f>IF(H28&lt;=50,1,IF(H28&lt;=100,2,IF(H28&lt;=200,3,IF(H28&lt;=300,4,IF(H28&lt;=400,5,6)))))</x:f>
        <x:v>3</x:v>
      </x:c>
      <x:c r="L28" t="str">
        <x:f>IF(H28&gt;200,"Yes","No")</x:f>
        <x:v>No</x:v>
      </x:c>
      <x:c r="M28" t="str">
        <x:f>TEXT(C28,"yyyy-mm")</x:f>
        <x:v>2026-04</x:v>
      </x:c>
    </x:row>
    <x:row r="29">
      <x:c r="A29" t="str">
        <x:v>Madhapur</x:v>
      </x:c>
      <x:c r="B29" t="n">
        <x:v>6</x:v>
      </x:c>
      <x:c r="C29" s="22" t="n">
        <x:v>46204</x:v>
      </x:c>
      <x:c r="D29" t="n">
        <x:f>YEAR(C29)</x:f>
        <x:v>2026</x:v>
      </x:c>
      <x:c r="E29" t="n">
        <x:f>MONTH(C29)</x:f>
        <x:v>7</x:v>
      </x:c>
      <x:c r="F29" t="str">
        <x:f>TEXT(C29,"mmm")</x:f>
        <x:v>Jul</x:v>
      </x:c>
      <x:c r="G29" t="str">
        <x:f>"Q"&amp;ROUNDUP(E29/3,0)</x:f>
        <x:v>Q3</x:v>
      </x:c>
      <x:c r="H29" s="25" t="n">
        <x:v>171.3</x:v>
      </x:c>
      <x:c r="I29" t="str">
        <x:f>IF(H29&lt;=50,"Good",IF(H29&lt;=100,"Satisfactory",IF(H29&lt;=200,"Moderate",IF(H29&lt;=300,"Poor",IF(H29&lt;=400,"Very Poor","Severe")))))</x:f>
        <x:v>Moderate</x:v>
      </x:c>
      <x:c r="J29" s="20" t="str">
        <x:f>IF(H29&lt;=50,"Minimal",IF(H29&lt;=100,"Minor discomfort",IF(H29&lt;=200,"Breathing discomfort for sensitive groups",IF(H29&lt;=300,"Breathing discomfort on prolonged exposure",IF(H29&lt;=400,"Respiratory illness risk","Serious health impact")))))</x:f>
        <x:v>Breathing discomfort for sensitive groups</x:v>
      </x:c>
      <x:c r="K29" t="n">
        <x:f>IF(H29&lt;=50,1,IF(H29&lt;=100,2,IF(H29&lt;=200,3,IF(H29&lt;=300,4,IF(H29&lt;=400,5,6)))))</x:f>
        <x:v>3</x:v>
      </x:c>
      <x:c r="L29" t="str">
        <x:f>IF(H29&gt;200,"Yes","No")</x:f>
        <x:v>No</x:v>
      </x:c>
      <x:c r="M29" t="str">
        <x:f>TEXT(C29,"yyyy-mm")</x:f>
        <x:v>2026-07</x:v>
      </x:c>
    </x:row>
    <x:row r="30">
      <x:c r="A30" t="str">
        <x:v>Mehdipatnam</x:v>
      </x:c>
      <x:c r="B30" t="n">
        <x:v>1</x:v>
      </x:c>
      <x:c r="C30" s="22" t="n">
        <x:v>46054</x:v>
      </x:c>
      <x:c r="D30" t="n">
        <x:f>YEAR(C30)</x:f>
        <x:v>2026</x:v>
      </x:c>
      <x:c r="E30" t="n">
        <x:f>MONTH(C30)</x:f>
        <x:v>2</x:v>
      </x:c>
      <x:c r="F30" t="str">
        <x:f>TEXT(C30,"mmm")</x:f>
        <x:v>Feb</x:v>
      </x:c>
      <x:c r="G30" t="str">
        <x:f>"Q"&amp;ROUNDUP(E30/3,0)</x:f>
        <x:v>Q1</x:v>
      </x:c>
      <x:c r="H30" s="25" t="n">
        <x:v>153.25</x:v>
      </x:c>
      <x:c r="I30" t="str">
        <x:f>IF(H30&lt;=50,"Good",IF(H30&lt;=100,"Satisfactory",IF(H30&lt;=200,"Moderate",IF(H30&lt;=300,"Poor",IF(H30&lt;=400,"Very Poor","Severe")))))</x:f>
        <x:v>Moderate</x:v>
      </x:c>
      <x:c r="J30" s="20" t="str">
        <x:f>IF(H30&lt;=50,"Minimal",IF(H30&lt;=100,"Minor discomfort",IF(H30&lt;=200,"Breathing discomfort for sensitive groups",IF(H30&lt;=300,"Breathing discomfort on prolonged exposure",IF(H30&lt;=400,"Respiratory illness risk","Serious health impact")))))</x:f>
        <x:v>Breathing discomfort for sensitive groups</x:v>
      </x:c>
      <x:c r="K30" t="n">
        <x:f>IF(H30&lt;=50,1,IF(H30&lt;=100,2,IF(H30&lt;=200,3,IF(H30&lt;=300,4,IF(H30&lt;=400,5,6)))))</x:f>
        <x:v>3</x:v>
      </x:c>
      <x:c r="L30" t="str">
        <x:f>IF(H30&gt;200,"Yes","No")</x:f>
        <x:v>No</x:v>
      </x:c>
      <x:c r="M30" t="str">
        <x:f>TEXT(C30,"yyyy-mm")</x:f>
        <x:v>2026-02</x:v>
      </x:c>
    </x:row>
    <x:row r="31">
      <x:c r="A31" t="str">
        <x:v>Mehdipatnam</x:v>
      </x:c>
      <x:c r="B31" t="n">
        <x:v>2</x:v>
      </x:c>
      <x:c r="C31" s="22" t="n">
        <x:v>46082</x:v>
      </x:c>
      <x:c r="D31" t="n">
        <x:f>YEAR(C31)</x:f>
        <x:v>2026</x:v>
      </x:c>
      <x:c r="E31" t="n">
        <x:f>MONTH(C31)</x:f>
        <x:v>3</x:v>
      </x:c>
      <x:c r="F31" t="str">
        <x:f>TEXT(C31,"mmm")</x:f>
        <x:v>Mar</x:v>
      </x:c>
      <x:c r="G31" t="str">
        <x:f>"Q"&amp;ROUNDUP(E31/3,0)</x:f>
        <x:v>Q1</x:v>
      </x:c>
      <x:c r="H31" s="25" t="n">
        <x:v>164</x:v>
      </x:c>
      <x:c r="I31" t="str">
        <x:f>IF(H31&lt;=50,"Good",IF(H31&lt;=100,"Satisfactory",IF(H31&lt;=200,"Moderate",IF(H31&lt;=300,"Poor",IF(H31&lt;=400,"Very Poor","Severe")))))</x:f>
        <x:v>Moderate</x:v>
      </x:c>
      <x:c r="J31" s="20" t="str">
        <x:f>IF(H31&lt;=50,"Minimal",IF(H31&lt;=100,"Minor discomfort",IF(H31&lt;=200,"Breathing discomfort for sensitive groups",IF(H31&lt;=300,"Breathing discomfort on prolonged exposure",IF(H31&lt;=400,"Respiratory illness risk","Serious health impact")))))</x:f>
        <x:v>Breathing discomfort for sensitive groups</x:v>
      </x:c>
      <x:c r="K31" t="n">
        <x:f>IF(H31&lt;=50,1,IF(H31&lt;=100,2,IF(H31&lt;=200,3,IF(H31&lt;=300,4,IF(H31&lt;=400,5,6)))))</x:f>
        <x:v>3</x:v>
      </x:c>
      <x:c r="L31" t="str">
        <x:f>IF(H31&gt;200,"Yes","No")</x:f>
        <x:v>No</x:v>
      </x:c>
      <x:c r="M31" t="str">
        <x:f>TEXT(C31,"yyyy-mm")</x:f>
        <x:v>2026-03</x:v>
      </x:c>
    </x:row>
    <x:row r="32">
      <x:c r="A32" t="str">
        <x:v>Mehdipatnam</x:v>
      </x:c>
      <x:c r="B32" t="n">
        <x:v>3</x:v>
      </x:c>
      <x:c r="C32" s="22" t="n">
        <x:v>46113</x:v>
      </x:c>
      <x:c r="D32" t="n">
        <x:f>YEAR(C32)</x:f>
        <x:v>2026</x:v>
      </x:c>
      <x:c r="E32" t="n">
        <x:f>MONTH(C32)</x:f>
        <x:v>4</x:v>
      </x:c>
      <x:c r="F32" t="str">
        <x:f>TEXT(C32,"mmm")</x:f>
        <x:v>Apr</x:v>
      </x:c>
      <x:c r="G32" t="str">
        <x:f>"Q"&amp;ROUNDUP(E32/3,0)</x:f>
        <x:v>Q2</x:v>
      </x:c>
      <x:c r="H32" s="25" t="n">
        <x:v>156.03</x:v>
      </x:c>
      <x:c r="I32" t="str">
        <x:f>IF(H32&lt;=50,"Good",IF(H32&lt;=100,"Satisfactory",IF(H32&lt;=200,"Moderate",IF(H32&lt;=300,"Poor",IF(H32&lt;=400,"Very Poor","Severe")))))</x:f>
        <x:v>Moderate</x:v>
      </x:c>
      <x:c r="J32" s="20" t="str">
        <x:f>IF(H32&lt;=50,"Minimal",IF(H32&lt;=100,"Minor discomfort",IF(H32&lt;=200,"Breathing discomfort for sensitive groups",IF(H32&lt;=300,"Breathing discomfort on prolonged exposure",IF(H32&lt;=400,"Respiratory illness risk","Serious health impact")))))</x:f>
        <x:v>Breathing discomfort for sensitive groups</x:v>
      </x:c>
      <x:c r="K32" t="n">
        <x:f>IF(H32&lt;=50,1,IF(H32&lt;=100,2,IF(H32&lt;=200,3,IF(H32&lt;=300,4,IF(H32&lt;=400,5,6)))))</x:f>
        <x:v>3</x:v>
      </x:c>
      <x:c r="L32" t="str">
        <x:f>IF(H32&gt;200,"Yes","No")</x:f>
        <x:v>No</x:v>
      </x:c>
      <x:c r="M32" t="str">
        <x:f>TEXT(C32,"yyyy-mm")</x:f>
        <x:v>2026-04</x:v>
      </x:c>
    </x:row>
    <x:row r="33">
      <x:c r="A33" t="str">
        <x:v>Mehdipatnam</x:v>
      </x:c>
      <x:c r="B33" t="n">
        <x:v>6</x:v>
      </x:c>
      <x:c r="C33" s="22" t="n">
        <x:v>46204</x:v>
      </x:c>
      <x:c r="D33" t="n">
        <x:f>YEAR(C33)</x:f>
        <x:v>2026</x:v>
      </x:c>
      <x:c r="E33" t="n">
        <x:f>MONTH(C33)</x:f>
        <x:v>7</x:v>
      </x:c>
      <x:c r="F33" t="str">
        <x:f>TEXT(C33,"mmm")</x:f>
        <x:v>Jul</x:v>
      </x:c>
      <x:c r="G33" t="str">
        <x:f>"Q"&amp;ROUNDUP(E33/3,0)</x:f>
        <x:v>Q3</x:v>
      </x:c>
      <x:c r="H33" s="25" t="n">
        <x:v>160</x:v>
      </x:c>
      <x:c r="I33" t="str">
        <x:f>IF(H33&lt;=50,"Good",IF(H33&lt;=100,"Satisfactory",IF(H33&lt;=200,"Moderate",IF(H33&lt;=300,"Poor",IF(H33&lt;=400,"Very Poor","Severe")))))</x:f>
        <x:v>Moderate</x:v>
      </x:c>
      <x:c r="J33" s="20" t="str">
        <x:f>IF(H33&lt;=50,"Minimal",IF(H33&lt;=100,"Minor discomfort",IF(H33&lt;=200,"Breathing discomfort for sensitive groups",IF(H33&lt;=300,"Breathing discomfort on prolonged exposure",IF(H33&lt;=400,"Respiratory illness risk","Serious health impact")))))</x:f>
        <x:v>Breathing discomfort for sensitive groups</x:v>
      </x:c>
      <x:c r="K33" t="n">
        <x:f>IF(H33&lt;=50,1,IF(H33&lt;=100,2,IF(H33&lt;=200,3,IF(H33&lt;=300,4,IF(H33&lt;=400,5,6)))))</x:f>
        <x:v>3</x:v>
      </x:c>
      <x:c r="L33" t="str">
        <x:f>IF(H33&gt;200,"Yes","No")</x:f>
        <x:v>No</x:v>
      </x:c>
      <x:c r="M33" t="str">
        <x:f>TEXT(C33,"yyyy-mm")</x:f>
        <x:v>2026-07</x:v>
      </x:c>
    </x:row>
    <x:row r="34">
      <x:c r="A34" t="str">
        <x:v>Secunderabad</x:v>
      </x:c>
      <x:c r="B34" t="n">
        <x:v>1</x:v>
      </x:c>
      <x:c r="C34" s="22" t="n">
        <x:v>46054</x:v>
      </x:c>
      <x:c r="D34" t="n">
        <x:f>YEAR(C34)</x:f>
        <x:v>2026</x:v>
      </x:c>
      <x:c r="E34" t="n">
        <x:f>MONTH(C34)</x:f>
        <x:v>2</x:v>
      </x:c>
      <x:c r="F34" t="str">
        <x:f>TEXT(C34,"mmm")</x:f>
        <x:v>Feb</x:v>
      </x:c>
      <x:c r="G34" t="str">
        <x:f>"Q"&amp;ROUNDUP(E34/3,0)</x:f>
        <x:v>Q1</x:v>
      </x:c>
      <x:c r="H34" s="25" t="n">
        <x:v>229.88</x:v>
      </x:c>
      <x:c r="I34" t="str">
        <x:f>IF(H34&lt;=50,"Good",IF(H34&lt;=100,"Satisfactory",IF(H34&lt;=200,"Moderate",IF(H34&lt;=300,"Poor",IF(H34&lt;=400,"Very Poor","Severe")))))</x:f>
        <x:v>Poor</x:v>
      </x:c>
      <x:c r="J34" s="20" t="str">
        <x:f>IF(H34&lt;=50,"Minimal",IF(H34&lt;=100,"Minor discomfort",IF(H34&lt;=200,"Breathing discomfort for sensitive groups",IF(H34&lt;=300,"Breathing discomfort on prolonged exposure",IF(H34&lt;=400,"Respiratory illness risk","Serious health impact")))))</x:f>
        <x:v>Breathing discomfort on prolonged exposure</x:v>
      </x:c>
      <x:c r="K34" t="n">
        <x:f>IF(H34&lt;=50,1,IF(H34&lt;=100,2,IF(H34&lt;=200,3,IF(H34&lt;=300,4,IF(H34&lt;=400,5,6)))))</x:f>
        <x:v>4</x:v>
      </x:c>
      <x:c r="L34" t="str">
        <x:f>IF(H34&gt;200,"Yes","No")</x:f>
        <x:v>Yes</x:v>
      </x:c>
      <x:c r="M34" t="str">
        <x:f>TEXT(C34,"yyyy-mm")</x:f>
        <x:v>2026-02</x:v>
      </x:c>
    </x:row>
    <x:row r="35">
      <x:c r="A35" t="str">
        <x:v>Secunderabad</x:v>
      </x:c>
      <x:c r="B35" t="n">
        <x:v>2</x:v>
      </x:c>
      <x:c r="C35" s="22" t="n">
        <x:v>46082</x:v>
      </x:c>
      <x:c r="D35" t="n">
        <x:f>YEAR(C35)</x:f>
        <x:v>2026</x:v>
      </x:c>
      <x:c r="E35" t="n">
        <x:f>MONTH(C35)</x:f>
        <x:v>3</x:v>
      </x:c>
      <x:c r="F35" t="str">
        <x:f>TEXT(C35,"mmm")</x:f>
        <x:v>Mar</x:v>
      </x:c>
      <x:c r="G35" t="str">
        <x:f>"Q"&amp;ROUNDUP(E35/3,0)</x:f>
        <x:v>Q1</x:v>
      </x:c>
      <x:c r="H35" s="25" t="n">
        <x:v>232.93</x:v>
      </x:c>
      <x:c r="I35" t="str">
        <x:f>IF(H35&lt;=50,"Good",IF(H35&lt;=100,"Satisfactory",IF(H35&lt;=200,"Moderate",IF(H35&lt;=300,"Poor",IF(H35&lt;=400,"Very Poor","Severe")))))</x:f>
        <x:v>Poor</x:v>
      </x:c>
      <x:c r="J35" s="20" t="str">
        <x:f>IF(H35&lt;=50,"Minimal",IF(H35&lt;=100,"Minor discomfort",IF(H35&lt;=200,"Breathing discomfort for sensitive groups",IF(H35&lt;=300,"Breathing discomfort on prolonged exposure",IF(H35&lt;=400,"Respiratory illness risk","Serious health impact")))))</x:f>
        <x:v>Breathing discomfort on prolonged exposure</x:v>
      </x:c>
      <x:c r="K35" t="n">
        <x:f>IF(H35&lt;=50,1,IF(H35&lt;=100,2,IF(H35&lt;=200,3,IF(H35&lt;=300,4,IF(H35&lt;=400,5,6)))))</x:f>
        <x:v>4</x:v>
      </x:c>
      <x:c r="L35" t="str">
        <x:f>IF(H35&gt;200,"Yes","No")</x:f>
        <x:v>Yes</x:v>
      </x:c>
      <x:c r="M35" t="str">
        <x:f>TEXT(C35,"yyyy-mm")</x:f>
        <x:v>2026-03</x:v>
      </x:c>
    </x:row>
    <x:row r="36">
      <x:c r="A36" t="str">
        <x:v>Secunderabad</x:v>
      </x:c>
      <x:c r="B36" t="n">
        <x:v>3</x:v>
      </x:c>
      <x:c r="C36" s="22" t="n">
        <x:v>46113</x:v>
      </x:c>
      <x:c r="D36" t="n">
        <x:f>YEAR(C36)</x:f>
        <x:v>2026</x:v>
      </x:c>
      <x:c r="E36" t="n">
        <x:f>MONTH(C36)</x:f>
        <x:v>4</x:v>
      </x:c>
      <x:c r="F36" t="str">
        <x:f>TEXT(C36,"mmm")</x:f>
        <x:v>Apr</x:v>
      </x:c>
      <x:c r="G36" t="str">
        <x:f>"Q"&amp;ROUNDUP(E36/3,0)</x:f>
        <x:v>Q2</x:v>
      </x:c>
      <x:c r="H36" s="25" t="n">
        <x:v>255.27</x:v>
      </x:c>
      <x:c r="I36" t="str">
        <x:f>IF(H36&lt;=50,"Good",IF(H36&lt;=100,"Satisfactory",IF(H36&lt;=200,"Moderate",IF(H36&lt;=300,"Poor",IF(H36&lt;=400,"Very Poor","Severe")))))</x:f>
        <x:v>Poor</x:v>
      </x:c>
      <x:c r="J36" s="20" t="str">
        <x:f>IF(H36&lt;=50,"Minimal",IF(H36&lt;=100,"Minor discomfort",IF(H36&lt;=200,"Breathing discomfort for sensitive groups",IF(H36&lt;=300,"Breathing discomfort on prolonged exposure",IF(H36&lt;=400,"Respiratory illness risk","Serious health impact")))))</x:f>
        <x:v>Breathing discomfort on prolonged exposure</x:v>
      </x:c>
      <x:c r="K36" t="n">
        <x:f>IF(H36&lt;=50,1,IF(H36&lt;=100,2,IF(H36&lt;=200,3,IF(H36&lt;=300,4,IF(H36&lt;=400,5,6)))))</x:f>
        <x:v>4</x:v>
      </x:c>
      <x:c r="L36" t="str">
        <x:f>IF(H36&gt;200,"Yes","No")</x:f>
        <x:v>Yes</x:v>
      </x:c>
      <x:c r="M36" t="str">
        <x:f>TEXT(C36,"yyyy-mm")</x:f>
        <x:v>2026-04</x:v>
      </x:c>
    </x:row>
    <x:row r="37">
      <x:c r="A37" t="str">
        <x:v>Secunderabad</x:v>
      </x:c>
      <x:c r="B37" t="n">
        <x:v>6</x:v>
      </x:c>
      <x:c r="C37" s="22" t="n">
        <x:v>46204</x:v>
      </x:c>
      <x:c r="D37" t="n">
        <x:f>YEAR(C37)</x:f>
        <x:v>2026</x:v>
      </x:c>
      <x:c r="E37" t="n">
        <x:f>MONTH(C37)</x:f>
        <x:v>7</x:v>
      </x:c>
      <x:c r="F37" t="str">
        <x:f>TEXT(C37,"mmm")</x:f>
        <x:v>Jul</x:v>
      </x:c>
      <x:c r="G37" t="str">
        <x:f>"Q"&amp;ROUNDUP(E37/3,0)</x:f>
        <x:v>Q3</x:v>
      </x:c>
      <x:c r="H37" s="25" t="n">
        <x:v>255.63</x:v>
      </x:c>
      <x:c r="I37" t="str">
        <x:f>IF(H37&lt;=50,"Good",IF(H37&lt;=100,"Satisfactory",IF(H37&lt;=200,"Moderate",IF(H37&lt;=300,"Poor",IF(H37&lt;=400,"Very Poor","Severe")))))</x:f>
        <x:v>Poor</x:v>
      </x:c>
      <x:c r="J37" s="20" t="str">
        <x:f>IF(H37&lt;=50,"Minimal",IF(H37&lt;=100,"Minor discomfort",IF(H37&lt;=200,"Breathing discomfort for sensitive groups",IF(H37&lt;=300,"Breathing discomfort on prolonged exposure",IF(H37&lt;=400,"Respiratory illness risk","Serious health impact")))))</x:f>
        <x:v>Breathing discomfort on prolonged exposure</x:v>
      </x:c>
      <x:c r="K37" t="n">
        <x:f>IF(H37&lt;=50,1,IF(H37&lt;=100,2,IF(H37&lt;=200,3,IF(H37&lt;=300,4,IF(H37&lt;=400,5,6)))))</x:f>
        <x:v>4</x:v>
      </x:c>
      <x:c r="L37" t="str">
        <x:f>IF(H37&gt;200,"Yes","No")</x:f>
        <x:v>Yes</x:v>
      </x:c>
      <x:c r="M37" t="str">
        <x:f>TEXT(C37,"yyyy-mm")</x:f>
        <x:v>2026-07</x:v>
      </x:c>
    </x:row>
    <x:row r="38">
      <x:c r="A38" t="str">
        <x:v>Uppal</x:v>
      </x:c>
      <x:c r="B38" t="n">
        <x:v>1</x:v>
      </x:c>
      <x:c r="C38" s="22" t="n">
        <x:v>46054</x:v>
      </x:c>
      <x:c r="D38" t="n">
        <x:f>YEAR(C38)</x:f>
        <x:v>2026</x:v>
      </x:c>
      <x:c r="E38" t="n">
        <x:f>MONTH(C38)</x:f>
        <x:v>2</x:v>
      </x:c>
      <x:c r="F38" t="str">
        <x:f>TEXT(C38,"mmm")</x:f>
        <x:v>Feb</x:v>
      </x:c>
      <x:c r="G38" t="str">
        <x:f>"Q"&amp;ROUNDUP(E38/3,0)</x:f>
        <x:v>Q1</x:v>
      </x:c>
      <x:c r="H38" s="25" t="n">
        <x:v>177.1</x:v>
      </x:c>
      <x:c r="I38" t="str">
        <x:f>IF(H38&lt;=50,"Good",IF(H38&lt;=100,"Satisfactory",IF(H38&lt;=200,"Moderate",IF(H38&lt;=300,"Poor",IF(H38&lt;=400,"Very Poor","Severe")))))</x:f>
        <x:v>Moderate</x:v>
      </x:c>
      <x:c r="J38" s="20" t="str">
        <x:f>IF(H38&lt;=50,"Minimal",IF(H38&lt;=100,"Minor discomfort",IF(H38&lt;=200,"Breathing discomfort for sensitive groups",IF(H38&lt;=300,"Breathing discomfort on prolonged exposure",IF(H38&lt;=400,"Respiratory illness risk","Serious health impact")))))</x:f>
        <x:v>Breathing discomfort for sensitive groups</x:v>
      </x:c>
      <x:c r="K38" t="n">
        <x:f>IF(H38&lt;=50,1,IF(H38&lt;=100,2,IF(H38&lt;=200,3,IF(H38&lt;=300,4,IF(H38&lt;=400,5,6)))))</x:f>
        <x:v>3</x:v>
      </x:c>
      <x:c r="L38" t="str">
        <x:f>IF(H38&gt;200,"Yes","No")</x:f>
        <x:v>No</x:v>
      </x:c>
      <x:c r="M38" t="str">
        <x:f>TEXT(C38,"yyyy-mm")</x:f>
        <x:v>2026-02</x:v>
      </x:c>
    </x:row>
    <x:row r="39">
      <x:c r="A39" t="str">
        <x:v>Uppal</x:v>
      </x:c>
      <x:c r="B39" t="n">
        <x:v>2</x:v>
      </x:c>
      <x:c r="C39" s="22" t="n">
        <x:v>46082</x:v>
      </x:c>
      <x:c r="D39" t="n">
        <x:f>YEAR(C39)</x:f>
        <x:v>2026</x:v>
      </x:c>
      <x:c r="E39" t="n">
        <x:f>MONTH(C39)</x:f>
        <x:v>3</x:v>
      </x:c>
      <x:c r="F39" t="str">
        <x:f>TEXT(C39,"mmm")</x:f>
        <x:v>Mar</x:v>
      </x:c>
      <x:c r="G39" t="str">
        <x:f>"Q"&amp;ROUNDUP(E39/3,0)</x:f>
        <x:v>Q1</x:v>
      </x:c>
      <x:c r="H39" s="25" t="n">
        <x:v>182.41</x:v>
      </x:c>
      <x:c r="I39" t="str">
        <x:f>IF(H39&lt;=50,"Good",IF(H39&lt;=100,"Satisfactory",IF(H39&lt;=200,"Moderate",IF(H39&lt;=300,"Poor",IF(H39&lt;=400,"Very Poor","Severe")))))</x:f>
        <x:v>Moderate</x:v>
      </x:c>
      <x:c r="J39" s="20" t="str">
        <x:f>IF(H39&lt;=50,"Minimal",IF(H39&lt;=100,"Minor discomfort",IF(H39&lt;=200,"Breathing discomfort for sensitive groups",IF(H39&lt;=300,"Breathing discomfort on prolonged exposure",IF(H39&lt;=400,"Respiratory illness risk","Serious health impact")))))</x:f>
        <x:v>Breathing discomfort for sensitive groups</x:v>
      </x:c>
      <x:c r="K39" t="n">
        <x:f>IF(H39&lt;=50,1,IF(H39&lt;=100,2,IF(H39&lt;=200,3,IF(H39&lt;=300,4,IF(H39&lt;=400,5,6)))))</x:f>
        <x:v>3</x:v>
      </x:c>
      <x:c r="L39" t="str">
        <x:f>IF(H39&gt;200,"Yes","No")</x:f>
        <x:v>No</x:v>
      </x:c>
      <x:c r="M39" t="str">
        <x:f>TEXT(C39,"yyyy-mm")</x:f>
        <x:v>2026-03</x:v>
      </x:c>
    </x:row>
    <x:row r="40">
      <x:c r="A40" t="str">
        <x:v>Uppal</x:v>
      </x:c>
      <x:c r="B40" t="n">
        <x:v>3</x:v>
      </x:c>
      <x:c r="C40" s="22" t="n">
        <x:v>46113</x:v>
      </x:c>
      <x:c r="D40" t="n">
        <x:f>YEAR(C40)</x:f>
        <x:v>2026</x:v>
      </x:c>
      <x:c r="E40" t="n">
        <x:f>MONTH(C40)</x:f>
        <x:v>4</x:v>
      </x:c>
      <x:c r="F40" t="str">
        <x:f>TEXT(C40,"mmm")</x:f>
        <x:v>Apr</x:v>
      </x:c>
      <x:c r="G40" t="str">
        <x:f>"Q"&amp;ROUNDUP(E40/3,0)</x:f>
        <x:v>Q2</x:v>
      </x:c>
      <x:c r="H40" s="25" t="n">
        <x:v>207.58</x:v>
      </x:c>
      <x:c r="I40" t="str">
        <x:f>IF(H40&lt;=50,"Good",IF(H40&lt;=100,"Satisfactory",IF(H40&lt;=200,"Moderate",IF(H40&lt;=300,"Poor",IF(H40&lt;=400,"Very Poor","Severe")))))</x:f>
        <x:v>Poor</x:v>
      </x:c>
      <x:c r="J40" s="20" t="str">
        <x:f>IF(H40&lt;=50,"Minimal",IF(H40&lt;=100,"Minor discomfort",IF(H40&lt;=200,"Breathing discomfort for sensitive groups",IF(H40&lt;=300,"Breathing discomfort on prolonged exposure",IF(H40&lt;=400,"Respiratory illness risk","Serious health impact")))))</x:f>
        <x:v>Breathing discomfort on prolonged exposure</x:v>
      </x:c>
      <x:c r="K40" t="n">
        <x:f>IF(H40&lt;=50,1,IF(H40&lt;=100,2,IF(H40&lt;=200,3,IF(H40&lt;=300,4,IF(H40&lt;=400,5,6)))))</x:f>
        <x:v>4</x:v>
      </x:c>
      <x:c r="L40" t="str">
        <x:f>IF(H40&gt;200,"Yes","No")</x:f>
        <x:v>Yes</x:v>
      </x:c>
      <x:c r="M40" t="str">
        <x:f>TEXT(C40,"yyyy-mm")</x:f>
        <x:v>2026-04</x:v>
      </x:c>
    </x:row>
    <x:row r="41">
      <x:c r="A41" t="str">
        <x:v>Uppal</x:v>
      </x:c>
      <x:c r="B41" t="n">
        <x:v>6</x:v>
      </x:c>
      <x:c r="C41" s="22" t="n">
        <x:v>46204</x:v>
      </x:c>
      <x:c r="D41" t="n">
        <x:f>YEAR(C41)</x:f>
        <x:v>2026</x:v>
      </x:c>
      <x:c r="E41" t="n">
        <x:f>MONTH(C41)</x:f>
        <x:v>7</x:v>
      </x:c>
      <x:c r="F41" t="str">
        <x:f>TEXT(C41,"mmm")</x:f>
        <x:v>Jul</x:v>
      </x:c>
      <x:c r="G41" t="str">
        <x:f>"Q"&amp;ROUNDUP(E41/3,0)</x:f>
        <x:v>Q3</x:v>
      </x:c>
      <x:c r="H41" s="25" t="n">
        <x:v>207.58</x:v>
      </x:c>
      <x:c r="I41" t="str">
        <x:f>IF(H41&lt;=50,"Good",IF(H41&lt;=100,"Satisfactory",IF(H41&lt;=200,"Moderate",IF(H41&lt;=300,"Poor",IF(H41&lt;=400,"Very Poor","Severe")))))</x:f>
        <x:v>Poor</x:v>
      </x:c>
      <x:c r="J41" s="20" t="str">
        <x:f>IF(H41&lt;=50,"Minimal",IF(H41&lt;=100,"Minor discomfort",IF(H41&lt;=200,"Breathing discomfort for sensitive groups",IF(H41&lt;=300,"Breathing discomfort on prolonged exposure",IF(H41&lt;=400,"Respiratory illness risk","Serious health impact")))))</x:f>
        <x:v>Breathing discomfort on prolonged exposure</x:v>
      </x:c>
      <x:c r="K41" t="n">
        <x:f>IF(H41&lt;=50,1,IF(H41&lt;=100,2,IF(H41&lt;=200,3,IF(H41&lt;=300,4,IF(H41&lt;=400,5,6)))))</x:f>
        <x:v>4</x:v>
      </x:c>
      <x:c r="L41" t="str">
        <x:f>IF(H41&gt;200,"Yes","No")</x:f>
        <x:v>Yes</x:v>
      </x:c>
      <x:c r="M41" t="str">
        <x:f>TEXT(C41,"yyyy-mm")</x:f>
        <x:v>2026-07</x:v>
      </x:c>
    </x:row>
  </x:sheetData>
  <x:pageMargins left="0.7" right="0.7" top="0.75" bottom="0.75" header="0.3" footer="0.3"/>
  <x:tableParts count="1">
    <x:tablePart xmlns:r="http://schemas.openxmlformats.org/officeDocument/2006/relationships" r:id="Rf3e23c018d0347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" hidden="0" customWidth="1"/>
    <x:col min="2" max="2" width="16.3799991607666" hidden="0" customWidth="1"/>
    <x:col min="3" max="3" width="11.75" hidden="0" customWidth="1"/>
    <x:col min="4" max="4" width="72" hidden="0" customWidth="1"/>
  </x:cols>
  <x:sheetData>
    <x:row r="1">
      <x:c r="A1" t="str">
        <x:v>Table</x:v>
      </x:c>
      <x:c r="B1" t="str">
        <x:v>Column</x:v>
      </x:c>
      <x:c r="C1" t="str">
        <x:v>Type</x:v>
      </x:c>
      <x:c r="D1" t="str">
        <x:v>Meaning / Power BI use</x:v>
      </x:c>
    </x:row>
    <x:row r="2">
      <x:c r="A2" t="str">
        <x:v>Noise_Data</x:v>
      </x:c>
      <x:c r="B2" t="str">
        <x:v>Station_ID</x:v>
      </x:c>
      <x:c r="C2" t="str">
        <x:v>Text</x:v>
      </x:c>
      <x:c r="D2" s="20" t="str">
        <x:v>Noise station identifier; use as map legend or slicer.</x:v>
      </x:c>
    </x:row>
    <x:row r="3">
      <x:c r="A3" t="str">
        <x:v>Noise_Data</x:v>
      </x:c>
      <x:c r="B3" t="str">
        <x:v>Record_Date</x:v>
      </x:c>
      <x:c r="C3" t="str">
        <x:v>Date</x:v>
      </x:c>
      <x:c r="D3" s="20" t="str">
        <x:v>First day of the observation month; supports time intelligence.</x:v>
      </x:c>
    </x:row>
    <x:row r="4">
      <x:c r="A4" t="str">
        <x:v>Noise_Data</x:v>
      </x:c>
      <x:c r="B4" t="str">
        <x:v>Day_dB / Night_dB</x:v>
      </x:c>
      <x:c r="C4" t="str">
        <x:v>Decimal</x:v>
      </x:c>
      <x:c r="D4" s="20" t="str">
        <x:v>Measured or estimated daytime/nighttime noise levels.</x:v>
      </x:c>
    </x:row>
    <x:row r="5">
      <x:c r="A5" t="str">
        <x:v>Noise_Data</x:v>
      </x:c>
      <x:c r="B5" t="str">
        <x:v>Avg_Noise_dB</x:v>
      </x:c>
      <x:c r="C5" t="str">
        <x:v>Decimal</x:v>
      </x:c>
      <x:c r="D5" s="20" t="str">
        <x:v>Average noise value supplied in the raw dataset.</x:v>
      </x:c>
    </x:row>
    <x:row r="6">
      <x:c r="A6" t="str">
        <x:v>Noise_Data</x:v>
      </x:c>
      <x:c r="B6" t="str">
        <x:v>Day_Night_Gap_dB</x:v>
      </x:c>
      <x:c r="C6" t="str">
        <x:v>Decimal</x:v>
      </x:c>
      <x:c r="D6" s="20" t="str">
        <x:v>Day level minus night level.</x:v>
      </x:c>
    </x:row>
    <x:row r="7">
      <x:c r="A7" t="str">
        <x:v>Noise_Data</x:v>
      </x:c>
      <x:c r="B7" t="str">
        <x:v>Data_Type</x:v>
      </x:c>
      <x:c r="C7" t="str">
        <x:v>Text</x:v>
      </x:c>
      <x:c r="D7" s="20" t="str">
        <x:v>OBSERVED or HINDCAST; useful as a filter.</x:v>
      </x:c>
    </x:row>
    <x:row r="8">
      <x:c r="A8" t="str">
        <x:v>Noise_Data</x:v>
      </x:c>
      <x:c r="B8" t="str">
        <x:v>Latitude / Longitude</x:v>
      </x:c>
      <x:c r="C8" t="str">
        <x:v>Decimal</x:v>
      </x:c>
      <x:c r="D8" s="20" t="str">
        <x:v>GIS coordinates. Set Power BI data categories to Latitude and Longitude.</x:v>
      </x:c>
    </x:row>
    <x:row r="9">
      <x:c r="A9" t="str">
        <x:v>Noise_Data</x:v>
      </x:c>
      <x:c r="B9" t="str">
        <x:v>Noise_Risk</x:v>
      </x:c>
      <x:c r="C9" t="str">
        <x:v>Text</x:v>
      </x:c>
      <x:c r="D9" s="20" t="str">
        <x:v>Low &lt;=55 dB; Moderate &gt;55 to 70 dB; High &gt;70 dB.</x:v>
      </x:c>
    </x:row>
    <x:row r="10">
      <x:c r="A10" t="str">
        <x:v>Noise_Data</x:v>
      </x:c>
      <x:c r="B10" t="str">
        <x:v>High_Noise_Flag</x:v>
      </x:c>
      <x:c r="C10" t="str">
        <x:v>Text</x:v>
      </x:c>
      <x:c r="D10" s="20" t="str">
        <x:v>Convenience flag for records at or above 70 dB; analytical threshold, not a legal compliance judgment.</x:v>
      </x:c>
    </x:row>
    <x:row r="11">
      <x:c r="A11" t="str">
        <x:v>AQI_Forecast</x:v>
      </x:c>
      <x:c r="B11" t="str">
        <x:v>Horizon_Months</x:v>
      </x:c>
      <x:c r="C11" t="str">
        <x:v>Whole number</x:v>
      </x:c>
      <x:c r="D11" s="20" t="str">
        <x:v>Forecast lead time in months.</x:v>
      </x:c>
    </x:row>
    <x:row r="12">
      <x:c r="A12" t="str">
        <x:v>AQI_Forecast</x:v>
      </x:c>
      <x:c r="B12" t="str">
        <x:v>Forecast_Date</x:v>
      </x:c>
      <x:c r="C12" t="str">
        <x:v>Date</x:v>
      </x:c>
      <x:c r="D12" s="20" t="str">
        <x:v>Date represented by the forecast.</x:v>
      </x:c>
    </x:row>
    <x:row r="13">
      <x:c r="A13" t="str">
        <x:v>AQI_Forecast</x:v>
      </x:c>
      <x:c r="B13" t="str">
        <x:v>Predicted_AQI</x:v>
      </x:c>
      <x:c r="C13" t="str">
        <x:v>Decimal</x:v>
      </x:c>
      <x:c r="D13" s="20" t="str">
        <x:v>Model-provided AQI prediction.</x:v>
      </x:c>
    </x:row>
    <x:row r="14">
      <x:c r="A14" t="str">
        <x:v>AQI_Forecast</x:v>
      </x:c>
      <x:c r="B14" t="str">
        <x:v>AQI_Category</x:v>
      </x:c>
      <x:c r="C14" t="str">
        <x:v>Text</x:v>
      </x:c>
      <x:c r="D14" s="20" t="str">
        <x:v>Indian AQI bands: Good, Satisfactory, Moderate, Poor, Very Poor, Severe.</x:v>
      </x:c>
    </x:row>
    <x:row r="15">
      <x:c r="A15" t="str">
        <x:v>AQI_Forecast</x:v>
      </x:c>
      <x:c r="B15" t="str">
        <x:v>Severity_Rank</x:v>
      </x:c>
      <x:c r="C15" t="str">
        <x:v>Whole number</x:v>
      </x:c>
      <x:c r="D15" s="20" t="str">
        <x:v>Sort AQI_Category by this column (1 best to 6 worst).</x:v>
      </x:c>
    </x:row>
    <x:row r="16">
      <x:c r="A16" t="str">
        <x:v>AQI_Forecast</x:v>
      </x:c>
      <x:c r="B16" t="str">
        <x:v>Poor_Or_Worse_Flag</x:v>
      </x:c>
      <x:c r="C16" t="str">
        <x:v>Text</x:v>
      </x:c>
      <x:c r="D16" s="20" t="str">
        <x:v>Yes when Predicted_AQI is greater than 200.</x:v>
      </x:c>
    </x:row>
    <x:row r="17">
      <x:c r="A17" t="str">
        <x:v>Both</x:v>
      </x:c>
      <x:c r="B17" t="str">
        <x:v>Period_Key</x:v>
      </x:c>
      <x:c r="C17" t="str">
        <x:v>Text</x:v>
      </x:c>
      <x:c r="D17" s="20" t="str">
        <x:v>YYYY-MM key for grouping; do not directly relate tables unless station semantics are verified.</x:v>
      </x:c>
    </x:row>
  </x:sheetData>
  <x:pageMargins left="0.7" right="0.7" top="0.75" bottom="0.75" header="0.3" footer="0.3"/>
  <x:tableParts count="1">
    <x:tablePart xmlns:r="http://schemas.openxmlformats.org/officeDocument/2006/relationships" r:id="Ra8b6ce74d83f4096"/>
  </x:tableParts>
</x:worksheet>
</file>